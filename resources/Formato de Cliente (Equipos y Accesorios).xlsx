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thiusca\FORMATO DE CLIENTE\2026\"/>
    </mc:Choice>
  </mc:AlternateContent>
  <xr:revisionPtr revIDLastSave="0" documentId="13_ncr:1_{B7656435-4C96-47DF-9A23-79EC81E55905}" xr6:coauthVersionLast="47" xr6:coauthVersionMax="47" xr10:uidLastSave="{00000000-0000-0000-0000-000000000000}"/>
  <bookViews>
    <workbookView xWindow="-120" yWindow="-120" windowWidth="20730" windowHeight="11040" activeTab="2" xr2:uid="{5BDD4CC6-1ACC-4BD6-8EAF-8A3FF109FDDA}"/>
  </bookViews>
  <sheets>
    <sheet name="Formato de Pedido" sheetId="3" r:id="rId1"/>
    <sheet name="PROMO" sheetId="4" state="hidden" r:id="rId2"/>
    <sheet name="Lista de Productos" sheetId="7" r:id="rId3"/>
  </sheets>
  <definedNames>
    <definedName name="DatosExternos_2" localSheetId="2" hidden="1">'Lista de Productos'!$A$1:$E$27985</definedName>
    <definedName name="DatosExternos_2" localSheetId="1" hidden="1">PROMO!$A$1:$F$339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D94" i="3"/>
  <c r="J94" i="3" s="1"/>
  <c r="D93" i="3"/>
  <c r="J93" i="3" s="1"/>
  <c r="D92" i="3"/>
  <c r="D91" i="3"/>
  <c r="D90" i="3"/>
  <c r="J90" i="3" s="1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J63" i="3" s="1"/>
  <c r="D62" i="3"/>
  <c r="J62" i="3" s="1"/>
  <c r="D61" i="3"/>
  <c r="D60" i="3"/>
  <c r="D59" i="3"/>
  <c r="D58" i="3"/>
  <c r="J58" i="3" s="1"/>
  <c r="D57" i="3"/>
  <c r="D56" i="3"/>
  <c r="D55" i="3"/>
  <c r="D54" i="3"/>
  <c r="D53" i="3"/>
  <c r="D52" i="3"/>
  <c r="D51" i="3"/>
  <c r="J51" i="3" s="1"/>
  <c r="D50" i="3"/>
  <c r="J50" i="3" s="1"/>
  <c r="D49" i="3"/>
  <c r="D48" i="3"/>
  <c r="D47" i="3"/>
  <c r="J47" i="3" s="1"/>
  <c r="D46" i="3"/>
  <c r="J46" i="3" s="1"/>
  <c r="D45" i="3"/>
  <c r="J45" i="3" s="1"/>
  <c r="D44" i="3"/>
  <c r="J44" i="3" s="1"/>
  <c r="D43" i="3"/>
  <c r="J43" i="3" s="1"/>
  <c r="D42" i="3"/>
  <c r="J42" i="3" s="1"/>
  <c r="D41" i="3"/>
  <c r="D40" i="3"/>
  <c r="D39" i="3"/>
  <c r="D38" i="3"/>
  <c r="J38" i="3" s="1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C88" i="3"/>
  <c r="C89" i="3"/>
  <c r="C90" i="3"/>
  <c r="C91" i="3"/>
  <c r="C92" i="3"/>
  <c r="C93" i="3"/>
  <c r="C94" i="3"/>
  <c r="C81" i="3"/>
  <c r="C82" i="3"/>
  <c r="C83" i="3"/>
  <c r="C84" i="3"/>
  <c r="C85" i="3"/>
  <c r="C86" i="3"/>
  <c r="C87" i="3"/>
  <c r="C80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I25" i="3"/>
  <c r="J25" i="3" l="1"/>
  <c r="J57" i="3"/>
  <c r="J89" i="3"/>
  <c r="J59" i="3"/>
  <c r="J54" i="3"/>
  <c r="J61" i="3"/>
  <c r="J53" i="3"/>
  <c r="J39" i="3"/>
  <c r="J55" i="3"/>
  <c r="J88" i="3"/>
  <c r="J41" i="3"/>
  <c r="J49" i="3"/>
  <c r="J40" i="3"/>
  <c r="J48" i="3"/>
  <c r="J60" i="3"/>
  <c r="J52" i="3"/>
  <c r="J80" i="3"/>
  <c r="J92" i="3"/>
  <c r="J56" i="3"/>
  <c r="J91" i="3"/>
  <c r="O25" i="3"/>
  <c r="C25" i="3"/>
  <c r="L94" i="3" l="1"/>
  <c r="L93" i="3"/>
  <c r="L92" i="3"/>
  <c r="L91" i="3"/>
  <c r="L90" i="3"/>
  <c r="K90" i="3"/>
  <c r="K89" i="3"/>
  <c r="L89" i="3"/>
  <c r="L88" i="3"/>
  <c r="K88" i="3"/>
  <c r="L80" i="3"/>
  <c r="K80" i="3"/>
  <c r="L63" i="3"/>
  <c r="K63" i="3"/>
  <c r="L62" i="3"/>
  <c r="L51" i="3"/>
  <c r="K50" i="3"/>
  <c r="J37" i="3"/>
  <c r="L37" i="3"/>
  <c r="K36" i="3"/>
  <c r="J36" i="3"/>
  <c r="L36" i="3"/>
  <c r="K35" i="3"/>
  <c r="J35" i="3"/>
  <c r="L35" i="3"/>
  <c r="L34" i="3"/>
  <c r="K34" i="3"/>
  <c r="J34" i="3"/>
  <c r="J33" i="3"/>
  <c r="L33" i="3"/>
  <c r="J32" i="3"/>
  <c r="L32" i="3"/>
  <c r="J31" i="3"/>
  <c r="J30" i="3"/>
  <c r="L30" i="3"/>
  <c r="L29" i="3"/>
  <c r="J29" i="3"/>
  <c r="K29" i="3"/>
  <c r="J28" i="3"/>
  <c r="K28" i="3"/>
  <c r="K27" i="3"/>
  <c r="J27" i="3"/>
  <c r="L27" i="3"/>
  <c r="J26" i="3"/>
  <c r="K26" i="3"/>
  <c r="L25" i="3"/>
  <c r="P2" i="3"/>
  <c r="M88" i="3" l="1"/>
  <c r="M80" i="3"/>
  <c r="M63" i="3"/>
  <c r="M34" i="3"/>
  <c r="M36" i="3"/>
  <c r="M29" i="3"/>
  <c r="M35" i="3"/>
  <c r="M90" i="3"/>
  <c r="L26" i="3"/>
  <c r="M26" i="3" s="1"/>
  <c r="M89" i="3"/>
  <c r="M27" i="3"/>
  <c r="K31" i="3"/>
  <c r="L50" i="3"/>
  <c r="M50" i="3" s="1"/>
  <c r="K92" i="3"/>
  <c r="M92" i="3" s="1"/>
  <c r="L31" i="3"/>
  <c r="K62" i="3"/>
  <c r="M62" i="3" s="1"/>
  <c r="K33" i="3"/>
  <c r="M33" i="3" s="1"/>
  <c r="K94" i="3"/>
  <c r="M94" i="3" s="1"/>
  <c r="L28" i="3"/>
  <c r="M28" i="3" s="1"/>
  <c r="K37" i="3"/>
  <c r="M37" i="3" s="1"/>
  <c r="K30" i="3"/>
  <c r="M30" i="3" s="1"/>
  <c r="K91" i="3"/>
  <c r="M91" i="3" s="1"/>
  <c r="K51" i="3"/>
  <c r="M51" i="3" s="1"/>
  <c r="K32" i="3"/>
  <c r="M32" i="3" s="1"/>
  <c r="K93" i="3"/>
  <c r="M93" i="3" s="1"/>
  <c r="K25" i="3"/>
  <c r="J97" i="3" l="1"/>
  <c r="J99" i="3"/>
  <c r="M31" i="3"/>
  <c r="J96" i="3"/>
  <c r="M25" i="3"/>
  <c r="J100" i="3" l="1"/>
  <c r="J101" i="3" s="1"/>
  <c r="J104" i="3" s="1"/>
  <c r="J98" i="3"/>
  <c r="I9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FA9900-AEB6-4B6F-96EF-74354942B64E}" keepAlive="1" name="Consulta - Hoja 1" description="Conexión a la consulta 'Hoja 1' en el libro." type="5" refreshedVersion="7" background="1" saveData="1">
    <dbPr connection="Provider=Microsoft.Mashup.OleDb.1;Data Source=$Workbook$;Location=&quot;Hoja 1&quot;;Extended Properties=&quot;&quot;" command="SELECT * FROM [Hoja 1]"/>
  </connection>
  <connection id="2" xr16:uid="{C9C12631-07F0-4BF4-8180-A39EE7171526}" keepAlive="1" name="Consulta - Lista de productoss" description="Conexión a la consulta 'Lista de productoss' en el libro." type="5" refreshedVersion="7" background="1" saveData="1">
    <dbPr connection="Provider=Microsoft.Mashup.OleDb.1;Data Source=$Workbook$;Location=&quot;Lista de productoss&quot;;Extended Properties=&quot;&quot;" command="SELECT * FROM [Lista de productoss]"/>
  </connection>
  <connection id="3" xr16:uid="{466A2958-0074-4C7D-95F9-4C8B91A78255}" keepAlive="1" name="Consulta - PROMO" description="Conexión a la consulta 'PROMO' en el libro." type="5" refreshedVersion="7" background="1" saveData="1">
    <dbPr connection="Provider=Microsoft.Mashup.OleDb.1;Data Source=$Workbook$;Location=PROMO;Extended Properties=&quot;&quot;" command="SELECT * FROM [PROMO]"/>
  </connection>
</connections>
</file>

<file path=xl/sharedStrings.xml><?xml version="1.0" encoding="utf-8"?>
<sst xmlns="http://schemas.openxmlformats.org/spreadsheetml/2006/main" count="25273" uniqueCount="12422">
  <si>
    <t>[ HERR Y ACC ] ORDEN DE PEDIDO - MAKITA PERU S.A.</t>
  </si>
  <si>
    <t xml:space="preserve">Fecha de solicitud : </t>
  </si>
  <si>
    <t xml:space="preserve">NRO. ORDEN DEL CLIENTE  :  </t>
  </si>
  <si>
    <t xml:space="preserve">Nro. Pedido SAP :  </t>
  </si>
  <si>
    <t xml:space="preserve">DATOS DE FACTURACIÓN DEL CLIENTE : </t>
  </si>
  <si>
    <t>RUC CLIENTE :</t>
  </si>
  <si>
    <t>CLIENTE :</t>
  </si>
  <si>
    <t>Baterias XGT-LXT-CXT :</t>
  </si>
  <si>
    <t>Vigente</t>
  </si>
  <si>
    <t>DIRECCIÓN FISCAL :</t>
  </si>
  <si>
    <t>Cargadores XGT-LXT-CXT :</t>
  </si>
  <si>
    <t>Herramientas XGT-LXT-CXT :</t>
  </si>
  <si>
    <t>FORMA Y CONDICION DE PAGO  :</t>
  </si>
  <si>
    <t>OPE y Aspiradoras DC :</t>
  </si>
  <si>
    <t>LETRAS</t>
  </si>
  <si>
    <t>DATOS DE ENTREGA : (Campo obligatorio)</t>
  </si>
  <si>
    <t>Despacho en Lima:</t>
  </si>
  <si>
    <t>Despacho por Agencia (Provincias) :</t>
  </si>
  <si>
    <t xml:space="preserve">Entregar en : </t>
  </si>
  <si>
    <t xml:space="preserve">Enviar por : </t>
  </si>
  <si>
    <t xml:space="preserve">Horario de recepción : </t>
  </si>
  <si>
    <t xml:space="preserve">Dirección de agencia : </t>
  </si>
  <si>
    <t xml:space="preserve">Persona de contacto : </t>
  </si>
  <si>
    <t xml:space="preserve">Destino en provincia : </t>
  </si>
  <si>
    <t xml:space="preserve">DETALLE DE PEDIDO : </t>
  </si>
  <si>
    <t>ITEM</t>
  </si>
  <si>
    <t>CÓDIGO</t>
  </si>
  <si>
    <t>DESCRIPCIÓN</t>
  </si>
  <si>
    <t>PRECIO LISTA UNITARIO</t>
  </si>
  <si>
    <t>CANT.</t>
  </si>
  <si>
    <t>DSCTO 1</t>
  </si>
  <si>
    <t>DSCTO 2</t>
  </si>
  <si>
    <t>DSCTO FINAL</t>
  </si>
  <si>
    <t>PRECIO SIN IGV</t>
  </si>
  <si>
    <t>SUB TOTAL SIN DCTOS(A)</t>
  </si>
  <si>
    <t>SOLES DSCTO 1 (B)</t>
  </si>
  <si>
    <t>SOLES DSCTO 2 (C)</t>
  </si>
  <si>
    <t>[STATUS STOCK]</t>
  </si>
  <si>
    <t>FAMILIA COMERCIAL</t>
  </si>
  <si>
    <t>Comentarios</t>
  </si>
  <si>
    <t>MERCHANDISING Y OBSEQUIOS PUBLICITARIOS</t>
  </si>
  <si>
    <t>SUB TOTAL SIN DCTOS (A)</t>
  </si>
  <si>
    <t>DESCUENTO 1 (B)</t>
  </si>
  <si>
    <t xml:space="preserve"> </t>
  </si>
  <si>
    <t>DESCUENTO 2 (C)</t>
  </si>
  <si>
    <t>Rojo</t>
  </si>
  <si>
    <t>Agotado</t>
  </si>
  <si>
    <t>BASE IMPONIBLE</t>
  </si>
  <si>
    <t xml:space="preserve">IGV 18% </t>
  </si>
  <si>
    <t>Amarillo</t>
  </si>
  <si>
    <t>TOTAL CON IGV</t>
  </si>
  <si>
    <t>Verde</t>
  </si>
  <si>
    <t>REVISA MERCH VIGENTE AQUÍ</t>
  </si>
  <si>
    <t>SALDO A FAVOR DEL CLIENTE</t>
  </si>
  <si>
    <t>SALDO A FAVOR</t>
  </si>
  <si>
    <t>*Consultar stock de COMBOS con ATC / Vendedor</t>
  </si>
  <si>
    <t>(1) Makita Perú S.A. no se responsabiliza por retrasos en la entrega si el cliente no completa correctamente los datos de entrega.</t>
  </si>
  <si>
    <t>MONTO A ABONAR</t>
  </si>
  <si>
    <t xml:space="preserve">(2) Lista de precios actualizado a Enero 2022. Precios y promociones pueden variar sin previo aviso. </t>
  </si>
  <si>
    <t>COD. ARTICULO</t>
  </si>
  <si>
    <t>DESCRIPCION</t>
  </si>
  <si>
    <t>LISTA GENERAL</t>
  </si>
  <si>
    <t>FAMILIA SAP</t>
  </si>
  <si>
    <t>Status</t>
  </si>
  <si>
    <t>042040-2A</t>
  </si>
  <si>
    <t>PAQUETE DE GRASA 500 G. PARA MODELOS HR52</t>
  </si>
  <si>
    <t>ACCESORIOS</t>
  </si>
  <si>
    <t>WIDE REFLECTOR NOZZLE 75MM</t>
  </si>
  <si>
    <t>WIDE REFLECTOR NOZZLE PB</t>
  </si>
  <si>
    <t>110751-A</t>
  </si>
  <si>
    <t>122256-6</t>
  </si>
  <si>
    <t>PORTA GUIA CIRCULAR 3612-BR</t>
  </si>
  <si>
    <t>122291-4</t>
  </si>
  <si>
    <t>BOQUILLA ALFOMBRA (SECO)</t>
  </si>
  <si>
    <t>122296-4</t>
  </si>
  <si>
    <t>BOLSA PARA POLVO P/9924DB</t>
  </si>
  <si>
    <t>122321-1</t>
  </si>
  <si>
    <t>BOLSA PARA POLVO P/4014N</t>
  </si>
  <si>
    <t>122335-0</t>
  </si>
  <si>
    <t>122343-1</t>
  </si>
  <si>
    <t>GUIA RECORTADORA P/3606</t>
  </si>
  <si>
    <t>122402-1</t>
  </si>
  <si>
    <t>BOLSA PARA POLVO</t>
  </si>
  <si>
    <t>122464-9</t>
  </si>
  <si>
    <t>MANGO P/6906</t>
  </si>
  <si>
    <t>122474-6</t>
  </si>
  <si>
    <t>BOLSA PARA POLVO P/3901</t>
  </si>
  <si>
    <t>122547-5</t>
  </si>
  <si>
    <t>ADAPTADOR CINCEL HR2400</t>
  </si>
  <si>
    <t>122548-3</t>
  </si>
  <si>
    <t>BOLSA PARA POLVO P/9910 - 9911</t>
  </si>
  <si>
    <t>122556-4</t>
  </si>
  <si>
    <t>GUIA DE CORTE AL HILO P/2703</t>
  </si>
  <si>
    <t>122562-9</t>
  </si>
  <si>
    <t>BOLSA PARA POLVO P/9403</t>
  </si>
  <si>
    <t>122574-2</t>
  </si>
  <si>
    <t>ADAPTADOR SDS-PLUS C/MANDRIL</t>
  </si>
  <si>
    <t>122591-2</t>
  </si>
  <si>
    <t>BOLSA PARA POLVO P/ 9404</t>
  </si>
  <si>
    <t>122652-8</t>
  </si>
  <si>
    <t>BOQUILLA PARA POLVO P/ 9032</t>
  </si>
  <si>
    <t>122653-6</t>
  </si>
  <si>
    <t>EMPUÑADURA COMPLETO P/5740NB</t>
  </si>
  <si>
    <t>122703-7</t>
  </si>
  <si>
    <t>GUIA DE RECORTE P/3709.</t>
  </si>
  <si>
    <t>122704-5</t>
  </si>
  <si>
    <t>GUIA RECTA P/3709 - 3710.</t>
  </si>
  <si>
    <t>122743-5</t>
  </si>
  <si>
    <t>REGLA P/2704</t>
  </si>
  <si>
    <t>122785-9</t>
  </si>
  <si>
    <t>GUIA DE REGLA KP0810/C</t>
  </si>
  <si>
    <t>122791-4</t>
  </si>
  <si>
    <t>GUIA PARA ENSAMBLAJE KP0810/C</t>
  </si>
  <si>
    <t>122814-8</t>
  </si>
  <si>
    <t>BOLSA RECOLECTORA DUB182</t>
  </si>
  <si>
    <t>122852-0</t>
  </si>
  <si>
    <t>BOLSA DE POLVO</t>
  </si>
  <si>
    <t>122879-0</t>
  </si>
  <si>
    <t>SISTEMA DE ASPIRACION DE POLVO AY</t>
  </si>
  <si>
    <t>122918-6</t>
  </si>
  <si>
    <t>123004-6</t>
  </si>
  <si>
    <t>AFILADOR CUCHILLO 1902-1923H</t>
  </si>
  <si>
    <t>123006-2</t>
  </si>
  <si>
    <t>AFILADOR DE CUCHILLO 1805N</t>
  </si>
  <si>
    <t>123018-5</t>
  </si>
  <si>
    <t>LADO DE EMPUÑADURA 6910</t>
  </si>
  <si>
    <t>123022-4</t>
  </si>
  <si>
    <t>GUIA DE CORTE 3612-3612BR</t>
  </si>
  <si>
    <t>123030-5</t>
  </si>
  <si>
    <t>GUIA CIRCULAR /4320</t>
  </si>
  <si>
    <t>123055-9</t>
  </si>
  <si>
    <t>AFILADOR DE CUCHILLO 1911B</t>
  </si>
  <si>
    <t>123099-9</t>
  </si>
  <si>
    <t>WHEEL COVER 125AK ASSEMBLY</t>
  </si>
  <si>
    <t>123241-2</t>
  </si>
  <si>
    <t>BOLSA RECOLECTORA UB1103</t>
  </si>
  <si>
    <t>123245-4</t>
  </si>
  <si>
    <t>123246-2</t>
  </si>
  <si>
    <t>123286-0</t>
  </si>
  <si>
    <t>123328-0</t>
  </si>
  <si>
    <t>BOLSA  PARA  POLVO</t>
  </si>
  <si>
    <t>123486-2</t>
  </si>
  <si>
    <t>123539-7</t>
  </si>
  <si>
    <t>126303-5</t>
  </si>
  <si>
    <t>CABEZAL DE CORTE  P/ EN4950H</t>
  </si>
  <si>
    <t>127082-8</t>
  </si>
  <si>
    <t>127386-8</t>
  </si>
  <si>
    <t>REAR BAG ASSEMBLY M</t>
  </si>
  <si>
    <t>127392-3</t>
  </si>
  <si>
    <t>127725-2</t>
  </si>
  <si>
    <t>127750-3</t>
  </si>
  <si>
    <t>DUST COVER ASSEMBLY A</t>
  </si>
  <si>
    <t>12L</t>
  </si>
  <si>
    <t>BROCA ANULAR ENCASTRE WELDON 12 X50MM</t>
  </si>
  <si>
    <t>12S</t>
  </si>
  <si>
    <t>BROCA ANULAR ENCASTRE WELDON 12 X25MM</t>
  </si>
  <si>
    <t>132025-7</t>
  </si>
  <si>
    <t>134182-7</t>
  </si>
  <si>
    <t>134715-8</t>
  </si>
  <si>
    <t>MANGO RECTO P/HR2400</t>
  </si>
  <si>
    <t>134777-6</t>
  </si>
  <si>
    <t>MANGO RECTO 36  P/HR2410 (135344-0)</t>
  </si>
  <si>
    <t>134803-1</t>
  </si>
  <si>
    <t>MANGO RECTO 36 P/HR4000C</t>
  </si>
  <si>
    <t>134828-5</t>
  </si>
  <si>
    <t>134830-8</t>
  </si>
  <si>
    <t>134832-4</t>
  </si>
  <si>
    <t>134833-2</t>
  </si>
  <si>
    <t>134834-0</t>
  </si>
  <si>
    <t>134835-8</t>
  </si>
  <si>
    <t>134836-6</t>
  </si>
  <si>
    <t>134842-1</t>
  </si>
  <si>
    <t>134844-7</t>
  </si>
  <si>
    <t>134846-3</t>
  </si>
  <si>
    <t>134848-9</t>
  </si>
  <si>
    <t>134853-6</t>
  </si>
  <si>
    <t>134855-2</t>
  </si>
  <si>
    <t>134857-8</t>
  </si>
  <si>
    <t>134858-6</t>
  </si>
  <si>
    <t>134859-4</t>
  </si>
  <si>
    <t>134860-9</t>
  </si>
  <si>
    <t>134861-7</t>
  </si>
  <si>
    <t>134862-5</t>
  </si>
  <si>
    <t>134864-1</t>
  </si>
  <si>
    <t>134865-9</t>
  </si>
  <si>
    <t>134867-5</t>
  </si>
  <si>
    <t>134870-6</t>
  </si>
  <si>
    <t>134871-4</t>
  </si>
  <si>
    <t>134872-2</t>
  </si>
  <si>
    <t>134874-8</t>
  </si>
  <si>
    <t>134877-2</t>
  </si>
  <si>
    <t>134889-5</t>
  </si>
  <si>
    <t>MANGO RECTO P/ HR3000C</t>
  </si>
  <si>
    <t>134909-5</t>
  </si>
  <si>
    <t>135332-7</t>
  </si>
  <si>
    <t>MANGO LATERAL 36 P/ HM0870C</t>
  </si>
  <si>
    <t>136106-9</t>
  </si>
  <si>
    <t>13L</t>
  </si>
  <si>
    <t>BROCA ANULAR ENCASTRE WELDON 13 X50MM</t>
  </si>
  <si>
    <t>13S</t>
  </si>
  <si>
    <t>BROCA ANULAR ENCASTRE WELDON 13 X25MM</t>
  </si>
  <si>
    <t>140115-2</t>
  </si>
  <si>
    <t>RECOLECTOR DE POLVO</t>
  </si>
  <si>
    <t>140248-3</t>
  </si>
  <si>
    <t>140H95-0</t>
  </si>
  <si>
    <t>143787-2</t>
  </si>
  <si>
    <t>14L</t>
  </si>
  <si>
    <t>BROCA ANULAR ENCASTRE WELDON 14 X50MM</t>
  </si>
  <si>
    <t>14S</t>
  </si>
  <si>
    <t>BROCA ANUALAR ENCASTRE WELDON 14 X25MM</t>
  </si>
  <si>
    <t>151776-3</t>
  </si>
  <si>
    <t>MANGO 38 P/9077 - 9079</t>
  </si>
  <si>
    <t>151780-2</t>
  </si>
  <si>
    <t>BOLSA PARA POLVO P/BO3700</t>
  </si>
  <si>
    <t>152456-4</t>
  </si>
  <si>
    <t>BOLSA PARA POLVO P/9046</t>
  </si>
  <si>
    <t>152490-4</t>
  </si>
  <si>
    <t>MANGO RECTO 36 P/9521NB-9524NB (153489-2) (162258-0)</t>
  </si>
  <si>
    <t>152491-2</t>
  </si>
  <si>
    <t>MANGO RECTO 36 P/NHP1300S-NHP1320</t>
  </si>
  <si>
    <t>152492-0</t>
  </si>
  <si>
    <t>MANGO RECTO 36  P/6016-6013BR</t>
  </si>
  <si>
    <t>152539-0</t>
  </si>
  <si>
    <t>MANGO RECTO 36 P/ESMERILES</t>
  </si>
  <si>
    <t>152992-0</t>
  </si>
  <si>
    <t>153489-2</t>
  </si>
  <si>
    <t>MANGO 36 PARA MT951 (152490-4) (162258-0)</t>
  </si>
  <si>
    <t>153503-4</t>
  </si>
  <si>
    <t>MANGO RECTO 36  P/HP2040 (152521-9) (135302-6) (135344-0)</t>
  </si>
  <si>
    <t>153504-2</t>
  </si>
  <si>
    <t>MANGO RECTO 36</t>
  </si>
  <si>
    <t>153555-5</t>
  </si>
  <si>
    <t>TUBO DE AGUA DE SUMINISTRO 41 P/ MT410</t>
  </si>
  <si>
    <t>153909-6</t>
  </si>
  <si>
    <t>DADO EXTERIOR M22 P/6922NB</t>
  </si>
  <si>
    <t>154674-0</t>
  </si>
  <si>
    <t>GUARDA PROTECTORA 180 COMPLETE</t>
  </si>
  <si>
    <t>155162-0</t>
  </si>
  <si>
    <t>GUARDA P/9105</t>
  </si>
  <si>
    <t>15L</t>
  </si>
  <si>
    <t>BROCA ANULAR ENCASTRE WELDON 15 X50MM</t>
  </si>
  <si>
    <t>15S</t>
  </si>
  <si>
    <t>BROCA ANUALAR ENCASTRE WELDON 15 X25MM</t>
  </si>
  <si>
    <t>162258-0</t>
  </si>
  <si>
    <t>MANGO DE PRUEBA DE VIBRACION P/9521NB-9524NB (152490-4) (153489-2)</t>
  </si>
  <si>
    <t>162264-5</t>
  </si>
  <si>
    <t>MANGO DE PRUEBA DE VIBRACION</t>
  </si>
  <si>
    <t>162707-7</t>
  </si>
  <si>
    <t>WHEEL COVER 115C</t>
  </si>
  <si>
    <t>163080-8</t>
  </si>
  <si>
    <t>PLANTILLA DE GUIA 29 P/3612C</t>
  </si>
  <si>
    <t>164021-7</t>
  </si>
  <si>
    <t>GUIA DE REGLA P/5900B</t>
  </si>
  <si>
    <t>164095-8</t>
  </si>
  <si>
    <t>GUIA DE REGLA P/ 5007NB-5740NB-4100NB</t>
  </si>
  <si>
    <t>164113-2</t>
  </si>
  <si>
    <t>GUIA DE REGLA P/4320</t>
  </si>
  <si>
    <t>164371-0</t>
  </si>
  <si>
    <t>GUIA DE REGLA P/1923H</t>
  </si>
  <si>
    <t>164379-4</t>
  </si>
  <si>
    <t>164393-0</t>
  </si>
  <si>
    <t>164405-9</t>
  </si>
  <si>
    <t>TUBO DE LUBRICACION 4100NB</t>
  </si>
  <si>
    <t>164470-8</t>
  </si>
  <si>
    <t>164533-0</t>
  </si>
  <si>
    <t>164775-6</t>
  </si>
  <si>
    <t>PLANTILLA DE GUIA 11</t>
  </si>
  <si>
    <t>164776-4</t>
  </si>
  <si>
    <t>164834-6</t>
  </si>
  <si>
    <t>GUIA RECTA P/3620</t>
  </si>
  <si>
    <t>165202D6</t>
  </si>
  <si>
    <t>BARRA GUIA</t>
  </si>
  <si>
    <t>165245-8</t>
  </si>
  <si>
    <t>GUIDE BAR</t>
  </si>
  <si>
    <t>165247-4</t>
  </si>
  <si>
    <t>165390-9</t>
  </si>
  <si>
    <t>165695-7</t>
  </si>
  <si>
    <t>166042-5</t>
  </si>
  <si>
    <t>FILTRO DE TELA P/ 407</t>
  </si>
  <si>
    <t>166070-0</t>
  </si>
  <si>
    <t>CORREA DE HOMBRO PARA MALETIN P/BDF440</t>
  </si>
  <si>
    <t>166078-4</t>
  </si>
  <si>
    <t>BOLSA PARA POLVO P/BO5010</t>
  </si>
  <si>
    <t>166094-6</t>
  </si>
  <si>
    <t>SHOULDER BELT</t>
  </si>
  <si>
    <t>166136-6</t>
  </si>
  <si>
    <t>BAG</t>
  </si>
  <si>
    <t>168401-9</t>
  </si>
  <si>
    <t>BUJIA P/EH6000W - BBX7600 - EBH340U/R</t>
  </si>
  <si>
    <t>168407-7</t>
  </si>
  <si>
    <t>ESPADA 9-7/8 PARA ME230T</t>
  </si>
  <si>
    <t>168408-5</t>
  </si>
  <si>
    <t>16L</t>
  </si>
  <si>
    <t>BROCA ANULAR ENCASTRE WELDON 16 X50MM</t>
  </si>
  <si>
    <t>16S</t>
  </si>
  <si>
    <t>BROCA ANULAR ENCASTRE WELDON 16 X25MM</t>
  </si>
  <si>
    <t>17L</t>
  </si>
  <si>
    <t>BROCA ANULAR ENCASTRE WELDON 17 X50MM</t>
  </si>
  <si>
    <t>17S</t>
  </si>
  <si>
    <t>BROCA ANUALAR ENCASTRE WELDON 17 X25MM</t>
  </si>
  <si>
    <t>1805N</t>
  </si>
  <si>
    <t>HERRAMIENTAS</t>
  </si>
  <si>
    <t>1806B</t>
  </si>
  <si>
    <t>181490-7</t>
  </si>
  <si>
    <t>GRASA MANTENCION 30G</t>
  </si>
  <si>
    <t>183K85-8</t>
  </si>
  <si>
    <t>HANDLE SET FOR DWT30</t>
  </si>
  <si>
    <t>183P96-3</t>
  </si>
  <si>
    <t>183R01-2</t>
  </si>
  <si>
    <t>END NOZZLE 72 SET</t>
  </si>
  <si>
    <t>183R02-0</t>
  </si>
  <si>
    <t>183R06-2</t>
  </si>
  <si>
    <t>PIPE 90-72 ASSEMBLY SET</t>
  </si>
  <si>
    <t>188464-9</t>
  </si>
  <si>
    <t>18L</t>
  </si>
  <si>
    <t>BROCA ANULAR ENCASTRE WELDON 18 X50MM</t>
  </si>
  <si>
    <t>18S</t>
  </si>
  <si>
    <t>BROCA ANULAR ENCASTRE WELDON 18 X25MM</t>
  </si>
  <si>
    <t>1910C2-9</t>
  </si>
  <si>
    <t>1910C4-5</t>
  </si>
  <si>
    <t>1910C7-9</t>
  </si>
  <si>
    <t>1910C9-5</t>
  </si>
  <si>
    <t>1910D3-4</t>
  </si>
  <si>
    <t>1910D4-2</t>
  </si>
  <si>
    <t>1910D5-0</t>
  </si>
  <si>
    <t>1910E1-5</t>
  </si>
  <si>
    <t>1910E2-3</t>
  </si>
  <si>
    <t>1910J6-0</t>
  </si>
  <si>
    <t>1910M7-9</t>
  </si>
  <si>
    <t>1910N0-0</t>
  </si>
  <si>
    <t>1910R1-6</t>
  </si>
  <si>
    <t>1910R2-4</t>
  </si>
  <si>
    <t>1910R3-2</t>
  </si>
  <si>
    <t>1910S4-7</t>
  </si>
  <si>
    <t>1910U0-9</t>
  </si>
  <si>
    <t>ACEITE DE CADENA P/MOTOSIERRA BIOTOP 1L</t>
  </si>
  <si>
    <t>1910V6-4</t>
  </si>
  <si>
    <t>1910W0-3</t>
  </si>
  <si>
    <t>1910Y3-1</t>
  </si>
  <si>
    <t>1910Y4-9</t>
  </si>
  <si>
    <t>1911B3-6</t>
  </si>
  <si>
    <t>1911B4-4</t>
  </si>
  <si>
    <t>1911B5-2</t>
  </si>
  <si>
    <t>1911B7-8</t>
  </si>
  <si>
    <t>1911J2-4</t>
  </si>
  <si>
    <t>1911J4-0</t>
  </si>
  <si>
    <t>1911J6-6</t>
  </si>
  <si>
    <t>1911K4-7</t>
  </si>
  <si>
    <t>1911K6-3</t>
  </si>
  <si>
    <t>1911L1-0</t>
  </si>
  <si>
    <t>1911L9-4</t>
  </si>
  <si>
    <t>1911M9-1</t>
  </si>
  <si>
    <t>EXTENSION DE BOQUILLA (DGP180)</t>
  </si>
  <si>
    <t>1911R0-4</t>
  </si>
  <si>
    <t>1911W4-1</t>
  </si>
  <si>
    <t>1911X4-8</t>
  </si>
  <si>
    <t>1911Y2-9</t>
  </si>
  <si>
    <t>1912E8-3</t>
  </si>
  <si>
    <t>1912F1-4</t>
  </si>
  <si>
    <t>1912G2-9</t>
  </si>
  <si>
    <t>1912G3-7</t>
  </si>
  <si>
    <t>1912G4-5</t>
  </si>
  <si>
    <t>1912G5-3</t>
  </si>
  <si>
    <t>1912K6-9</t>
  </si>
  <si>
    <t>1912R9-2</t>
  </si>
  <si>
    <t>1912S7-3</t>
  </si>
  <si>
    <t>DC18WC+BL1830B(1PC.) SET + CAJA CARTON</t>
  </si>
  <si>
    <t>1912T2-0</t>
  </si>
  <si>
    <t>EN422MP GROUND TRIM. ATTA. SET</t>
  </si>
  <si>
    <t>1912U0-1</t>
  </si>
  <si>
    <t>EN402MP HEDGE TRIM. ATTA. SET</t>
  </si>
  <si>
    <t>1912V0-8-SAMPLE</t>
  </si>
  <si>
    <t>BLOWER ATTACHMENT SET</t>
  </si>
  <si>
    <t>1912V6-6</t>
  </si>
  <si>
    <t>1912Y2-5</t>
  </si>
  <si>
    <t>1912Y5-9</t>
  </si>
  <si>
    <t>191383-0</t>
  </si>
  <si>
    <t>1913A1-5-SAMPLE</t>
  </si>
  <si>
    <t>1913A7-3-SAMPLE</t>
  </si>
  <si>
    <t>1913D1-6</t>
  </si>
  <si>
    <t>1913E3-9-SAMPLE</t>
  </si>
  <si>
    <t>EN424MP GROUND TRIMER SET C</t>
  </si>
  <si>
    <t>1913E8-9</t>
  </si>
  <si>
    <t>ADAPTADOR DE BATERIA XGT 40V MAX BAP001G</t>
  </si>
  <si>
    <t>1913F5-2</t>
  </si>
  <si>
    <t>1913F7-8</t>
  </si>
  <si>
    <t>1913G0-9</t>
  </si>
  <si>
    <t>1913H4-8</t>
  </si>
  <si>
    <t>BLADE 430 SET</t>
  </si>
  <si>
    <t>1913J9-2</t>
  </si>
  <si>
    <t>TOPE DE REDUCCION DE RETROCESO DEL RIEL GUIA (SP6000 - DSP6001)</t>
  </si>
  <si>
    <t>1913K5-7</t>
  </si>
  <si>
    <t>1913L5-4</t>
  </si>
  <si>
    <t>1913L6-2</t>
  </si>
  <si>
    <t>1913L7-0</t>
  </si>
  <si>
    <t>1913P0-2</t>
  </si>
  <si>
    <t>1913T9-2</t>
  </si>
  <si>
    <t>WEEDING ATTACHMENT D SET</t>
  </si>
  <si>
    <t>191455-1</t>
  </si>
  <si>
    <t>GUIA DE REGLA P/1902-1911B</t>
  </si>
  <si>
    <t>191496-7</t>
  </si>
  <si>
    <t>1914A7-9</t>
  </si>
  <si>
    <t>1914B9-2</t>
  </si>
  <si>
    <t>1914B9-2-SAMPLE</t>
  </si>
  <si>
    <t>1914F4-0</t>
  </si>
  <si>
    <t>1914F4-0-SAMPLE</t>
  </si>
  <si>
    <t>1914F7-4</t>
  </si>
  <si>
    <t>1914H1-0</t>
  </si>
  <si>
    <t>1914H3-6</t>
  </si>
  <si>
    <t>1914H5-2</t>
  </si>
  <si>
    <t>1914J2-2</t>
  </si>
  <si>
    <t>1914R4-4</t>
  </si>
  <si>
    <t>1914R5-2</t>
  </si>
  <si>
    <t>1914S1-7</t>
  </si>
  <si>
    <t>1914S3-3</t>
  </si>
  <si>
    <t>1915D1-8</t>
  </si>
  <si>
    <t>1915E3-1</t>
  </si>
  <si>
    <t>191657-9</t>
  </si>
  <si>
    <t>191724-0</t>
  </si>
  <si>
    <t>191750-9</t>
  </si>
  <si>
    <t>MAGUERA FLEXIBLE DUB182</t>
  </si>
  <si>
    <t>191A01-6</t>
  </si>
  <si>
    <t>191A24-4</t>
  </si>
  <si>
    <t>191A52-9</t>
  </si>
  <si>
    <t>191A57-9</t>
  </si>
  <si>
    <t>191A62-6</t>
  </si>
  <si>
    <t>PORTABLE POWER  PACK SET</t>
  </si>
  <si>
    <t>191A67-6</t>
  </si>
  <si>
    <t>191A76-5</t>
  </si>
  <si>
    <t>LOCK ON ADAPTER SET</t>
  </si>
  <si>
    <t>191A77-3</t>
  </si>
  <si>
    <t>ANGLE ADAPTER SET</t>
  </si>
  <si>
    <t>191A78-1</t>
  </si>
  <si>
    <t>ADAPTER SET</t>
  </si>
  <si>
    <t>191A79-9</t>
  </si>
  <si>
    <t>FLEXIBLE HOSE 1200 SET</t>
  </si>
  <si>
    <t>191A80-4</t>
  </si>
  <si>
    <t>FLEXIBLE HOSE 600 SET</t>
  </si>
  <si>
    <t>191B03-8</t>
  </si>
  <si>
    <t>191B12-7</t>
  </si>
  <si>
    <t>191B21-6</t>
  </si>
  <si>
    <t>ADAPTER PIPE 80-72 SET</t>
  </si>
  <si>
    <t>191B26-6</t>
  </si>
  <si>
    <t>191B34-7</t>
  </si>
  <si>
    <t>BATERIA</t>
  </si>
  <si>
    <t>191B36-3</t>
  </si>
  <si>
    <t>191B44-4</t>
  </si>
  <si>
    <t>BATERIA PARA HERRAMIENTA BL4021 2.5 AH</t>
  </si>
  <si>
    <t>191B54-1</t>
  </si>
  <si>
    <t>191B63-0</t>
  </si>
  <si>
    <t>191B67-2</t>
  </si>
  <si>
    <t>191B69-8</t>
  </si>
  <si>
    <t>191C05-0</t>
  </si>
  <si>
    <t>HOOK SET</t>
  </si>
  <si>
    <t>191C11-5</t>
  </si>
  <si>
    <t>191C14-9</t>
  </si>
  <si>
    <t>191C15-7</t>
  </si>
  <si>
    <t>191C26-2</t>
  </si>
  <si>
    <t>191C30-1</t>
  </si>
  <si>
    <t>191C57-1</t>
  </si>
  <si>
    <t>191C85-6</t>
  </si>
  <si>
    <t>191D33-1</t>
  </si>
  <si>
    <t>CHIP RECEIVER 600E SET</t>
  </si>
  <si>
    <t>191D34-9</t>
  </si>
  <si>
    <t>CHIP RECEIVER 750 SET</t>
  </si>
  <si>
    <t>191D38-1</t>
  </si>
  <si>
    <t>SHEAR BLADE ASSEMBLY 600 E SET</t>
  </si>
  <si>
    <t>191D39-9</t>
  </si>
  <si>
    <t>SHEAR BLADE ASSEMBLY 750 SET</t>
  </si>
  <si>
    <t>191D41-2</t>
  </si>
  <si>
    <t>BLADE 380  SET</t>
  </si>
  <si>
    <t>191D43-8</t>
  </si>
  <si>
    <t>191D51-9</t>
  </si>
  <si>
    <t>BLADE 460  SET</t>
  </si>
  <si>
    <t>191D52-7</t>
  </si>
  <si>
    <t>BLADE 530 SET</t>
  </si>
  <si>
    <t>191D63-2</t>
  </si>
  <si>
    <t>FILTER BAG SET</t>
  </si>
  <si>
    <t>191D65-8</t>
  </si>
  <si>
    <t>191D67-4</t>
  </si>
  <si>
    <t>191D71-3</t>
  </si>
  <si>
    <t>191D73-9</t>
  </si>
  <si>
    <t>191D75-5</t>
  </si>
  <si>
    <t>191D76-3</t>
  </si>
  <si>
    <t>191D77-1</t>
  </si>
  <si>
    <t>191D79-7</t>
  </si>
  <si>
    <t>191D80-2</t>
  </si>
  <si>
    <t>191D90-9</t>
  </si>
  <si>
    <t>191D91-7</t>
  </si>
  <si>
    <t>191E00-2</t>
  </si>
  <si>
    <t>191E07-8</t>
  </si>
  <si>
    <t>191E19-1</t>
  </si>
  <si>
    <t>191E23-0</t>
  </si>
  <si>
    <t>191E27-2</t>
  </si>
  <si>
    <t>SHAFT EXTENSION ATTACHMENT SET</t>
  </si>
  <si>
    <t>191E30-3</t>
  </si>
  <si>
    <t>191E39-5</t>
  </si>
  <si>
    <t>191E52-3</t>
  </si>
  <si>
    <t>DX12 DUST COLLECTION SYSTEM SET</t>
  </si>
  <si>
    <t>191E70-1</t>
  </si>
  <si>
    <t>DC18SD  BATTERY CHARGER SET</t>
  </si>
  <si>
    <t>191F24-4</t>
  </si>
  <si>
    <t>191F25-2</t>
  </si>
  <si>
    <t>CARTRIDGE BARREL B SET</t>
  </si>
  <si>
    <t>191F68-4</t>
  </si>
  <si>
    <t>191F81-2</t>
  </si>
  <si>
    <t>BOQUILLA PROTECTOR DE POLVO 125MM</t>
  </si>
  <si>
    <t>191F82-0</t>
  </si>
  <si>
    <t>191F95-1</t>
  </si>
  <si>
    <t>191G05-4</t>
  </si>
  <si>
    <t>DUST COLLECTION COVER 115/125</t>
  </si>
  <si>
    <t>191G09-6</t>
  </si>
  <si>
    <t>BENDING LONG NOZZLE SET DUB185</t>
  </si>
  <si>
    <t>191G11-9</t>
  </si>
  <si>
    <t>191G14-3</t>
  </si>
  <si>
    <t>191G15-1</t>
  </si>
  <si>
    <t>191G17-7</t>
  </si>
  <si>
    <t>191G23-2</t>
  </si>
  <si>
    <t>191G26-6</t>
  </si>
  <si>
    <t>191G67-2</t>
  </si>
  <si>
    <t>EXTENSION HANDLE SET.</t>
  </si>
  <si>
    <t>191G76-1</t>
  </si>
  <si>
    <t>191G86-8</t>
  </si>
  <si>
    <t>191G87-6</t>
  </si>
  <si>
    <t>191G88-4</t>
  </si>
  <si>
    <t>191G89-2</t>
  </si>
  <si>
    <t>191G96-5</t>
  </si>
  <si>
    <t>191H00-0</t>
  </si>
  <si>
    <t>191H01-8</t>
  </si>
  <si>
    <t>SAW CHAIN SET</t>
  </si>
  <si>
    <t>191H03-4</t>
  </si>
  <si>
    <t>191H08-4</t>
  </si>
  <si>
    <t>191H10-7</t>
  </si>
  <si>
    <t>191H11-5</t>
  </si>
  <si>
    <t>191H12-3</t>
  </si>
  <si>
    <t>191H13-1</t>
  </si>
  <si>
    <t>191H20-4</t>
  </si>
  <si>
    <t>191J13-3</t>
  </si>
  <si>
    <t>191J40-0</t>
  </si>
  <si>
    <t>191J50-7</t>
  </si>
  <si>
    <t>191J51-5</t>
  </si>
  <si>
    <t>191J59-9</t>
  </si>
  <si>
    <t>191J81-6</t>
  </si>
  <si>
    <t>191J97-1</t>
  </si>
  <si>
    <t>191K30-9</t>
  </si>
  <si>
    <t>CHECKER ADAPTER SET</t>
  </si>
  <si>
    <t>191K91-9</t>
  </si>
  <si>
    <t>191L00-4</t>
  </si>
  <si>
    <t>191L22-4</t>
  </si>
  <si>
    <t>191L23-2</t>
  </si>
  <si>
    <t>AUTOALIMENTADOR DE TORNILLOS P/ATORNILLADORES DE DYWALL</t>
  </si>
  <si>
    <t>191L24-0</t>
  </si>
  <si>
    <t>191L25-8</t>
  </si>
  <si>
    <t>191L29-0</t>
  </si>
  <si>
    <t>BATTERY BL4020</t>
  </si>
  <si>
    <t>191L47-8</t>
  </si>
  <si>
    <t>191L80-0</t>
  </si>
  <si>
    <t>191L96-5</t>
  </si>
  <si>
    <t>191M09-2</t>
  </si>
  <si>
    <t>BATTERY CHECKER KIT</t>
  </si>
  <si>
    <t>191M27-0</t>
  </si>
  <si>
    <t>EXTENSION HANDLE SET</t>
  </si>
  <si>
    <t>191M30-1</t>
  </si>
  <si>
    <t>191M32-7</t>
  </si>
  <si>
    <t>191M39-3</t>
  </si>
  <si>
    <t>191M40-8</t>
  </si>
  <si>
    <t>191M44-0</t>
  </si>
  <si>
    <t>ADAPTADOR DE BATERIA</t>
  </si>
  <si>
    <t>191M48-2-SAMPLE</t>
  </si>
  <si>
    <t>191M52-1</t>
  </si>
  <si>
    <t>191M57-1</t>
  </si>
  <si>
    <t>191M75-9</t>
  </si>
  <si>
    <t>191M90-3</t>
  </si>
  <si>
    <t>DC40RC FAST CHARGER SET</t>
  </si>
  <si>
    <t>191N09-8</t>
  </si>
  <si>
    <t>DC40RB 2PORT FAST CHARGER SET</t>
  </si>
  <si>
    <t>191N23-4</t>
  </si>
  <si>
    <t>191N24-2</t>
  </si>
  <si>
    <t>191N34-9</t>
  </si>
  <si>
    <t>191N46-2</t>
  </si>
  <si>
    <t>GRASS TRIMMER ATTACH C SET</t>
  </si>
  <si>
    <t>191N62-4</t>
  </si>
  <si>
    <t>PORTABLE POWER PACK SET</t>
  </si>
  <si>
    <t>191N69-0</t>
  </si>
  <si>
    <t>191N90-9</t>
  </si>
  <si>
    <t>SPONGE PAD 80 SET</t>
  </si>
  <si>
    <t>191N91-7</t>
  </si>
  <si>
    <t>SPONGE PAD 80 SET.</t>
  </si>
  <si>
    <t>191N92-5</t>
  </si>
  <si>
    <t>WOOL PAD 80 SET</t>
  </si>
  <si>
    <t>191P18-9</t>
  </si>
  <si>
    <t>191P20-2</t>
  </si>
  <si>
    <t>191P22-8</t>
  </si>
  <si>
    <t>191P24-4</t>
  </si>
  <si>
    <t>191P26-0</t>
  </si>
  <si>
    <t>191P75-7</t>
  </si>
  <si>
    <t>191P75-7-SAMPLE</t>
  </si>
  <si>
    <t>UB401MP BLOWER ATTACHM.</t>
  </si>
  <si>
    <t>191P89-6</t>
  </si>
  <si>
    <t>191P97-7</t>
  </si>
  <si>
    <t>191R06-8</t>
  </si>
  <si>
    <t>191R57-1</t>
  </si>
  <si>
    <t>191R58-9</t>
  </si>
  <si>
    <t>191T41-8</t>
  </si>
  <si>
    <t>191T41-8-SAMPLE</t>
  </si>
  <si>
    <t>300MM POLE SAW ATTACHMENT SET</t>
  </si>
  <si>
    <t>191T43-4</t>
  </si>
  <si>
    <t>191U13-9</t>
  </si>
  <si>
    <t>191U86-2</t>
  </si>
  <si>
    <t>191U88-8</t>
  </si>
  <si>
    <t>191V01-2</t>
  </si>
  <si>
    <t>191V02-0</t>
  </si>
  <si>
    <t>191V05-4</t>
  </si>
  <si>
    <t>191V06-2</t>
  </si>
  <si>
    <t>191V15-1</t>
  </si>
  <si>
    <t>PSKG1 SOURCE KIT</t>
  </si>
  <si>
    <t>191V27-4</t>
  </si>
  <si>
    <t>191V68-0</t>
  </si>
  <si>
    <t>191V70-3</t>
  </si>
  <si>
    <t>191W19-9</t>
  </si>
  <si>
    <t>DC64WA</t>
  </si>
  <si>
    <t>191W37-7</t>
  </si>
  <si>
    <t>191W60-2</t>
  </si>
  <si>
    <t>191X01-4</t>
  </si>
  <si>
    <t>JUEGO DE ALIMENTACIÖN DE AGUA P/DCC500</t>
  </si>
  <si>
    <t>191X11-1</t>
  </si>
  <si>
    <t>NOZZLE 3 SET</t>
  </si>
  <si>
    <t>191X13-7</t>
  </si>
  <si>
    <t>NOZZLE 7 SET</t>
  </si>
  <si>
    <t>191X15-3</t>
  </si>
  <si>
    <t>NOZZLE 13 SET</t>
  </si>
  <si>
    <t>191X17-9</t>
  </si>
  <si>
    <t>PINCH VAVLE NOZZLE SET</t>
  </si>
  <si>
    <t>191X19-5</t>
  </si>
  <si>
    <t>WIDE RANGE NOZZLE SET</t>
  </si>
  <si>
    <t>191X21-8</t>
  </si>
  <si>
    <t>FLEXIBLE NOZZLE COMPLETE SET</t>
  </si>
  <si>
    <t>191X25-0</t>
  </si>
  <si>
    <t>ACCESORIO DE GOMA 20-30 SET - AS001G</t>
  </si>
  <si>
    <t>191X39-9</t>
  </si>
  <si>
    <t>SET DE EXTRACCIÓN DE POLVO DX12 (P/HR001G/HR003G)</t>
  </si>
  <si>
    <t>191X78-9</t>
  </si>
  <si>
    <t>JUEGO DE BOQUILLAS LARGAS</t>
  </si>
  <si>
    <t>191X80-2</t>
  </si>
  <si>
    <t>MALETA ORGANIZADORA MAKPAC 13 COMPARTIMIENTOS</t>
  </si>
  <si>
    <t>191Y22-2</t>
  </si>
  <si>
    <t>ALMOHADILLA DE GANCHO PARA PULIDORA  LIJADORA (TRIANGULAR)</t>
  </si>
  <si>
    <t>191Y23-0</t>
  </si>
  <si>
    <t>ALMOHADILLA DE GANCHO PARA PULIDORA  LIJADORA (RECTANGULAR)</t>
  </si>
  <si>
    <t>191Y24-8</t>
  </si>
  <si>
    <t>ALMOHADILLA DE GANCHO PARA PULIDORA  LIJADORA (CUADRADO)</t>
  </si>
  <si>
    <t>191Y25-6</t>
  </si>
  <si>
    <t>ALMOHADILLA COMPLETA PARA LIJADORA</t>
  </si>
  <si>
    <t>191Y27-2</t>
  </si>
  <si>
    <t>191Y86-6</t>
  </si>
  <si>
    <t>191Y97-1</t>
  </si>
  <si>
    <t>192236-6</t>
  </si>
  <si>
    <t>192424-5</t>
  </si>
  <si>
    <t>GUIA DE REGLA P/4304 - 4305</t>
  </si>
  <si>
    <t>192547-9</t>
  </si>
  <si>
    <t>TUBERIA DE POLVO P/4331D - 4333D</t>
  </si>
  <si>
    <t>192562-3</t>
  </si>
  <si>
    <t>192563-1</t>
  </si>
  <si>
    <t>192605-1</t>
  </si>
  <si>
    <t>FILTRO DE NYLON 406-407</t>
  </si>
  <si>
    <t>192613-2</t>
  </si>
  <si>
    <t>JUNTURA DE CODO 32 P/407</t>
  </si>
  <si>
    <t>192618-2</t>
  </si>
  <si>
    <t>192629-7</t>
  </si>
  <si>
    <t>LANA PAD 180 P/9227C</t>
  </si>
  <si>
    <t>192732-4</t>
  </si>
  <si>
    <t>GUIA DE REGLA P/4323 - 4324</t>
  </si>
  <si>
    <t>192749-7</t>
  </si>
  <si>
    <t>192797-6</t>
  </si>
  <si>
    <t>EXTENCION MESA DERECHA 2703</t>
  </si>
  <si>
    <t>192798-4</t>
  </si>
  <si>
    <t>EXTENCION MESA  IZQUIERDA 2703</t>
  </si>
  <si>
    <t>192989-7</t>
  </si>
  <si>
    <t>PLATO PARA PERFORAR BO3700</t>
  </si>
  <si>
    <t>193059-5</t>
  </si>
  <si>
    <t>NI-MH(3.0A) BATTERY 1235 SET</t>
  </si>
  <si>
    <t>193068-4</t>
  </si>
  <si>
    <t>CONECTOR DE ASPIRADORACION PARA N5900B</t>
  </si>
  <si>
    <t>193099-3</t>
  </si>
  <si>
    <t>193143-6</t>
  </si>
  <si>
    <t>193201-8</t>
  </si>
  <si>
    <t>PLATO DE CARBON P/ 9403</t>
  </si>
  <si>
    <t>193202-6</t>
  </si>
  <si>
    <t>PLATO DE GOMA CORCHO P/ 9403</t>
  </si>
  <si>
    <t>193312-9</t>
  </si>
  <si>
    <t>GUIA RECTA AJUSTABLE P/3620</t>
  </si>
  <si>
    <t>193516-3</t>
  </si>
  <si>
    <t>GUIA RECTA P/ 4340CT-4340FCT</t>
  </si>
  <si>
    <t>193517-1</t>
  </si>
  <si>
    <t>GUIA DE ADAPTACION  P/4340FCT</t>
  </si>
  <si>
    <t>193618-5</t>
  </si>
  <si>
    <t>GUIA COPIADORA DE LIJADO P/ 9032</t>
  </si>
  <si>
    <t>193736-9</t>
  </si>
  <si>
    <t>193739-3</t>
  </si>
  <si>
    <t>193794-5</t>
  </si>
  <si>
    <t>193864-0</t>
  </si>
  <si>
    <t>CARGADOR 7.2V - 9.6V - 12V - 14.4V ( DC1414 )</t>
  </si>
  <si>
    <t>193894-1</t>
  </si>
  <si>
    <t>GUARDAPOLVO</t>
  </si>
  <si>
    <t>194010-8</t>
  </si>
  <si>
    <t>194034-4</t>
  </si>
  <si>
    <t>194041-7</t>
  </si>
  <si>
    <t>ADAPTADOR SDS-PLUS CON MADRIL Y LLAVE</t>
  </si>
  <si>
    <t>194044-1</t>
  </si>
  <si>
    <t>194079-2</t>
  </si>
  <si>
    <t>194080-7</t>
  </si>
  <si>
    <t>SOPORTE DE HERRAMIENTA P/HR2450</t>
  </si>
  <si>
    <t>194092-0</t>
  </si>
  <si>
    <t>194098-8</t>
  </si>
  <si>
    <t>194103-1</t>
  </si>
  <si>
    <t>DC1804 BATTERY CHARGER</t>
  </si>
  <si>
    <t>194164-1</t>
  </si>
  <si>
    <t>194233-8</t>
  </si>
  <si>
    <t>PROTECTOR DE POLVO COMPLETO P/PW5001C</t>
  </si>
  <si>
    <t>194267-1</t>
  </si>
  <si>
    <t>TRIMMER BASE ASSEMBLY SET</t>
  </si>
  <si>
    <t>194289-1</t>
  </si>
  <si>
    <t>GUARDAPOLVO GA7020  GA9020</t>
  </si>
  <si>
    <t>194310-6</t>
  </si>
  <si>
    <t>194312-2</t>
  </si>
  <si>
    <t>194367-7</t>
  </si>
  <si>
    <t>GUIDE RAIL 3000 SET</t>
  </si>
  <si>
    <t>194368-5</t>
  </si>
  <si>
    <t>RIEL GUIA DE LONGITUD TOTAL 1.4M</t>
  </si>
  <si>
    <t>194385-5</t>
  </si>
  <si>
    <t>194416-0</t>
  </si>
  <si>
    <t>194417-8</t>
  </si>
  <si>
    <t>194513-2</t>
  </si>
  <si>
    <t>194543-3</t>
  </si>
  <si>
    <t>194550-6</t>
  </si>
  <si>
    <t>194565-3</t>
  </si>
  <si>
    <t>194579-2</t>
  </si>
  <si>
    <t>GUIDE RAIL ADAPTER SET</t>
  </si>
  <si>
    <t>194588-1</t>
  </si>
  <si>
    <t>194622-7</t>
  </si>
  <si>
    <t>194677-2</t>
  </si>
  <si>
    <t>SET DE CABLE DE SOPORTE COMPLETO P/UH5261</t>
  </si>
  <si>
    <t>194679-8</t>
  </si>
  <si>
    <t>SET DE BRAZALETE COMPLETP P/UH5261</t>
  </si>
  <si>
    <t>194683-7</t>
  </si>
  <si>
    <t>GRASA PARA ENCASTRE  P/ BHR262</t>
  </si>
  <si>
    <t>194692-6</t>
  </si>
  <si>
    <t>CUCHILLA PARA SIERRA DE BANDA BI-METAL X 24 DIENTES</t>
  </si>
  <si>
    <t>194873-2</t>
  </si>
  <si>
    <t>194921-7</t>
  </si>
  <si>
    <t>CEPILLO DE RESPUESTO P/PC5000C</t>
  </si>
  <si>
    <t>194925-9</t>
  </si>
  <si>
    <t>GUIDE RAIL 1900 SET</t>
  </si>
  <si>
    <t>194934-8</t>
  </si>
  <si>
    <t>TUBERIA DE POLVO P/ROUTER</t>
  </si>
  <si>
    <t>195132-7</t>
  </si>
  <si>
    <t>SET COPA POLVO(CAMBIO RAPIDO) P/HR2300</t>
  </si>
  <si>
    <t>195236-5</t>
  </si>
  <si>
    <t>PROTECTOR DE POLVO PARA AMOLADORA 115MM.</t>
  </si>
  <si>
    <t>195239-9</t>
  </si>
  <si>
    <t>GUARDAPOLVO K  P/ 9565C (127147-6)</t>
  </si>
  <si>
    <t>195250-1</t>
  </si>
  <si>
    <t>GUARDAPOLVO  P/ 9565C</t>
  </si>
  <si>
    <t>195267-4</t>
  </si>
  <si>
    <t>195299-1</t>
  </si>
  <si>
    <t>195300-2</t>
  </si>
  <si>
    <t>195310-9</t>
  </si>
  <si>
    <t>SET DE ADPTADOR DE BATERIA P/BUH550.</t>
  </si>
  <si>
    <t>195387-4</t>
  </si>
  <si>
    <t>DUST COLLECTING WHEEL GUARD</t>
  </si>
  <si>
    <t>195388-2</t>
  </si>
  <si>
    <t>195410-5</t>
  </si>
  <si>
    <t>195423-6</t>
  </si>
  <si>
    <t>CARGADOR DE BATERIAS DC18WA P/DF457DWE/ H</t>
  </si>
  <si>
    <t>195430-9</t>
  </si>
  <si>
    <t>195432-5</t>
  </si>
  <si>
    <t>195433-3</t>
  </si>
  <si>
    <t>195434-1</t>
  </si>
  <si>
    <t>195435-9</t>
  </si>
  <si>
    <t>195436-7</t>
  </si>
  <si>
    <t>195437-5</t>
  </si>
  <si>
    <t>195438-3</t>
  </si>
  <si>
    <t>195439-1</t>
  </si>
  <si>
    <t>195440-6</t>
  </si>
  <si>
    <t>195441-4</t>
  </si>
  <si>
    <t>195482-0</t>
  </si>
  <si>
    <t>195532-1</t>
  </si>
  <si>
    <t>OIL BOTTLE SET</t>
  </si>
  <si>
    <t>195534-7</t>
  </si>
  <si>
    <t>ACCESORIOS DE ENFRIAMIENTO</t>
  </si>
  <si>
    <t>195544-4</t>
  </si>
  <si>
    <t>195545-2</t>
  </si>
  <si>
    <t>195546-0</t>
  </si>
  <si>
    <t>195547-8</t>
  </si>
  <si>
    <t>195548-6</t>
  </si>
  <si>
    <t>195549-4</t>
  </si>
  <si>
    <t>195551-7</t>
  </si>
  <si>
    <t>195552-5</t>
  </si>
  <si>
    <t>195553-3</t>
  </si>
  <si>
    <t>195554-1</t>
  </si>
  <si>
    <t>195555-9</t>
  </si>
  <si>
    <t>195556-7</t>
  </si>
  <si>
    <t>195557-5</t>
  </si>
  <si>
    <t>195558-3</t>
  </si>
  <si>
    <t>195563-0</t>
  </si>
  <si>
    <t>PLUNGE BASE SET</t>
  </si>
  <si>
    <t>195584-2</t>
  </si>
  <si>
    <t>195611-5</t>
  </si>
  <si>
    <t>195612-3</t>
  </si>
  <si>
    <t>195624-6</t>
  </si>
  <si>
    <t>195645-8</t>
  </si>
  <si>
    <t>195707-2</t>
  </si>
  <si>
    <t>195715-3</t>
  </si>
  <si>
    <t>195725-0</t>
  </si>
  <si>
    <t>195729-2</t>
  </si>
  <si>
    <t>CABEZAL CORTASETOS P/EX2650LH</t>
  </si>
  <si>
    <t>195769-0</t>
  </si>
  <si>
    <t>BLADE ASSEMBLY DUH523</t>
  </si>
  <si>
    <t>195858-1</t>
  </si>
  <si>
    <t>SPOOL SET P/BUR181PK</t>
  </si>
  <si>
    <t>195922-8</t>
  </si>
  <si>
    <t>196031-6</t>
  </si>
  <si>
    <t>196100-3</t>
  </si>
  <si>
    <t>CABEZAL SIERRA PERTIGA P/EX2650LH (199925-4)</t>
  </si>
  <si>
    <t>196129-9</t>
  </si>
  <si>
    <t>196133-8</t>
  </si>
  <si>
    <t>196142-7</t>
  </si>
  <si>
    <t>196167-1</t>
  </si>
  <si>
    <t>CUCHILLA COMPLETA P/BUH523PK.</t>
  </si>
  <si>
    <t>196205-9</t>
  </si>
  <si>
    <t>196208-3</t>
  </si>
  <si>
    <t>196213-0</t>
  </si>
  <si>
    <t>196214-8</t>
  </si>
  <si>
    <t>SAW CHAIN 18 SET</t>
  </si>
  <si>
    <t>196251-2</t>
  </si>
  <si>
    <t>196252-0</t>
  </si>
  <si>
    <t>196254-6</t>
  </si>
  <si>
    <t>196276-6</t>
  </si>
  <si>
    <t>OUTER SLEEVE 20-37 SET</t>
  </si>
  <si>
    <t>196338-0</t>
  </si>
  <si>
    <t>196341-1</t>
  </si>
  <si>
    <t>196348-7</t>
  </si>
  <si>
    <t>CARGADOR 7.2-12V LI-ON MAX (DC10WB) P/LC204</t>
  </si>
  <si>
    <t>196426-3</t>
  </si>
  <si>
    <t>196431-0</t>
  </si>
  <si>
    <t>SET DE REFRIGERACION P/4100NH (MANGUERA Y CONECTORES)</t>
  </si>
  <si>
    <t>196589-5</t>
  </si>
  <si>
    <t>196643-5</t>
  </si>
  <si>
    <t>MAGUERA FLEXIBLE UB1103</t>
  </si>
  <si>
    <t>196664-7</t>
  </si>
  <si>
    <t>BEVEL GUIDE SET</t>
  </si>
  <si>
    <t>196684-1</t>
  </si>
  <si>
    <t>RUBBER PAD(SOFT) FOR BO6030</t>
  </si>
  <si>
    <t>196693-0</t>
  </si>
  <si>
    <t>2 BATERIAS (BL1830) - 18V + CARGADOR (DC18RC) - 18V + MALETIN (197952-5)</t>
  </si>
  <si>
    <t>196707-5</t>
  </si>
  <si>
    <t>3 BATERIAS (BL1830)18V+CARGADOR(DC18RC)+BCV02+MALETIN (197962-2)</t>
  </si>
  <si>
    <t>196720-3</t>
  </si>
  <si>
    <t>MAINTENANCE KIT SET</t>
  </si>
  <si>
    <t>196729-5</t>
  </si>
  <si>
    <t>TUBO SOPLADO UB1103</t>
  </si>
  <si>
    <t>196733-4</t>
  </si>
  <si>
    <t>196740-7</t>
  </si>
  <si>
    <t>196742-3</t>
  </si>
  <si>
    <t>CADENA P/DUC400</t>
  </si>
  <si>
    <t>196745-7</t>
  </si>
  <si>
    <t>196751-2</t>
  </si>
  <si>
    <t>196845-3</t>
  </si>
  <si>
    <t>196846-1</t>
  </si>
  <si>
    <t>CUBIERTA RECOLECTORA DE POLVO</t>
  </si>
  <si>
    <t>196858-4</t>
  </si>
  <si>
    <t>SET SDS-MAX P/ESTRACCION DE POLVO (DEMOLICION Y PERFORACION)</t>
  </si>
  <si>
    <t>196920-5</t>
  </si>
  <si>
    <t>WATER SUPPLY</t>
  </si>
  <si>
    <t>196933-6</t>
  </si>
  <si>
    <t>197020-4</t>
  </si>
  <si>
    <t>197030-1</t>
  </si>
  <si>
    <t>CUTTER ASSEMBLY 154 SET FOR EBH341L</t>
  </si>
  <si>
    <t>197148-8</t>
  </si>
  <si>
    <t>DUST COLLECTOR SET WITH HOSE</t>
  </si>
  <si>
    <t>197163-2</t>
  </si>
  <si>
    <t>COFFEE HARVESTER ATTACHMENT</t>
  </si>
  <si>
    <t>197166-6</t>
  </si>
  <si>
    <t>FILTRO DVC860L</t>
  </si>
  <si>
    <t>197168-2</t>
  </si>
  <si>
    <t>EXTRACTOR ATTACHMENT SET</t>
  </si>
  <si>
    <t>197224-8</t>
  </si>
  <si>
    <t>WIDE HOOK SET P/ HERRAMIENTAS INALAMBRICAS</t>
  </si>
  <si>
    <t>197234-5</t>
  </si>
  <si>
    <t>197252-3</t>
  </si>
  <si>
    <t>197265-4</t>
  </si>
  <si>
    <t>197267-0</t>
  </si>
  <si>
    <t>197280-8</t>
  </si>
  <si>
    <t>197282-4</t>
  </si>
  <si>
    <t>197296-3</t>
  </si>
  <si>
    <t>197314-7</t>
  </si>
  <si>
    <t>PAD 150 SET</t>
  </si>
  <si>
    <t>197315-5</t>
  </si>
  <si>
    <t>197316-3</t>
  </si>
  <si>
    <t>197323-6</t>
  </si>
  <si>
    <t>197334-1</t>
  </si>
  <si>
    <t>CHARGER DC10WC</t>
  </si>
  <si>
    <t>197363-4</t>
  </si>
  <si>
    <t>197393-5</t>
  </si>
  <si>
    <t>197396-9</t>
  </si>
  <si>
    <t>197397-7</t>
  </si>
  <si>
    <t>197406-2</t>
  </si>
  <si>
    <t>197407-0</t>
  </si>
  <si>
    <t>197422-4</t>
  </si>
  <si>
    <t>197423-2</t>
  </si>
  <si>
    <t>197439-7</t>
  </si>
  <si>
    <t>197472-9</t>
  </si>
  <si>
    <t>197599-5</t>
  </si>
  <si>
    <t>197600-6</t>
  </si>
  <si>
    <t>197626-8</t>
  </si>
  <si>
    <t>197629-2</t>
  </si>
  <si>
    <t>197658-5</t>
  </si>
  <si>
    <t>197709-4</t>
  </si>
  <si>
    <t>197742-6</t>
  </si>
  <si>
    <t>197761-2</t>
  </si>
  <si>
    <t>BLADE 430 SET.</t>
  </si>
  <si>
    <t>197763-8</t>
  </si>
  <si>
    <t>197804-0</t>
  </si>
  <si>
    <t>CUTTER ASSEMBLY 95-M10L SET</t>
  </si>
  <si>
    <t>197822-8</t>
  </si>
  <si>
    <t>197824-4</t>
  </si>
  <si>
    <t>197828-6</t>
  </si>
  <si>
    <t>197831-7</t>
  </si>
  <si>
    <t>197837-5</t>
  </si>
  <si>
    <t>197840-6</t>
  </si>
  <si>
    <t>197842-2</t>
  </si>
  <si>
    <t>197845-6</t>
  </si>
  <si>
    <t>197847-2</t>
  </si>
  <si>
    <t>197850-3</t>
  </si>
  <si>
    <t>197853-7</t>
  </si>
  <si>
    <t>197859-5</t>
  </si>
  <si>
    <t>197864-2</t>
  </si>
  <si>
    <t>197867-6</t>
  </si>
  <si>
    <t>197870-7</t>
  </si>
  <si>
    <t>197873-1</t>
  </si>
  <si>
    <t>197876-5</t>
  </si>
  <si>
    <t>197879-9</t>
  </si>
  <si>
    <t>197881-2</t>
  </si>
  <si>
    <t>197883-8</t>
  </si>
  <si>
    <t>197886-2</t>
  </si>
  <si>
    <t>197888-8</t>
  </si>
  <si>
    <t>197889-6</t>
  </si>
  <si>
    <t>197898-5</t>
  </si>
  <si>
    <t>197900-4</t>
  </si>
  <si>
    <t>197902-0</t>
  </si>
  <si>
    <t>197923-2</t>
  </si>
  <si>
    <t>PAD 125 SET</t>
  </si>
  <si>
    <t>197952-5</t>
  </si>
  <si>
    <t>197962-2</t>
  </si>
  <si>
    <t>198000-3</t>
  </si>
  <si>
    <t>BATERIA 7.2 V (1.3 AH) (BL0715) - LI-ION</t>
  </si>
  <si>
    <t>198038-8</t>
  </si>
  <si>
    <t>BTC04 BATTERY CHECKER SET</t>
  </si>
  <si>
    <t>198061-3</t>
  </si>
  <si>
    <t>198077-8</t>
  </si>
  <si>
    <t>198104-1</t>
  </si>
  <si>
    <t>198116-4</t>
  </si>
  <si>
    <t>198140-7</t>
  </si>
  <si>
    <t>198150-4</t>
  </si>
  <si>
    <t>198170-8</t>
  </si>
  <si>
    <t>BATTERY TIMER ADAPTER SET FOR</t>
  </si>
  <si>
    <t>198183-9</t>
  </si>
  <si>
    <t>198184-7</t>
  </si>
  <si>
    <t>198186-3</t>
  </si>
  <si>
    <t>198195-2</t>
  </si>
  <si>
    <t>198248-7</t>
  </si>
  <si>
    <t>198253-4</t>
  </si>
  <si>
    <t>MAKPAC COOL BOX 18L</t>
  </si>
  <si>
    <t>198254-2</t>
  </si>
  <si>
    <t>MAKPAC COOL BOX 11L</t>
  </si>
  <si>
    <t>198259-2</t>
  </si>
  <si>
    <t>198313-2</t>
  </si>
  <si>
    <t>198379-2</t>
  </si>
  <si>
    <t>198384-9</t>
  </si>
  <si>
    <t>198408-1</t>
  </si>
  <si>
    <t>198409-9</t>
  </si>
  <si>
    <t>CUCHILLAS CORTA SETOS</t>
  </si>
  <si>
    <t>198416-2</t>
  </si>
  <si>
    <t>198427-7</t>
  </si>
  <si>
    <t>198444-7</t>
  </si>
  <si>
    <t>198494-2</t>
  </si>
  <si>
    <t>198516-8</t>
  </si>
  <si>
    <t>198538-8</t>
  </si>
  <si>
    <t>198540-1</t>
  </si>
  <si>
    <t>198548-5</t>
  </si>
  <si>
    <t>198553-2</t>
  </si>
  <si>
    <t>198555-8</t>
  </si>
  <si>
    <t>198559-0</t>
  </si>
  <si>
    <t>198566-3</t>
  </si>
  <si>
    <t>GUIDE RAIL ADAPTER F SET</t>
  </si>
  <si>
    <t>198603-3</t>
  </si>
  <si>
    <t>DISCO PARA MULTI-CORTADORA (CP 100D)</t>
  </si>
  <si>
    <t>198604-1</t>
  </si>
  <si>
    <t>MULTI CUTTER BLADE SET</t>
  </si>
  <si>
    <t>198673-2</t>
  </si>
  <si>
    <t>198688-9</t>
  </si>
  <si>
    <t>MESA PARA INGLETEADORA (LS0714F /LH1040F /LS1040F /LS1013F /LS1214F)</t>
  </si>
  <si>
    <t>198701-3</t>
  </si>
  <si>
    <t>198702-1</t>
  </si>
  <si>
    <t>198731-4</t>
  </si>
  <si>
    <t>ADAPTADOR OVERSEA</t>
  </si>
  <si>
    <t>198732-2</t>
  </si>
  <si>
    <t>198746-1</t>
  </si>
  <si>
    <t>198747-9</t>
  </si>
  <si>
    <t>198748-7</t>
  </si>
  <si>
    <t>198750-0</t>
  </si>
  <si>
    <t>198761-5</t>
  </si>
  <si>
    <t>198774-6</t>
  </si>
  <si>
    <t>198808-5</t>
  </si>
  <si>
    <t>198848-3</t>
  </si>
  <si>
    <t>CABEZAL DE CUCHILLAS P/UR100D.</t>
  </si>
  <si>
    <t>198850-6</t>
  </si>
  <si>
    <t>PLASTIC BLADE BLADE SET M</t>
  </si>
  <si>
    <t>198853-0</t>
  </si>
  <si>
    <t>CUTTER ASSEMBLY SET</t>
  </si>
  <si>
    <t>198873-4</t>
  </si>
  <si>
    <t>198878-4</t>
  </si>
  <si>
    <t>198885-7</t>
  </si>
  <si>
    <t>GUIDE RAIL CONNECTOR SET</t>
  </si>
  <si>
    <t>198892-0</t>
  </si>
  <si>
    <t>198901-5</t>
  </si>
  <si>
    <t>WIRELESS UNIT SET</t>
  </si>
  <si>
    <t>198972-2</t>
  </si>
  <si>
    <t>199038-1</t>
  </si>
  <si>
    <t>199041-2</t>
  </si>
  <si>
    <t>199063-2</t>
  </si>
  <si>
    <t>199078-9</t>
  </si>
  <si>
    <t>ACCESORIO AUTO-ALIMENTADOR PARA ATORNILLADORAS DE DRYWALL</t>
  </si>
  <si>
    <t>199116-7</t>
  </si>
  <si>
    <t>199137-9</t>
  </si>
  <si>
    <t>199140-0</t>
  </si>
  <si>
    <t>GUIDE RAIL 1000SET</t>
  </si>
  <si>
    <t>199141-8</t>
  </si>
  <si>
    <t>REGLA GUIA RIEL 1.5 METRO {SP6000-DSP600-DSP601}</t>
  </si>
  <si>
    <t>199142-6</t>
  </si>
  <si>
    <t>DUST EXTRACTOR ATTACHMENT  SET</t>
  </si>
  <si>
    <t>199151-5</t>
  </si>
  <si>
    <t>199155-7</t>
  </si>
  <si>
    <t>BIT 2-130 SET 1SET=SPCS</t>
  </si>
  <si>
    <t>199186-6</t>
  </si>
  <si>
    <t>199324-0</t>
  </si>
  <si>
    <t>199345-2</t>
  </si>
  <si>
    <t>199367-2</t>
  </si>
  <si>
    <t>BLADE 460 SET</t>
  </si>
  <si>
    <t>199388-4</t>
  </si>
  <si>
    <t>199439-3</t>
  </si>
  <si>
    <t>199450-5</t>
  </si>
  <si>
    <t>199454-7</t>
  </si>
  <si>
    <t>199455-5</t>
  </si>
  <si>
    <t>199486-4</t>
  </si>
  <si>
    <t>199491-1</t>
  </si>
  <si>
    <t>199579-7</t>
  </si>
  <si>
    <t>DX08DUST COLLECTION SYSTEM SET</t>
  </si>
  <si>
    <t>199658-1</t>
  </si>
  <si>
    <t>DX05DUST COLLECTION SYSTEM SET</t>
  </si>
  <si>
    <t>199687-4</t>
  </si>
  <si>
    <t>DC18SH TWO PORT MULTI CHARGER</t>
  </si>
  <si>
    <t>199858-3</t>
  </si>
  <si>
    <t>WIRLESS UNIT ADAPTOR SET</t>
  </si>
  <si>
    <t>199858-3-SAMPLE</t>
  </si>
  <si>
    <t>199861-4</t>
  </si>
  <si>
    <t>199864-8</t>
  </si>
  <si>
    <t>199867-2</t>
  </si>
  <si>
    <t>199872-9</t>
  </si>
  <si>
    <t>CUTTER 225 SET MG</t>
  </si>
  <si>
    <t>199873-7</t>
  </si>
  <si>
    <t>199874-5</t>
  </si>
  <si>
    <t>SHREDDER BLADE 270 SET MG</t>
  </si>
  <si>
    <t>199875-3</t>
  </si>
  <si>
    <t>199925-4</t>
  </si>
  <si>
    <t>199930-1</t>
  </si>
  <si>
    <t>199938-5</t>
  </si>
  <si>
    <t>PAD 220 SET</t>
  </si>
  <si>
    <t>199939-3</t>
  </si>
  <si>
    <t>PAD 210 SET</t>
  </si>
  <si>
    <t>199971-7</t>
  </si>
  <si>
    <t>199989-8</t>
  </si>
  <si>
    <t>19L</t>
  </si>
  <si>
    <t>BROCA ANULAR ENCASTRE WELDON 19 X50MM</t>
  </si>
  <si>
    <t>19S</t>
  </si>
  <si>
    <t>BROCA ANULAR ENCASTRE WELDON 19 X25MM</t>
  </si>
  <si>
    <t>1R045</t>
  </si>
  <si>
    <t>GUIA DE EXTRACCION LARGA</t>
  </si>
  <si>
    <t>2012NB</t>
  </si>
  <si>
    <t>20L</t>
  </si>
  <si>
    <t>BROCA ANULAR ENCASTRE WELDON 20 X50MM</t>
  </si>
  <si>
    <t>20S</t>
  </si>
  <si>
    <t>BROCA ANULAR ENCASTRE WELDON 20 X25MM</t>
  </si>
  <si>
    <t>2107FK</t>
  </si>
  <si>
    <t>21L</t>
  </si>
  <si>
    <t>BROCA ANUALAR ENCASTRE WELDON 21 X50MM</t>
  </si>
  <si>
    <t>21S</t>
  </si>
  <si>
    <t>BROCA ANUALAR ENCASTRE WELDON 21 X25MM</t>
  </si>
  <si>
    <t>226992-7</t>
  </si>
  <si>
    <t>22L</t>
  </si>
  <si>
    <t>BROCA ANULAR ENCASTRE WELDON 22X50MM</t>
  </si>
  <si>
    <t>22S</t>
  </si>
  <si>
    <t>BROCA ANULAR ENCASTRE WELDON 22X25MM</t>
  </si>
  <si>
    <t>23L</t>
  </si>
  <si>
    <t>BROCA ANULAR ENCASTRE WELDON 23X50MM</t>
  </si>
  <si>
    <t>23S</t>
  </si>
  <si>
    <t>BROCA ANULAR ENCASTRE WELDON 23X25MM</t>
  </si>
  <si>
    <t>2414NBEX</t>
  </si>
  <si>
    <t>24L</t>
  </si>
  <si>
    <t>BROCA ANULAR ENCASTRE WELDON 24X50MM</t>
  </si>
  <si>
    <t>24S</t>
  </si>
  <si>
    <t>BROCA ANULAR ENCASTRE WELDON 24X25MM</t>
  </si>
  <si>
    <t>25L</t>
  </si>
  <si>
    <t>BROCA ANULAR ENCASTRE WELDON 25X50MM</t>
  </si>
  <si>
    <t>25S</t>
  </si>
  <si>
    <t>BROCA ANULAR ENCASTRE WELDON 25X25MM</t>
  </si>
  <si>
    <t>26L</t>
  </si>
  <si>
    <t>BROCA ANULAR ENCASTRE WELDON 26X50MM</t>
  </si>
  <si>
    <t>26S</t>
  </si>
  <si>
    <t>BROCA ANULAR ENCASTRE WELDON 26X25MM</t>
  </si>
  <si>
    <t>273436-8</t>
  </si>
  <si>
    <t>MANGO 37 P/ LS 1400</t>
  </si>
  <si>
    <t>273457-0</t>
  </si>
  <si>
    <t>MANGO 32 P/HR3850B - HM0810</t>
  </si>
  <si>
    <t>273467-7</t>
  </si>
  <si>
    <t>MANGO 32 P/HM1201</t>
  </si>
  <si>
    <t>273472-4</t>
  </si>
  <si>
    <t>MANGO 32 P/ HR3850B - HR5000</t>
  </si>
  <si>
    <t>273627-1</t>
  </si>
  <si>
    <t>MANGO  RECTO 32 P/8419B-2</t>
  </si>
  <si>
    <t>27L</t>
  </si>
  <si>
    <t>BROCA ANULAR ENCASTRE WELDON 27X50MM</t>
  </si>
  <si>
    <t>27S</t>
  </si>
  <si>
    <t>BROCA ANULAR ENCASTRE WELDON 27X25MM</t>
  </si>
  <si>
    <t>28L</t>
  </si>
  <si>
    <t>BROCA ANULAR ENCASTRE WELDON 28X50MM</t>
  </si>
  <si>
    <t>28S</t>
  </si>
  <si>
    <t>BROCA ANULAR ENCASTRE WELDON 28X25MM</t>
  </si>
  <si>
    <t>29L</t>
  </si>
  <si>
    <t>BROCA ANULAR ENCASTRE WELDON 29X50MM</t>
  </si>
  <si>
    <t>30L</t>
  </si>
  <si>
    <t>BROCA ANULAR ENCASTRE WELDON 30X50MM</t>
  </si>
  <si>
    <t>30S</t>
  </si>
  <si>
    <t>BROCA ANULAR ENCASTRE WELDON 30X25MM</t>
  </si>
  <si>
    <t>31S</t>
  </si>
  <si>
    <t>BROCA ANULAR ENCASTRE WELDON 31X25MM</t>
  </si>
  <si>
    <t>321492-3</t>
  </si>
  <si>
    <t>322027-3</t>
  </si>
  <si>
    <t>SOPORTE P / LS1510</t>
  </si>
  <si>
    <t>323018-7</t>
  </si>
  <si>
    <t>GUIA DE PLANTILLA 16</t>
  </si>
  <si>
    <t>326381-7</t>
  </si>
  <si>
    <t>326734-0</t>
  </si>
  <si>
    <t>327B35-1</t>
  </si>
  <si>
    <t>SOPORTE DEL EJE</t>
  </si>
  <si>
    <t>32L</t>
  </si>
  <si>
    <t>BROCA ANULAR ENCASTRE WELDON 32X50MM</t>
  </si>
  <si>
    <t>32S</t>
  </si>
  <si>
    <t>BROCA ANULAR ENCASTRE WELDON 32X25MM</t>
  </si>
  <si>
    <t>33L</t>
  </si>
  <si>
    <t>BROCA ANULAR ENCASTRE WELDON 33X50MM</t>
  </si>
  <si>
    <t>33S</t>
  </si>
  <si>
    <t>BROCA ANULAR ENCASTRE WELDON 33X25MM</t>
  </si>
  <si>
    <t>342428-9</t>
  </si>
  <si>
    <t>GUIA RECTA P/3612-3612BR</t>
  </si>
  <si>
    <t>344364-5</t>
  </si>
  <si>
    <t>347617-1</t>
  </si>
  <si>
    <t>WHEEL COVER 115</t>
  </si>
  <si>
    <t>351011-000</t>
  </si>
  <si>
    <t>35L</t>
  </si>
  <si>
    <t>BROCA ANULAR ENCASTRE WELDON 35X50MM</t>
  </si>
  <si>
    <t>35S</t>
  </si>
  <si>
    <t>BROCA ANULAR ENCASTRE WELDON 35X25MM</t>
  </si>
  <si>
    <t>36L</t>
  </si>
  <si>
    <t>BROCA ANULAR ENCASTRE WELDON 36X50MM</t>
  </si>
  <si>
    <t>37L</t>
  </si>
  <si>
    <t>BROCA ANULAR ENCASTRE WELDON 37X50MM</t>
  </si>
  <si>
    <t>37S</t>
  </si>
  <si>
    <t>BROCA ANULAR ENCASTRE WELDON 37X25MM</t>
  </si>
  <si>
    <t>CABEZAL DE CORTE PARA NYLON DBC4510</t>
  </si>
  <si>
    <t>38L</t>
  </si>
  <si>
    <t>BROCA ANULAR ENCASTRE WELDON 38X50MM</t>
  </si>
  <si>
    <t>38S</t>
  </si>
  <si>
    <t>BROCA ANULAR ENCASTRE WELDON 38X25MM</t>
  </si>
  <si>
    <t>CARRO DE GUIA</t>
  </si>
  <si>
    <t>39L</t>
  </si>
  <si>
    <t>BROCA ANULAR ENCASTRE WELDON 39X50MM</t>
  </si>
  <si>
    <t>39S</t>
  </si>
  <si>
    <t>BROCA ANULAR ENCASTRE WELDON 39X25MM</t>
  </si>
  <si>
    <t>3R003</t>
  </si>
  <si>
    <t>BATTERY INITIALIZATION JIG</t>
  </si>
  <si>
    <t>40L</t>
  </si>
  <si>
    <t>BROCA ANULAR ENCASTRE WELDON 40X50MM</t>
  </si>
  <si>
    <t>40S</t>
  </si>
  <si>
    <t>BROCA ANULAR ENCASTRE WELDON 40X25MM</t>
  </si>
  <si>
    <t>4100NH2R-SAMPLE</t>
  </si>
  <si>
    <t>4100NH2RX</t>
  </si>
  <si>
    <t>4100NH2W-SAMPLE</t>
  </si>
  <si>
    <t>4100NH2X</t>
  </si>
  <si>
    <t>4100NH3</t>
  </si>
  <si>
    <t>4100NH3X-SAMPLE</t>
  </si>
  <si>
    <t>410306-2</t>
  </si>
  <si>
    <t>4107R</t>
  </si>
  <si>
    <t>4112S</t>
  </si>
  <si>
    <t>4114S</t>
  </si>
  <si>
    <t>412010-9</t>
  </si>
  <si>
    <t>413R35-4</t>
  </si>
  <si>
    <t>STOPPER</t>
  </si>
  <si>
    <t>416041-0</t>
  </si>
  <si>
    <t>417605-3</t>
  </si>
  <si>
    <t>PROTECTOR (ROJO) P/6797D</t>
  </si>
  <si>
    <t>417616-8</t>
  </si>
  <si>
    <t>PROTECTOR (AMARILLO) P/6797D</t>
  </si>
  <si>
    <t>417853-4</t>
  </si>
  <si>
    <t>BOQUILLA DE POLVO P/ 4350T  4350FCT</t>
  </si>
  <si>
    <t>419093-0</t>
  </si>
  <si>
    <t>JUNTA P/ 2704 - 2705</t>
  </si>
  <si>
    <t>419242-9</t>
  </si>
  <si>
    <t>CHAIN COVER</t>
  </si>
  <si>
    <t>41L</t>
  </si>
  <si>
    <t>BROCA ANULAR ENCASTRE WELDON 41X50MM</t>
  </si>
  <si>
    <t>41S</t>
  </si>
  <si>
    <t>BROCA ANULAR ENCASTRE WELDON 41X25MM</t>
  </si>
  <si>
    <t>422437-5</t>
  </si>
  <si>
    <t>422908-2</t>
  </si>
  <si>
    <t>42L</t>
  </si>
  <si>
    <t>BROCA ANULAR ENCASTRE WELDON 42X50MM</t>
  </si>
  <si>
    <t>42S</t>
  </si>
  <si>
    <t>BROCA ANULAR ENCASTRE WELDON 42X25MM</t>
  </si>
  <si>
    <t>4350FCT</t>
  </si>
  <si>
    <t>43L</t>
  </si>
  <si>
    <t>BROCA ANULAR ENCASTRE WELDON 43X50MM</t>
  </si>
  <si>
    <t>43S</t>
  </si>
  <si>
    <t>BROCA ANULAR ENCASTRE WELDON 43X25MM</t>
  </si>
  <si>
    <t>443060-3</t>
  </si>
  <si>
    <t>BARRA DE GUIA</t>
  </si>
  <si>
    <t>GUIA CON ESTRELLA</t>
  </si>
  <si>
    <t>ESPADA 45CMS P/ DCS341</t>
  </si>
  <si>
    <t>SPROCKET NOSE BAR USA ONLY</t>
  </si>
  <si>
    <t>GUIA CON ESTRELLA 60CM</t>
  </si>
  <si>
    <t>GUIA BLINDADA 74CM.</t>
  </si>
  <si>
    <t>44L</t>
  </si>
  <si>
    <t>BROCA ANULAR ENCASTRE WELDON 44X50MM</t>
  </si>
  <si>
    <t>44S</t>
  </si>
  <si>
    <t>BROCA ANULAR ENCASTRE WELDON 44X25MM</t>
  </si>
  <si>
    <t>451208-3</t>
  </si>
  <si>
    <t>451240-7</t>
  </si>
  <si>
    <t>451241-5</t>
  </si>
  <si>
    <t>455632-2</t>
  </si>
  <si>
    <t>END PIPE 450 FOR BBX7600</t>
  </si>
  <si>
    <t>455633-0</t>
  </si>
  <si>
    <t>TUBO TIPO PIPA  450 P/ SOPLADORA BBX7600</t>
  </si>
  <si>
    <t>456586-6</t>
  </si>
  <si>
    <t>458942-6</t>
  </si>
  <si>
    <t>459056-4</t>
  </si>
  <si>
    <t>459353-8</t>
  </si>
  <si>
    <t>45L</t>
  </si>
  <si>
    <t>BROCA ANULAR ENCASTRE WELDON 45X50MM</t>
  </si>
  <si>
    <t>45S</t>
  </si>
  <si>
    <t>BROCA ANULAR ENCASTRE WELDON 45X25MM</t>
  </si>
  <si>
    <t>46L</t>
  </si>
  <si>
    <t>BROCA ANULAR ENCASTRE WELDON 46X50MM</t>
  </si>
  <si>
    <t>46S</t>
  </si>
  <si>
    <t>BROCA ANULAR ENCASTRE WELDON 46X25MM</t>
  </si>
  <si>
    <t>47L</t>
  </si>
  <si>
    <t>BROCA ANULAR ENCASTRE WELDON 47X50MM</t>
  </si>
  <si>
    <t>47S</t>
  </si>
  <si>
    <t>BROCA ANULAR ENCASTRE WELDON 47X25MM</t>
  </si>
  <si>
    <t>48L</t>
  </si>
  <si>
    <t>BROCA ANULAR ENCASTRE WELDON 48X50MM</t>
  </si>
  <si>
    <t>48S</t>
  </si>
  <si>
    <t>BROCA ANULAR ENCASTRE WELDON 48X25MM</t>
  </si>
  <si>
    <t>49L</t>
  </si>
  <si>
    <t>BROCA ANULAR ENCASTRE WELDON 49X50MM</t>
  </si>
  <si>
    <t>49S</t>
  </si>
  <si>
    <t>BROCA ANULAR ENCASTRE WELDON 49X25MM</t>
  </si>
  <si>
    <t>5007MGK</t>
  </si>
  <si>
    <t>5007NK</t>
  </si>
  <si>
    <t>50L</t>
  </si>
  <si>
    <t>BROCA ANULAR ENCASTRE WELDON 50X50MM</t>
  </si>
  <si>
    <t>CADENA P/ DCS5200</t>
  </si>
  <si>
    <t>CADENA</t>
  </si>
  <si>
    <t>CADENA 75LP/60</t>
  </si>
  <si>
    <t>630570-1</t>
  </si>
  <si>
    <t>630718-5</t>
  </si>
  <si>
    <t>630980-2</t>
  </si>
  <si>
    <t>630996-7</t>
  </si>
  <si>
    <t>630B57-5</t>
  </si>
  <si>
    <t>DC40RA FAST CHARGER</t>
  </si>
  <si>
    <t>630B63-0</t>
  </si>
  <si>
    <t>630C46-6</t>
  </si>
  <si>
    <t>CARGADOR DC40RB</t>
  </si>
  <si>
    <t>630C66-0</t>
  </si>
  <si>
    <t>CARGADOR DC40RC.</t>
  </si>
  <si>
    <t>630D27-6</t>
  </si>
  <si>
    <t>632A54-1</t>
  </si>
  <si>
    <t>632A90-7</t>
  </si>
  <si>
    <t>632B06-8</t>
  </si>
  <si>
    <t>BATERIA BL1813G</t>
  </si>
  <si>
    <t>632F15-1</t>
  </si>
  <si>
    <t>632F59-1</t>
  </si>
  <si>
    <t>632F63-0</t>
  </si>
  <si>
    <t>632F69-8</t>
  </si>
  <si>
    <t>632G12-3</t>
  </si>
  <si>
    <t>BATERIA 18V LXT 3.0AH -  BL1830B</t>
  </si>
  <si>
    <t>632G59-7</t>
  </si>
  <si>
    <t>632H15-3</t>
  </si>
  <si>
    <t>632N72-7</t>
  </si>
  <si>
    <t>BATTERY BL4040</t>
  </si>
  <si>
    <t>632N81-6</t>
  </si>
  <si>
    <t>BATTERY BL4025</t>
  </si>
  <si>
    <t>632N82-4</t>
  </si>
  <si>
    <t>632R45-4</t>
  </si>
  <si>
    <t>BATTERY BL4050F</t>
  </si>
  <si>
    <t>632S90-5</t>
  </si>
  <si>
    <t>632T21-0</t>
  </si>
  <si>
    <t>BATERIA XGT 40V MAX 4.0AH - BL4040F</t>
  </si>
  <si>
    <t>632V85-6</t>
  </si>
  <si>
    <t>CUCHILLA</t>
  </si>
  <si>
    <t>CUCHILLA PARA PLM5600N2</t>
  </si>
  <si>
    <t>CUCHILLO</t>
  </si>
  <si>
    <t>GRASS CATCHER - MAKITA LOGO</t>
  </si>
  <si>
    <t>LIJA DE BANDA</t>
  </si>
  <si>
    <t>6841R</t>
  </si>
  <si>
    <t>ATORNILLADOR AUTOMATICO 470 W</t>
  </si>
  <si>
    <t>6905H</t>
  </si>
  <si>
    <t>BOQUILLA P/RSH2115 - EVH2000</t>
  </si>
  <si>
    <t>6916FDWAE</t>
  </si>
  <si>
    <t>ATORNILLADOR DE IMPACTO INALAMBRICO 12 V</t>
  </si>
  <si>
    <t>6922NB</t>
  </si>
  <si>
    <t>6924N</t>
  </si>
  <si>
    <t>BOQUILLA DE DOS CABEZAS</t>
  </si>
  <si>
    <t>ATOMIZADOR B</t>
  </si>
  <si>
    <t>ATOMIZADOR A</t>
  </si>
  <si>
    <t>711173-A</t>
  </si>
  <si>
    <t>711174-A</t>
  </si>
  <si>
    <t>711175-A</t>
  </si>
  <si>
    <t>711176-A</t>
  </si>
  <si>
    <t>711177-A</t>
  </si>
  <si>
    <t>711178-A</t>
  </si>
  <si>
    <t>711179-A</t>
  </si>
  <si>
    <t>711180-A</t>
  </si>
  <si>
    <t>711226-A</t>
  </si>
  <si>
    <t>711227-A</t>
  </si>
  <si>
    <t>711228-A</t>
  </si>
  <si>
    <t>711230-A</t>
  </si>
  <si>
    <t>711231-A</t>
  </si>
  <si>
    <t>BROCA SDS-PLUS (4PLUS) 3/16X8 10""</t>
  </si>
  <si>
    <t>711234-A</t>
  </si>
  <si>
    <t>711235-A</t>
  </si>
  <si>
    <t>711236-A</t>
  </si>
  <si>
    <t>711237-A</t>
  </si>
  <si>
    <t>711238-A</t>
  </si>
  <si>
    <t>711240-A</t>
  </si>
  <si>
    <t>711241-A</t>
  </si>
  <si>
    <t>711242-A</t>
  </si>
  <si>
    <t>711243-A</t>
  </si>
  <si>
    <t>711244-A</t>
  </si>
  <si>
    <t>711245-A</t>
  </si>
  <si>
    <t>711246-A</t>
  </si>
  <si>
    <t>711248-A</t>
  </si>
  <si>
    <t>711249-A</t>
  </si>
  <si>
    <t>711250-A</t>
  </si>
  <si>
    <t>711251-A</t>
  </si>
  <si>
    <t>711252-A</t>
  </si>
  <si>
    <t>711253-A</t>
  </si>
  <si>
    <t>711255-A</t>
  </si>
  <si>
    <t>711256-A</t>
  </si>
  <si>
    <t>711257-A</t>
  </si>
  <si>
    <t>711258-A</t>
  </si>
  <si>
    <t>729029-4</t>
  </si>
  <si>
    <t>CUTTER BLADE 305</t>
  </si>
  <si>
    <t>741015-5</t>
  </si>
  <si>
    <t>741016-3</t>
  </si>
  <si>
    <t>741616-9</t>
  </si>
  <si>
    <t>741617-7</t>
  </si>
  <si>
    <t>743008-8</t>
  </si>
  <si>
    <t>743012-7</t>
  </si>
  <si>
    <t>743080-0</t>
  </si>
  <si>
    <t>ALMOHADILLA 100</t>
  </si>
  <si>
    <t>743081-8</t>
  </si>
  <si>
    <t>ALMOHADILLA 123 P/ B05030</t>
  </si>
  <si>
    <t>743124-6</t>
  </si>
  <si>
    <t>PAD 50</t>
  </si>
  <si>
    <t>743125-4</t>
  </si>
  <si>
    <t>PAD 75</t>
  </si>
  <si>
    <t>743126-2</t>
  </si>
  <si>
    <t>ADAPTADOR</t>
  </si>
  <si>
    <t>743332-9</t>
  </si>
  <si>
    <t>CEPILLO A.</t>
  </si>
  <si>
    <t>743333-7</t>
  </si>
  <si>
    <t>CEPILLO B.</t>
  </si>
  <si>
    <t>743334-5</t>
  </si>
  <si>
    <t>CEPILLO REPUESTO LARGO PARA GUARDA 7"</t>
  </si>
  <si>
    <t>743335-3</t>
  </si>
  <si>
    <t>CEPILLO REPUESTO CORTO PARA GUARDA 7"</t>
  </si>
  <si>
    <t>762014-4</t>
  </si>
  <si>
    <t>SOPORTE MAGNETICO CUCHILLO 201</t>
  </si>
  <si>
    <t>763240-8</t>
  </si>
  <si>
    <t>COLLET NUT</t>
  </si>
  <si>
    <t>763418-3</t>
  </si>
  <si>
    <t>LLAVE MANDRIL P/6010B-6501</t>
  </si>
  <si>
    <t>763423-0</t>
  </si>
  <si>
    <t>LLAVE MANDNDRIL P/6407</t>
  </si>
  <si>
    <t>763429-8</t>
  </si>
  <si>
    <t>763430-3</t>
  </si>
  <si>
    <t>763432-9</t>
  </si>
  <si>
    <t>LLAVE MANDRIL S13  P/ HP2050</t>
  </si>
  <si>
    <t>763441-8</t>
  </si>
  <si>
    <t>LLAVE MANDRIL S13 P/M812</t>
  </si>
  <si>
    <t>763443-4</t>
  </si>
  <si>
    <t>LLAVE DE MANDRIL 16MM P/8422B</t>
  </si>
  <si>
    <t>763449-2</t>
  </si>
  <si>
    <t>CHUCK KEY S6</t>
  </si>
  <si>
    <t>763606-2</t>
  </si>
  <si>
    <t>PINZA TUERCA 6 P/906 - 3700B</t>
  </si>
  <si>
    <t>763607-0</t>
  </si>
  <si>
    <t>763608-8</t>
  </si>
  <si>
    <t>763618-5</t>
  </si>
  <si>
    <t>763619-3</t>
  </si>
  <si>
    <t>763620-8</t>
  </si>
  <si>
    <t>763622-4</t>
  </si>
  <si>
    <t>763625-8</t>
  </si>
  <si>
    <t>763626-6</t>
  </si>
  <si>
    <t>763628-2</t>
  </si>
  <si>
    <t>763632-1</t>
  </si>
  <si>
    <t>763637-1</t>
  </si>
  <si>
    <t>PINZA CONICA 1/4"" P/3620</t>
  </si>
  <si>
    <t>763645-2</t>
  </si>
  <si>
    <t>PINZA TUERCA PARA GD0800C</t>
  </si>
  <si>
    <t>763646-0</t>
  </si>
  <si>
    <t>763661-4</t>
  </si>
  <si>
    <t>PINZA TUERCA 6</t>
  </si>
  <si>
    <t>763663-0</t>
  </si>
  <si>
    <t>BOQUILLA CONO 6.35 P/MT340</t>
  </si>
  <si>
    <t>763666-4</t>
  </si>
  <si>
    <t>BOQUILLA CONO 6.35 P/MT910</t>
  </si>
  <si>
    <t>763801-4</t>
  </si>
  <si>
    <t>763803-0</t>
  </si>
  <si>
    <t>763804-8</t>
  </si>
  <si>
    <t>763805-6</t>
  </si>
  <si>
    <t>763806-4</t>
  </si>
  <si>
    <t>PINZA RECTA 10 MM.P/3612</t>
  </si>
  <si>
    <t>763809-8</t>
  </si>
  <si>
    <t>COLLET SLEEVE 6.35 F/MT360</t>
  </si>
  <si>
    <t>764352-0</t>
  </si>
  <si>
    <t>INNER SLEEVE 22-85 COMPLETE</t>
  </si>
  <si>
    <t>764353-8</t>
  </si>
  <si>
    <t>INNER SLEEVE 3/4-84 COMPLETE</t>
  </si>
  <si>
    <t>764354-6</t>
  </si>
  <si>
    <t>INNER SLEEVE 22-170 COMPLETE</t>
  </si>
  <si>
    <t>764355-4</t>
  </si>
  <si>
    <t>INNER SLEEVE 3/4-169 COMPLETE</t>
  </si>
  <si>
    <t>764356-2</t>
  </si>
  <si>
    <t>764357-0</t>
  </si>
  <si>
    <t>INNER SLEEVE 20-84 COMPLETE</t>
  </si>
  <si>
    <t>764361-9</t>
  </si>
  <si>
    <t>764362-7</t>
  </si>
  <si>
    <t>DADO EXTERIOR 5/8 P/6922NB</t>
  </si>
  <si>
    <t>764363-5</t>
  </si>
  <si>
    <t>OUTER SLEEVE 20-83</t>
  </si>
  <si>
    <t>764364-3</t>
  </si>
  <si>
    <t>OUTER SLEEVE 22-85</t>
  </si>
  <si>
    <t>764365-1</t>
  </si>
  <si>
    <t>OUTER SLEEVE 22-170</t>
  </si>
  <si>
    <t>764366-9</t>
  </si>
  <si>
    <t>OUTER SLEEVE 20-168</t>
  </si>
  <si>
    <t>764367-7</t>
  </si>
  <si>
    <t>OUTER SLEEVE 16-81</t>
  </si>
  <si>
    <t>764400-5</t>
  </si>
  <si>
    <t>764402-1</t>
  </si>
  <si>
    <t>INNER SLEEVE 20-100 COMPLETE</t>
  </si>
  <si>
    <t>764404-7</t>
  </si>
  <si>
    <t>INNER SLEEVE 22-100 COMPLETE</t>
  </si>
  <si>
    <t>764406-3</t>
  </si>
  <si>
    <t>OUTER SLEEVE 16-100</t>
  </si>
  <si>
    <t>764408-9</t>
  </si>
  <si>
    <t>764410-2</t>
  </si>
  <si>
    <t>764416-0</t>
  </si>
  <si>
    <t>764417-8</t>
  </si>
  <si>
    <t>INNER SLEEVE 20-38 COMPLETE</t>
  </si>
  <si>
    <t>764418-6</t>
  </si>
  <si>
    <t>INNER SLEEVE 22-39 COMPLETE</t>
  </si>
  <si>
    <t>764419-4</t>
  </si>
  <si>
    <t>764420-9</t>
  </si>
  <si>
    <t>781003-0</t>
  </si>
  <si>
    <t>LLAVE N°10 P/906-4402-3700B</t>
  </si>
  <si>
    <t>781006-4</t>
  </si>
  <si>
    <t>LLAVE 13 P/3620</t>
  </si>
  <si>
    <t>781007-2</t>
  </si>
  <si>
    <t>LLAVE 14 P/9500D</t>
  </si>
  <si>
    <t>781011-1</t>
  </si>
  <si>
    <t>LLAVE 22 P/ 3260 - 4100N</t>
  </si>
  <si>
    <t>781019-5</t>
  </si>
  <si>
    <t>LLAVE 50 P/ JN3200</t>
  </si>
  <si>
    <t>781027-6</t>
  </si>
  <si>
    <t>LLAVE 19</t>
  </si>
  <si>
    <t>781028-4</t>
  </si>
  <si>
    <t>LLAVE TUERCA N°50 P/ JN1601</t>
  </si>
  <si>
    <t>781030-7</t>
  </si>
  <si>
    <t>LLAVE 24  P/ 3612BR</t>
  </si>
  <si>
    <t>781203-2</t>
  </si>
  <si>
    <t>LLAVE 13 P/ 5900B</t>
  </si>
  <si>
    <t>781206-6</t>
  </si>
  <si>
    <t>LLAVE 19 P/ GD08000C - GD0810C</t>
  </si>
  <si>
    <t>782021-1</t>
  </si>
  <si>
    <t>LLAVE TUERCA 13 - 22 P/2703</t>
  </si>
  <si>
    <t>782026-1</t>
  </si>
  <si>
    <t>LLAVE DE AJUSTE 13/16</t>
  </si>
  <si>
    <t>782203-5</t>
  </si>
  <si>
    <t>LLAVE TUBO 9 P/2012NB</t>
  </si>
  <si>
    <t>782209-3</t>
  </si>
  <si>
    <t>LLAVE TUBO P/CEPILLOS-5800NB</t>
  </si>
  <si>
    <t>782210-8</t>
  </si>
  <si>
    <t>LLAVE TUBOBO N° 17  P/LC1210</t>
  </si>
  <si>
    <t>782212-4</t>
  </si>
  <si>
    <t>LLAVE TUBO 13</t>
  </si>
  <si>
    <t>782426-5</t>
  </si>
  <si>
    <t>LLAVE PARA TUERCA (BRIDA) SOLAQUEADORA 35MM.</t>
  </si>
  <si>
    <t>783001-0</t>
  </si>
  <si>
    <t>DESTORNILLADOR 6 P/PC1100</t>
  </si>
  <si>
    <t>783202-0</t>
  </si>
  <si>
    <t>783203-8</t>
  </si>
  <si>
    <t>783208-8</t>
  </si>
  <si>
    <t>LLAVE HEXAGONAL 2.5 P/JN1601</t>
  </si>
  <si>
    <t>784043-7</t>
  </si>
  <si>
    <t>PUNTA PARA ATORNILLAR PHILIPS 2 X 45 MM.</t>
  </si>
  <si>
    <t>784202-3</t>
  </si>
  <si>
    <t>784206-5</t>
  </si>
  <si>
    <t>784209-9</t>
  </si>
  <si>
    <t>784221-9</t>
  </si>
  <si>
    <t>784229-3</t>
  </si>
  <si>
    <t>784230-8</t>
  </si>
  <si>
    <t>784403-3</t>
  </si>
  <si>
    <t>784404-1</t>
  </si>
  <si>
    <t>784408-3</t>
  </si>
  <si>
    <t>784409-1</t>
  </si>
  <si>
    <t>784417-2</t>
  </si>
  <si>
    <t>784604-3</t>
  </si>
  <si>
    <t>784801-1</t>
  </si>
  <si>
    <t>784804-5</t>
  </si>
  <si>
    <t>784808-7</t>
  </si>
  <si>
    <t>784809-5</t>
  </si>
  <si>
    <t>784811-8</t>
  </si>
  <si>
    <t>791121-6</t>
  </si>
  <si>
    <t>791284-8</t>
  </si>
  <si>
    <t>792031-0</t>
  </si>
  <si>
    <t>792116-2</t>
  </si>
  <si>
    <t>792191-8</t>
  </si>
  <si>
    <t>792287-5</t>
  </si>
  <si>
    <t>792289-1</t>
  </si>
  <si>
    <t>792292-2</t>
  </si>
  <si>
    <t>MATRIZ PARA ROEDORA  P/ JN3200</t>
  </si>
  <si>
    <t>792533-6</t>
  </si>
  <si>
    <t>SET CUCHILLA LATERAL P/JS1660</t>
  </si>
  <si>
    <t>792534-4</t>
  </si>
  <si>
    <t>CUCHILLA CENTRAL P/JS1660 - BJS161</t>
  </si>
  <si>
    <t>792556-4</t>
  </si>
  <si>
    <t>HOJAS SIERUINCHA 18T A. RAPIDO</t>
  </si>
  <si>
    <t>792559-8</t>
  </si>
  <si>
    <t>HOJA DE SIUINCHA 18T A. CARBON</t>
  </si>
  <si>
    <t>792726-5</t>
  </si>
  <si>
    <t>792742-7</t>
  </si>
  <si>
    <t>CUCHILLA LADO DERECHO P/JS1300</t>
  </si>
  <si>
    <t>792743-5</t>
  </si>
  <si>
    <t>CUCHILLA LADO IZQUIERDO P/JS1300</t>
  </si>
  <si>
    <t>792744-3</t>
  </si>
  <si>
    <t>CUCHILLA CENTRO P/ JS1300</t>
  </si>
  <si>
    <t>793346-8</t>
  </si>
  <si>
    <t>794104-5</t>
  </si>
  <si>
    <t>794119-2</t>
  </si>
  <si>
    <t>794120-7</t>
  </si>
  <si>
    <t>794123-1</t>
  </si>
  <si>
    <t>794124-9</t>
  </si>
  <si>
    <t>794133-8</t>
  </si>
  <si>
    <t>794134-6</t>
  </si>
  <si>
    <t>794135-4</t>
  </si>
  <si>
    <t>794136-2</t>
  </si>
  <si>
    <t>794137-0</t>
  </si>
  <si>
    <t>794138-8</t>
  </si>
  <si>
    <t>794139-6</t>
  </si>
  <si>
    <t>794156-6</t>
  </si>
  <si>
    <t>794157-4</t>
  </si>
  <si>
    <t>794158-2</t>
  </si>
  <si>
    <t>794176-0</t>
  </si>
  <si>
    <t>794214-8</t>
  </si>
  <si>
    <t>794222-9</t>
  </si>
  <si>
    <t>794237-6</t>
  </si>
  <si>
    <t>794238-4</t>
  </si>
  <si>
    <t>794239-2</t>
  </si>
  <si>
    <t>794244-9</t>
  </si>
  <si>
    <t>794379-6</t>
  </si>
  <si>
    <t>NYLON BRUSH WHEEL 120-100</t>
  </si>
  <si>
    <t>794380-1</t>
  </si>
  <si>
    <t>SLIT PAPER WHEEL</t>
  </si>
  <si>
    <t>794381-9</t>
  </si>
  <si>
    <t>RODILLO DE TELA P/9741</t>
  </si>
  <si>
    <t>794469-5</t>
  </si>
  <si>
    <t>794471-8</t>
  </si>
  <si>
    <t>794530-8</t>
  </si>
  <si>
    <t>794542-1</t>
  </si>
  <si>
    <t>794543-9</t>
  </si>
  <si>
    <t>794544-7</t>
  </si>
  <si>
    <t>794545-5</t>
  </si>
  <si>
    <t>794546-3</t>
  </si>
  <si>
    <t>794551-0</t>
  </si>
  <si>
    <t>794558-6</t>
  </si>
  <si>
    <t>SPONGE PAD 125 SET</t>
  </si>
  <si>
    <t>794607-9</t>
  </si>
  <si>
    <t>794608-7</t>
  </si>
  <si>
    <t>794609-5</t>
  </si>
  <si>
    <t>794610-0</t>
  </si>
  <si>
    <t>794611-8</t>
  </si>
  <si>
    <t>794612-6</t>
  </si>
  <si>
    <t>794613-4</t>
  </si>
  <si>
    <t>794618-4</t>
  </si>
  <si>
    <t>BONETE TELA 150 P/BO6030 - BO6040</t>
  </si>
  <si>
    <t>794619-2</t>
  </si>
  <si>
    <t>BONETE LANA P/BO6030-6040</t>
  </si>
  <si>
    <t>798300-7</t>
  </si>
  <si>
    <t>798307-3</t>
  </si>
  <si>
    <t>798308-1</t>
  </si>
  <si>
    <t>798309-9</t>
  </si>
  <si>
    <t>798311-2</t>
  </si>
  <si>
    <t>798312-0</t>
  </si>
  <si>
    <t>798314-6</t>
  </si>
  <si>
    <t>798337-4</t>
  </si>
  <si>
    <t>798381-1</t>
  </si>
  <si>
    <t>A-PUNTO 410 HM1800-1303B</t>
  </si>
  <si>
    <t>798385-3</t>
  </si>
  <si>
    <t>APISONADOR 200 HM1810</t>
  </si>
  <si>
    <t>8038L7-5</t>
  </si>
  <si>
    <t>CAJA MAKPAC TIPO 3  P/191U13-9</t>
  </si>
  <si>
    <t>824570-3</t>
  </si>
  <si>
    <t>MALETIN DE PLASTICO P/9524NBK</t>
  </si>
  <si>
    <t>824842-6</t>
  </si>
  <si>
    <t>CAJA PLASTICA P/ TD090D</t>
  </si>
  <si>
    <t>831271-6</t>
  </si>
  <si>
    <t>TOOL BAG / MALETA DE HERRAMIENTAS</t>
  </si>
  <si>
    <t>831368-1</t>
  </si>
  <si>
    <t>TOOL BAG / MALETIN MAKITA DE LONA (MEDIANO)</t>
  </si>
  <si>
    <t>831368-2</t>
  </si>
  <si>
    <t>TOOL BAG / MALETIN MAKITA DE TETRON (CHICO)</t>
  </si>
  <si>
    <t>832173-9</t>
  </si>
  <si>
    <t>MALETA DE LONA PARA JUEGO LASER Y AUTONIVELACIÓN</t>
  </si>
  <si>
    <t>886117-1</t>
  </si>
  <si>
    <t>GUARANTEE CARD</t>
  </si>
  <si>
    <t>9035H</t>
  </si>
  <si>
    <t>9035H-SAMPLE</t>
  </si>
  <si>
    <t>9237CB</t>
  </si>
  <si>
    <t>LLAVE PARA BUJIA CON DESTORNILLADOR PLANO</t>
  </si>
  <si>
    <t>LLAVE DE BUJIA</t>
  </si>
  <si>
    <t>TORX-DESATORNILLADOR</t>
  </si>
  <si>
    <t>DESATORNILLADOR (T10)</t>
  </si>
  <si>
    <t>MEDIDOR DE REVOLUCIONES</t>
  </si>
  <si>
    <t>LIMA PLANA</t>
  </si>
  <si>
    <t>MANGO DE LIMA</t>
  </si>
  <si>
    <t>PORTA-LIMA DCS9010</t>
  </si>
  <si>
    <t>PORTA-LIMA</t>
  </si>
  <si>
    <t>MANGO DE LIMA CON LIMA 4 8</t>
  </si>
  <si>
    <t>MANGO DE LIMA - SUPER RAPID</t>
  </si>
  <si>
    <t>9557HNGK</t>
  </si>
  <si>
    <t>9557HP</t>
  </si>
  <si>
    <t>9557HPG</t>
  </si>
  <si>
    <t>9557HPX1</t>
  </si>
  <si>
    <t>9564P</t>
  </si>
  <si>
    <t>9564PC</t>
  </si>
  <si>
    <t>9564PCV</t>
  </si>
  <si>
    <t>CUCHILLA DE NYLON</t>
  </si>
  <si>
    <t>KIT DE BARRA Y CADENA</t>
  </si>
  <si>
    <t>BUJIA EA4301F45C/EBH340U/EM4351UH</t>
  </si>
  <si>
    <t>ACEITE 2 TIEMPOS 1 L</t>
  </si>
  <si>
    <t>CASCO PROTECTOR</t>
  </si>
  <si>
    <t>GUANTE UNIVERSAL MAKITA TALLA XL</t>
  </si>
  <si>
    <t>CASCO PROTECTOR Y ACCES.</t>
  </si>
  <si>
    <t>BOLSA DE HERRAMIENTAS.</t>
  </si>
  <si>
    <t>SET HERRAMIENTAS.</t>
  </si>
  <si>
    <t>SET CARRACA.</t>
  </si>
  <si>
    <t>MALETA DI METAL.</t>
  </si>
  <si>
    <t>999MULTITOOL</t>
  </si>
  <si>
    <t>A-01323</t>
  </si>
  <si>
    <t>DISCO DIAMANTADO ESPECIALIZADO PARA MODELOS INLAMBRICOS PARA VIDRIO 85 X 15 MM.</t>
  </si>
  <si>
    <t>A-02303</t>
  </si>
  <si>
    <t>A-02319</t>
  </si>
  <si>
    <t>A-02820</t>
  </si>
  <si>
    <t>DISCO DIAMANTADO 230MM CORTE EN SECO</t>
  </si>
  <si>
    <t>A-05022</t>
  </si>
  <si>
    <t>A-07179</t>
  </si>
  <si>
    <t>A-07185</t>
  </si>
  <si>
    <t>A-07353</t>
  </si>
  <si>
    <t>A-07369</t>
  </si>
  <si>
    <t>A-15051</t>
  </si>
  <si>
    <t>MATRIZ PARA ROEDORA P/JN1601.</t>
  </si>
  <si>
    <t>A-16112</t>
  </si>
  <si>
    <t>A-16922</t>
  </si>
  <si>
    <t>A-16938</t>
  </si>
  <si>
    <t>A-16944</t>
  </si>
  <si>
    <t>A-19875</t>
  </si>
  <si>
    <t>A-19881</t>
  </si>
  <si>
    <t>MARTELINA 67 X 67 MM. TRABAJA CON (A-19897) (REMOVEDOR DE CONCRETO)</t>
  </si>
  <si>
    <t>A-19897</t>
  </si>
  <si>
    <t>ADPATADOR SDS-MAX PARA  MARTELINA (A-19875)</t>
  </si>
  <si>
    <t>A-23868</t>
  </si>
  <si>
    <t>A-23896</t>
  </si>
  <si>
    <t>A-25183</t>
  </si>
  <si>
    <t>CINCEL HEXAGONAL PUNTA PLANO 100-310</t>
  </si>
  <si>
    <t>A-30617</t>
  </si>
  <si>
    <t>MANGO DE GOMA</t>
  </si>
  <si>
    <t>A-31267</t>
  </si>
  <si>
    <t>HOJA LIJA  ORBITAL 1/3 PLIEGO 8 HUECOS GR. 120 [10 PCS]   (BO3710/BO3711) S/VELCRO</t>
  </si>
  <si>
    <t>A-33548</t>
  </si>
  <si>
    <t>POWER FILTER</t>
  </si>
  <si>
    <t>A-34229</t>
  </si>
  <si>
    <t>A-34235</t>
  </si>
  <si>
    <t>A-34453</t>
  </si>
  <si>
    <t>A-34469</t>
  </si>
  <si>
    <t>A-34475</t>
  </si>
  <si>
    <t>A-34512</t>
  </si>
  <si>
    <t>A-34534</t>
  </si>
  <si>
    <t>A-34556</t>
  </si>
  <si>
    <t>A-34584</t>
  </si>
  <si>
    <t>A-42189</t>
  </si>
  <si>
    <t>BROCA SDS PLUS 30 # 250 MM</t>
  </si>
  <si>
    <t>A-47260</t>
  </si>
  <si>
    <t>GRINDING WHEEL (BENCH 205) (B-51960)</t>
  </si>
  <si>
    <t>A-47846</t>
  </si>
  <si>
    <t>A-48430</t>
  </si>
  <si>
    <t>A-49105</t>
  </si>
  <si>
    <t>A-49541</t>
  </si>
  <si>
    <t>A-56926</t>
  </si>
  <si>
    <t>A-56932</t>
  </si>
  <si>
    <t>A-57504</t>
  </si>
  <si>
    <t>TORSION SCREW BIT PH2-120 3PC.</t>
  </si>
  <si>
    <t>A-71093</t>
  </si>
  <si>
    <t>A-72067</t>
  </si>
  <si>
    <t>A-80123</t>
  </si>
  <si>
    <t>A-80173</t>
  </si>
  <si>
    <t>A-80400</t>
  </si>
  <si>
    <t>A-80422</t>
  </si>
  <si>
    <t>A-80438</t>
  </si>
  <si>
    <t>A-80472</t>
  </si>
  <si>
    <t>DIAMOND CORE BIT  80</t>
  </si>
  <si>
    <t>A-80488</t>
  </si>
  <si>
    <t>DIAMOND CORE BIT 105</t>
  </si>
  <si>
    <t>A-80494</t>
  </si>
  <si>
    <t>DIAMOND CORE BIT 120</t>
  </si>
  <si>
    <t>A-80503</t>
  </si>
  <si>
    <t>CENTER BIT</t>
  </si>
  <si>
    <t>A-80519</t>
  </si>
  <si>
    <t>CORE BIT SHANK</t>
  </si>
  <si>
    <t>A-80553</t>
  </si>
  <si>
    <t>A-80575</t>
  </si>
  <si>
    <t>A-80640</t>
  </si>
  <si>
    <t>A-80787</t>
  </si>
  <si>
    <t>A-80793</t>
  </si>
  <si>
    <t>A-80818</t>
  </si>
  <si>
    <t>A-80880</t>
  </si>
  <si>
    <t>A-80896</t>
  </si>
  <si>
    <t>A-80927</t>
  </si>
  <si>
    <t>A-80949</t>
  </si>
  <si>
    <t>A-80955</t>
  </si>
  <si>
    <t>A-80961</t>
  </si>
  <si>
    <t>A-81505</t>
  </si>
  <si>
    <t>A-81511</t>
  </si>
  <si>
    <t>T.C.T. SAW BLADE 255X80TX25.4</t>
  </si>
  <si>
    <t>A-81658</t>
  </si>
  <si>
    <t>CABEZA CORTADORA DE NYLON PARA HIERBA Y PASTO (TIPO: ULTRA AUTO 6L)</t>
  </si>
  <si>
    <t>A-81767</t>
  </si>
  <si>
    <t>A-81773</t>
  </si>
  <si>
    <t>A-82068</t>
  </si>
  <si>
    <t>A-82080</t>
  </si>
  <si>
    <t>A-82105</t>
  </si>
  <si>
    <t>A-82133</t>
  </si>
  <si>
    <t>A-82149</t>
  </si>
  <si>
    <t>A-82301</t>
  </si>
  <si>
    <t>T.C.T. SAW BLADE 255X120TX25.4</t>
  </si>
  <si>
    <t>A-82513</t>
  </si>
  <si>
    <t>A-82529</t>
  </si>
  <si>
    <t>A-83593</t>
  </si>
  <si>
    <t>A-83618</t>
  </si>
  <si>
    <t>A-83624</t>
  </si>
  <si>
    <t>A-83696</t>
  </si>
  <si>
    <t>A-83842</t>
  </si>
  <si>
    <t>A-83967</t>
  </si>
  <si>
    <t>A-84109</t>
  </si>
  <si>
    <t>A-84121</t>
  </si>
  <si>
    <t>A-84143</t>
  </si>
  <si>
    <t>A-84165</t>
  </si>
  <si>
    <t>A-85036</t>
  </si>
  <si>
    <t>DIAMOND CORE BIT 32</t>
  </si>
  <si>
    <t>A-85042</t>
  </si>
  <si>
    <t>DIAMOND CORE BIT 38</t>
  </si>
  <si>
    <t>A-85058</t>
  </si>
  <si>
    <t>DIAMOND CORE BIT 54</t>
  </si>
  <si>
    <t>A-85064</t>
  </si>
  <si>
    <t>DIAMOND CORE BIT 65</t>
  </si>
  <si>
    <t>A-85070</t>
  </si>
  <si>
    <t>DIAMOND CORE BIT 70</t>
  </si>
  <si>
    <t>A-85086</t>
  </si>
  <si>
    <t>DIAMOND CORE BIT 90</t>
  </si>
  <si>
    <t>A-85282</t>
  </si>
  <si>
    <t>A-85307</t>
  </si>
  <si>
    <t>A-85313</t>
  </si>
  <si>
    <t>A-85329</t>
  </si>
  <si>
    <t>A-85335</t>
  </si>
  <si>
    <t>A-85438</t>
  </si>
  <si>
    <t>A-85525</t>
  </si>
  <si>
    <t>A-85547</t>
  </si>
  <si>
    <t>A-85575</t>
  </si>
  <si>
    <t>A-85597</t>
  </si>
  <si>
    <t>DIAMOND CORE BIT 152</t>
  </si>
  <si>
    <t>A-85606</t>
  </si>
  <si>
    <t>DIAMOND CORE BIT 127</t>
  </si>
  <si>
    <t>A-85628</t>
  </si>
  <si>
    <t>A-85634</t>
  </si>
  <si>
    <t>A-85656</t>
  </si>
  <si>
    <t>A-85678</t>
  </si>
  <si>
    <t>A-85684</t>
  </si>
  <si>
    <t>A-85690</t>
  </si>
  <si>
    <t>A-85709</t>
  </si>
  <si>
    <t>A-85715</t>
  </si>
  <si>
    <t>A-85721</t>
  </si>
  <si>
    <t>A-85737</t>
  </si>
  <si>
    <t>A-85743</t>
  </si>
  <si>
    <t>A-85759</t>
  </si>
  <si>
    <t>A-85787</t>
  </si>
  <si>
    <t>A-85793</t>
  </si>
  <si>
    <t>JIGSAW BLADE NRO BR13 FOR DJV182</t>
  </si>
  <si>
    <t>A-85818</t>
  </si>
  <si>
    <t>SIERRA DE CALAR PARA MADERA (PARA TERMINACIONES) HCS (60 MM.) 9 DIENTES X PULG. (5 PCS)</t>
  </si>
  <si>
    <t>A-85830</t>
  </si>
  <si>
    <t>SIERRA DE CALAR PARA MADERA (CORTES CURVOS) HCS (60 MM.) 9 DIENTES X PULG (5 PCS)</t>
  </si>
  <si>
    <t>A-85852</t>
  </si>
  <si>
    <t>SIERRA DE CALAR PARA MADERA DURA HSS (60 MM.) 14 DIENTES X PULG.  (5 PCS)</t>
  </si>
  <si>
    <t>A-85933</t>
  </si>
  <si>
    <t>SIERRA DE CALAR PARA MADERA (TERMINACIONES) HCS (60 MM.) 9 DIENTES X PULG. (5 PCS)</t>
  </si>
  <si>
    <t>A-85999</t>
  </si>
  <si>
    <t>A-86446</t>
  </si>
  <si>
    <t>A-86583</t>
  </si>
  <si>
    <t>JIG SAW BLADE NO.59 SET 5PCS.</t>
  </si>
  <si>
    <t>A-86664</t>
  </si>
  <si>
    <t>CUCHILLO INFERIOR 4604DW</t>
  </si>
  <si>
    <t>A-86670</t>
  </si>
  <si>
    <t>CUCHILLO SUPERIOR 4604DW</t>
  </si>
  <si>
    <t>A-86826</t>
  </si>
  <si>
    <t>DIAMOND WHEEL</t>
  </si>
  <si>
    <t>A-86898</t>
  </si>
  <si>
    <t>A-87127</t>
  </si>
  <si>
    <t>A-87242</t>
  </si>
  <si>
    <t>A-87317</t>
  </si>
  <si>
    <t>A-87476</t>
  </si>
  <si>
    <t>A-87482</t>
  </si>
  <si>
    <t>A-87579</t>
  </si>
  <si>
    <t>A-87834</t>
  </si>
  <si>
    <t>DISCO DE DIAMANTE CURVO PARA DESBASTE</t>
  </si>
  <si>
    <t>A-88814</t>
  </si>
  <si>
    <t>A-88886</t>
  </si>
  <si>
    <t>A-88917</t>
  </si>
  <si>
    <t>DISCO DIAMANTADO 230MM SEGMENTADO</t>
  </si>
  <si>
    <t>A-89121</t>
  </si>
  <si>
    <t>CABEZA CORTADORA DE NYLON (BUMP &amp; FEED 4L)</t>
  </si>
  <si>
    <t>A-89137</t>
  </si>
  <si>
    <t>CABEZA CORTADORA DE NYLON (BUMP &amp; FEED 4R)</t>
  </si>
  <si>
    <t>A-89143</t>
  </si>
  <si>
    <t>A-89523</t>
  </si>
  <si>
    <t>CABEZAL CORTASETOS P/EBH252L</t>
  </si>
  <si>
    <t>A-90255</t>
  </si>
  <si>
    <t>A-90504</t>
  </si>
  <si>
    <t>A-90629</t>
  </si>
  <si>
    <t>A-90635</t>
  </si>
  <si>
    <t>A-90803</t>
  </si>
  <si>
    <t>A-93550</t>
  </si>
  <si>
    <t>A-93619</t>
  </si>
  <si>
    <t>T.C.T.SAW BLADE 305X25.4X32T</t>
  </si>
  <si>
    <t>A-94443</t>
  </si>
  <si>
    <t>A-96235</t>
  </si>
  <si>
    <t>A-96241</t>
  </si>
  <si>
    <t>A-96257</t>
  </si>
  <si>
    <t>A-96263</t>
  </si>
  <si>
    <t>A-96279</t>
  </si>
  <si>
    <t>A-96285</t>
  </si>
  <si>
    <t>A-96291</t>
  </si>
  <si>
    <t>A-96300</t>
  </si>
  <si>
    <t>A-96316</t>
  </si>
  <si>
    <t>A-96322</t>
  </si>
  <si>
    <t>A-96338</t>
  </si>
  <si>
    <t>A-96344</t>
  </si>
  <si>
    <t>A-96350</t>
  </si>
  <si>
    <t>A-96366</t>
  </si>
  <si>
    <t>AC001GZ</t>
  </si>
  <si>
    <t>AC001GZ-SAMPLE</t>
  </si>
  <si>
    <t>CORDLESS AIR COMPRESSOR</t>
  </si>
  <si>
    <t>ADP001G</t>
  </si>
  <si>
    <t>ADAPTER FOR USB</t>
  </si>
  <si>
    <t>ADP05</t>
  </si>
  <si>
    <t>ADP06</t>
  </si>
  <si>
    <t>ADAPTADOR USB</t>
  </si>
  <si>
    <t>ADP08</t>
  </si>
  <si>
    <t>ADAPTADOR PARA USB</t>
  </si>
  <si>
    <t>AF353</t>
  </si>
  <si>
    <t>AF505</t>
  </si>
  <si>
    <t>AF505N</t>
  </si>
  <si>
    <t>AF506</t>
  </si>
  <si>
    <t>AF601</t>
  </si>
  <si>
    <t>AF635</t>
  </si>
  <si>
    <t>AN611</t>
  </si>
  <si>
    <t>AN613-SAMPLE</t>
  </si>
  <si>
    <t>AIR NAILER.</t>
  </si>
  <si>
    <t>AS001GA101</t>
  </si>
  <si>
    <t>AS001GZ</t>
  </si>
  <si>
    <t>AS001GZ-SAMPLE</t>
  </si>
  <si>
    <t>CORDLESS DUST BLOWER XGT</t>
  </si>
  <si>
    <t>AS00VP050M</t>
  </si>
  <si>
    <t>VACUUM PUMP OIL FOR DVP180</t>
  </si>
  <si>
    <t>AT638A</t>
  </si>
  <si>
    <t>AUBDML807</t>
  </si>
  <si>
    <t>RECHARGEABLE LED FLASHLIGHT</t>
  </si>
  <si>
    <t>B-00371</t>
  </si>
  <si>
    <t>B-00767</t>
  </si>
  <si>
    <t>B-01323</t>
  </si>
  <si>
    <t>B-01339</t>
  </si>
  <si>
    <t>B-01806</t>
  </si>
  <si>
    <t>B-01971</t>
  </si>
  <si>
    <t>B-02048</t>
  </si>
  <si>
    <t>B-02060</t>
  </si>
  <si>
    <t>B-02808</t>
  </si>
  <si>
    <t>T.C.T. SAW BLADE 305-60T</t>
  </si>
  <si>
    <t>B-02820</t>
  </si>
  <si>
    <t>T.C.T. SAW BLADE 305-100T</t>
  </si>
  <si>
    <t>B-02836</t>
  </si>
  <si>
    <t>B-02886</t>
  </si>
  <si>
    <t>B-02951</t>
  </si>
  <si>
    <t>NYLON CORD CUTTER</t>
  </si>
  <si>
    <t>B-02967</t>
  </si>
  <si>
    <t>B-02989</t>
  </si>
  <si>
    <t>B-03028</t>
  </si>
  <si>
    <t>B-03648</t>
  </si>
  <si>
    <t>B-03660</t>
  </si>
  <si>
    <t>B-03676</t>
  </si>
  <si>
    <t>B-03682</t>
  </si>
  <si>
    <t>B-03698</t>
  </si>
  <si>
    <t>B-04092</t>
  </si>
  <si>
    <t>B-04189</t>
  </si>
  <si>
    <t>B-04818</t>
  </si>
  <si>
    <t>CUCHILLA MULTICORTE</t>
  </si>
  <si>
    <t>B-05000</t>
  </si>
  <si>
    <t>T.C.T. SAW BLADE 255X25.4X24T</t>
  </si>
  <si>
    <t>B-05038</t>
  </si>
  <si>
    <t>B-05044</t>
  </si>
  <si>
    <t>B-05125</t>
  </si>
  <si>
    <t>B-05131</t>
  </si>
  <si>
    <t>B-05153</t>
  </si>
  <si>
    <t>B-05175</t>
  </si>
  <si>
    <t>B-05941</t>
  </si>
  <si>
    <t>B-06096</t>
  </si>
  <si>
    <t>B-06155</t>
  </si>
  <si>
    <t>B-06286</t>
  </si>
  <si>
    <t>BROCA SDS PLUS 20 X 466MM</t>
  </si>
  <si>
    <t>B-06292</t>
  </si>
  <si>
    <t>B-06460</t>
  </si>
  <si>
    <t>B-06476</t>
  </si>
  <si>
    <t>B-06482</t>
  </si>
  <si>
    <t>B-06890</t>
  </si>
  <si>
    <t>B-07135</t>
  </si>
  <si>
    <t>B-07250</t>
  </si>
  <si>
    <t>B-07319</t>
  </si>
  <si>
    <t>DISCO DE SIERRA 136X20X30T</t>
  </si>
  <si>
    <t>B-07325</t>
  </si>
  <si>
    <t>DISCO DE SIERRA 136X20X50T</t>
  </si>
  <si>
    <t>B-07375</t>
  </si>
  <si>
    <t>B-07440</t>
  </si>
  <si>
    <t>DISCO SIERRA CIRCULAR SP6000 P/ ALUMINIO</t>
  </si>
  <si>
    <t>B-07478</t>
  </si>
  <si>
    <t>SET DE SIERRAS DE CALAR</t>
  </si>
  <si>
    <t>B-10322</t>
  </si>
  <si>
    <t>B-10344</t>
  </si>
  <si>
    <t>DISCO SIERRA CIRCULAR SP6000 P/ CORIAN</t>
  </si>
  <si>
    <t>B-10366</t>
  </si>
  <si>
    <t>CINCEL SDS-MAX PUNTA AGUDA AUTOAFILABLE X 400MM (TOP LINE)</t>
  </si>
  <si>
    <t>B-10372</t>
  </si>
  <si>
    <t>B-10431</t>
  </si>
  <si>
    <t>B-10609</t>
  </si>
  <si>
    <t>B-10621</t>
  </si>
  <si>
    <t>SELF-SHARPENING BULL POINT</t>
  </si>
  <si>
    <t>B-10637</t>
  </si>
  <si>
    <t>B-10730</t>
  </si>
  <si>
    <t>B-10730-5</t>
  </si>
  <si>
    <t>B-10970</t>
  </si>
  <si>
    <t>B-10986</t>
  </si>
  <si>
    <t>B-11003</t>
  </si>
  <si>
    <t>TCT SAW BLADE 260X25.4X60T</t>
  </si>
  <si>
    <t>B-11265</t>
  </si>
  <si>
    <t>B-11271</t>
  </si>
  <si>
    <t>B-11287</t>
  </si>
  <si>
    <t>B-11293</t>
  </si>
  <si>
    <t>B-11302</t>
  </si>
  <si>
    <t>B-11318</t>
  </si>
  <si>
    <t>B-11324</t>
  </si>
  <si>
    <t>B-11330</t>
  </si>
  <si>
    <t>B-11346</t>
  </si>
  <si>
    <t>B-11352</t>
  </si>
  <si>
    <t>B-11368</t>
  </si>
  <si>
    <t>B-11374</t>
  </si>
  <si>
    <t>B-11380</t>
  </si>
  <si>
    <t>B-11396</t>
  </si>
  <si>
    <t>B-11405</t>
  </si>
  <si>
    <t>B-11411</t>
  </si>
  <si>
    <t>B-11427</t>
  </si>
  <si>
    <t>B-11433</t>
  </si>
  <si>
    <t>B-11455</t>
  </si>
  <si>
    <t>B-11461</t>
  </si>
  <si>
    <t>B-11477</t>
  </si>
  <si>
    <t>B-11499</t>
  </si>
  <si>
    <t>B-11508</t>
  </si>
  <si>
    <t>B-11514</t>
  </si>
  <si>
    <t>B-11520</t>
  </si>
  <si>
    <t>B-11536</t>
  </si>
  <si>
    <t>B-11542</t>
  </si>
  <si>
    <t>BROCA PILOTO HSS-G</t>
  </si>
  <si>
    <t>B-11623</t>
  </si>
  <si>
    <t>B-11639</t>
  </si>
  <si>
    <t>B-11651</t>
  </si>
  <si>
    <t>B-11667</t>
  </si>
  <si>
    <t>B-11689</t>
  </si>
  <si>
    <t>B-11695</t>
  </si>
  <si>
    <t>B-11704</t>
  </si>
  <si>
    <t>B-11710</t>
  </si>
  <si>
    <t>B-11726</t>
  </si>
  <si>
    <t>B-11732</t>
  </si>
  <si>
    <t>B-11748</t>
  </si>
  <si>
    <t>B-11760</t>
  </si>
  <si>
    <t>B-11782</t>
  </si>
  <si>
    <t>B-11798</t>
  </si>
  <si>
    <t>B-11813</t>
  </si>
  <si>
    <t>B-11829</t>
  </si>
  <si>
    <t>B-11835</t>
  </si>
  <si>
    <t>B-11841</t>
  </si>
  <si>
    <t>B-11857</t>
  </si>
  <si>
    <t>B-11863</t>
  </si>
  <si>
    <t>B-11879</t>
  </si>
  <si>
    <t>B-11885</t>
  </si>
  <si>
    <t>B-11891</t>
  </si>
  <si>
    <t>B-11900</t>
  </si>
  <si>
    <t>B-11916</t>
  </si>
  <si>
    <t>B-11922</t>
  </si>
  <si>
    <t>B-11966</t>
  </si>
  <si>
    <t>B-12217</t>
  </si>
  <si>
    <t>B-12239</t>
  </si>
  <si>
    <t>B-12267</t>
  </si>
  <si>
    <t>B-12273</t>
  </si>
  <si>
    <t>B-12289</t>
  </si>
  <si>
    <t>DISCO DIAMANTADO P/ PC5000C PARA ACABADO</t>
  </si>
  <si>
    <t>B-12326</t>
  </si>
  <si>
    <t>PUNTERAS PH2 (3 PCS) 85 MM.</t>
  </si>
  <si>
    <t>B-13328</t>
  </si>
  <si>
    <t>B-13334</t>
  </si>
  <si>
    <t>B-13340</t>
  </si>
  <si>
    <t>B-13356</t>
  </si>
  <si>
    <t>B-13362</t>
  </si>
  <si>
    <t>B-13378</t>
  </si>
  <si>
    <t>B-13384</t>
  </si>
  <si>
    <t>B-13390</t>
  </si>
  <si>
    <t>B-13415</t>
  </si>
  <si>
    <t>B-13677</t>
  </si>
  <si>
    <t>B-13708</t>
  </si>
  <si>
    <t>B-13839</t>
  </si>
  <si>
    <t>B-13845</t>
  </si>
  <si>
    <t>B-13867</t>
  </si>
  <si>
    <t>B-13873</t>
  </si>
  <si>
    <t>B-13889</t>
  </si>
  <si>
    <t>B-13910</t>
  </si>
  <si>
    <t>B-14118</t>
  </si>
  <si>
    <t>B-14124</t>
  </si>
  <si>
    <t>B-14174</t>
  </si>
  <si>
    <t>B-14196</t>
  </si>
  <si>
    <t>B-14205</t>
  </si>
  <si>
    <t>B-14211</t>
  </si>
  <si>
    <t>B-14233</t>
  </si>
  <si>
    <t>B-14607</t>
  </si>
  <si>
    <t>DISCO DE CORTE</t>
  </si>
  <si>
    <t>B-14613</t>
  </si>
  <si>
    <t>BROCA SDS-MAX   32 X 450 X 570MM.ROCK BLASTER</t>
  </si>
  <si>
    <t>B-14629</t>
  </si>
  <si>
    <t>B-15039</t>
  </si>
  <si>
    <t>B-15045</t>
  </si>
  <si>
    <t>BROCA SDS-MAX   32 X 800 X 920MM.ROCK BLASTER</t>
  </si>
  <si>
    <t>B-16271</t>
  </si>
  <si>
    <t>B-16667</t>
  </si>
  <si>
    <t>B-16689</t>
  </si>
  <si>
    <t>B-16695</t>
  </si>
  <si>
    <t>B-16748</t>
  </si>
  <si>
    <t>B-16754</t>
  </si>
  <si>
    <t>B-16760</t>
  </si>
  <si>
    <t>B-16782</t>
  </si>
  <si>
    <t>SIERRA DE CALAR TIPO T_1</t>
  </si>
  <si>
    <t>B-16857</t>
  </si>
  <si>
    <t>SIERRA DE CALAR TIPO T_2</t>
  </si>
  <si>
    <t>B-17734</t>
  </si>
  <si>
    <t>B-18057</t>
  </si>
  <si>
    <t>B-18194</t>
  </si>
  <si>
    <t>B-19130</t>
  </si>
  <si>
    <t>B-19283</t>
  </si>
  <si>
    <t>B-19364</t>
  </si>
  <si>
    <t>DISCO SIERRA T.C.T. (305 X 30 MM.) 60 DIENTES</t>
  </si>
  <si>
    <t>B-19869</t>
  </si>
  <si>
    <t>B-20644</t>
  </si>
  <si>
    <t>B-21082</t>
  </si>
  <si>
    <t>B-21272</t>
  </si>
  <si>
    <t>B-21288</t>
  </si>
  <si>
    <t>B-21294</t>
  </si>
  <si>
    <t>B-21303</t>
  </si>
  <si>
    <t>B-21319</t>
  </si>
  <si>
    <t>B-21325</t>
  </si>
  <si>
    <t>B-21331</t>
  </si>
  <si>
    <t>B-21347</t>
  </si>
  <si>
    <t>B-21353</t>
  </si>
  <si>
    <t>B-21369</t>
  </si>
  <si>
    <t>B-21381</t>
  </si>
  <si>
    <t>B-21397</t>
  </si>
  <si>
    <t>B-21406</t>
  </si>
  <si>
    <t>B-21412</t>
  </si>
  <si>
    <t>B-21428</t>
  </si>
  <si>
    <t>B-21434</t>
  </si>
  <si>
    <t>B-21440</t>
  </si>
  <si>
    <t>B-21456</t>
  </si>
  <si>
    <t>B-21462</t>
  </si>
  <si>
    <t>B-21478</t>
  </si>
  <si>
    <t>CUCHILLA DE CORTE PARA CORTE DE JUNTAS (TMA021) HCS (MULTITOOL)</t>
  </si>
  <si>
    <t>B-21484</t>
  </si>
  <si>
    <t>B-21490</t>
  </si>
  <si>
    <t>B-21509</t>
  </si>
  <si>
    <t>B-21515</t>
  </si>
  <si>
    <t>B-21521</t>
  </si>
  <si>
    <t>B-21537</t>
  </si>
  <si>
    <t>PLATO TIPO DELTA CON VELCRO (MULTITOOL) (B-46202)</t>
  </si>
  <si>
    <t>B-21559</t>
  </si>
  <si>
    <t>B-21565</t>
  </si>
  <si>
    <t>B-21571</t>
  </si>
  <si>
    <t>B-21587</t>
  </si>
  <si>
    <t>B-21593</t>
  </si>
  <si>
    <t>B-21602</t>
  </si>
  <si>
    <t>B-21618</t>
  </si>
  <si>
    <t>B-21624</t>
  </si>
  <si>
    <t>B-21630</t>
  </si>
  <si>
    <t>B-21646</t>
  </si>
  <si>
    <t>B-21652</t>
  </si>
  <si>
    <t>B-21668</t>
  </si>
  <si>
    <t>B-21680</t>
  </si>
  <si>
    <t>B-21696</t>
  </si>
  <si>
    <t>B-21711</t>
  </si>
  <si>
    <t>B-21733</t>
  </si>
  <si>
    <t>B-21749</t>
  </si>
  <si>
    <t>B-21755</t>
  </si>
  <si>
    <t>B-21761</t>
  </si>
  <si>
    <t>B-21777</t>
  </si>
  <si>
    <t>B-21799</t>
  </si>
  <si>
    <t>B-21808</t>
  </si>
  <si>
    <t>B-21820</t>
  </si>
  <si>
    <t>B-21864</t>
  </si>
  <si>
    <t>B-22947</t>
  </si>
  <si>
    <t>B-22953</t>
  </si>
  <si>
    <t>B-22969</t>
  </si>
  <si>
    <t>B-23064</t>
  </si>
  <si>
    <t>B-23117</t>
  </si>
  <si>
    <t>DISCO DE SIERRA 136X56T</t>
  </si>
  <si>
    <t>B-23151</t>
  </si>
  <si>
    <t>TCT SAW BLADE FOR SUS 305X100T</t>
  </si>
  <si>
    <t>B-23466</t>
  </si>
  <si>
    <t>B-23787</t>
  </si>
  <si>
    <t>B-23793</t>
  </si>
  <si>
    <t>B-23824</t>
  </si>
  <si>
    <t>B-24549</t>
  </si>
  <si>
    <t>B-24583</t>
  </si>
  <si>
    <t>PUNTERA PH2 X 25MM. (25 PCS) ESTUCHE PLASTICO</t>
  </si>
  <si>
    <t>B-24692</t>
  </si>
  <si>
    <t>B-24723</t>
  </si>
  <si>
    <t>B-24876</t>
  </si>
  <si>
    <t>PUNTERA PH2 X 25MM. (100PUNTAS.) EN POTE PLASTICO</t>
  </si>
  <si>
    <t>B-24882</t>
  </si>
  <si>
    <t>B-24907</t>
  </si>
  <si>
    <t>B-24913</t>
  </si>
  <si>
    <t>B-25220</t>
  </si>
  <si>
    <t>PUNTERA PH2 X 50MM (3PCS)</t>
  </si>
  <si>
    <t>B-25529</t>
  </si>
  <si>
    <t>SCREW BIT  3PCS/SET (B-25220)</t>
  </si>
  <si>
    <t>B-26490</t>
  </si>
  <si>
    <t>B-26521</t>
  </si>
  <si>
    <t>B-26543</t>
  </si>
  <si>
    <t>B-28189</t>
  </si>
  <si>
    <t>B-28226</t>
  </si>
  <si>
    <t>B-28232</t>
  </si>
  <si>
    <t>B-28248</t>
  </si>
  <si>
    <t>B-28254</t>
  </si>
  <si>
    <t>B-28260</t>
  </si>
  <si>
    <t>B-28276</t>
  </si>
  <si>
    <t>B-28298</t>
  </si>
  <si>
    <t>B-28307</t>
  </si>
  <si>
    <t>B-28313</t>
  </si>
  <si>
    <t>B-28329</t>
  </si>
  <si>
    <t>B-28335</t>
  </si>
  <si>
    <t>B-28341</t>
  </si>
  <si>
    <t>B-28357</t>
  </si>
  <si>
    <t>B-28444</t>
  </si>
  <si>
    <t>B-28450</t>
  </si>
  <si>
    <t>B-28466</t>
  </si>
  <si>
    <t>B-28472</t>
  </si>
  <si>
    <t>B-28488</t>
  </si>
  <si>
    <t>B-28503</t>
  </si>
  <si>
    <t>B-28519</t>
  </si>
  <si>
    <t>B-28525</t>
  </si>
  <si>
    <t>B-28531</t>
  </si>
  <si>
    <t>B-28547</t>
  </si>
  <si>
    <t>B-28553</t>
  </si>
  <si>
    <t>B-28569</t>
  </si>
  <si>
    <t>B-28581</t>
  </si>
  <si>
    <t>B-28597</t>
  </si>
  <si>
    <t>B-28709</t>
  </si>
  <si>
    <t>JIGSAW BLADE B-28 MDF LATIN</t>
  </si>
  <si>
    <t>B-28715</t>
  </si>
  <si>
    <t>SIERRA CALAR MDF/MAD/PLAST (B-29) 42MM X 5U. CORTE CURVO  2-35MM</t>
  </si>
  <si>
    <t>B-28977</t>
  </si>
  <si>
    <t>B-28999</t>
  </si>
  <si>
    <t>B-29016</t>
  </si>
  <si>
    <t>B-29038</t>
  </si>
  <si>
    <t>B-29050</t>
  </si>
  <si>
    <t>B-29088</t>
  </si>
  <si>
    <t>B-29103</t>
  </si>
  <si>
    <t>EXTENSION FLEXIBLE PARA PUNTAS DE ATORNILLAR 300MM</t>
  </si>
  <si>
    <t>B-30128</t>
  </si>
  <si>
    <t>B-30564</t>
  </si>
  <si>
    <t>HOJA DE SIERRA RECIPROCA PARA MATERIAL FRIO 228MM</t>
  </si>
  <si>
    <t>B-30586</t>
  </si>
  <si>
    <t>SET DE CUCHILLAS DE CORTE (TMA016-TMA023) Y PLATO LIJADOR (TMA025) MULTITOOL</t>
  </si>
  <si>
    <t>B-30592</t>
  </si>
  <si>
    <t>SET DE CUCHILLAS DE CORTE (TMA016-TMA023-TMA018) Y PLATO LIJADOR (TMA025) MULTITOOL</t>
  </si>
  <si>
    <t>B-30601</t>
  </si>
  <si>
    <t>B-30617</t>
  </si>
  <si>
    <t>B-30754</t>
  </si>
  <si>
    <t>B-31611</t>
  </si>
  <si>
    <t>ADAP. CON BROCA PILOTO P/SIERRAS COPA (16-35MM)</t>
  </si>
  <si>
    <t>B-31706</t>
  </si>
  <si>
    <t>B-31712</t>
  </si>
  <si>
    <t>B-31728</t>
  </si>
  <si>
    <t>B-31734</t>
  </si>
  <si>
    <t>B-31740</t>
  </si>
  <si>
    <t>B-31762</t>
  </si>
  <si>
    <t>B-31778</t>
  </si>
  <si>
    <t>B-31784</t>
  </si>
  <si>
    <t>B-31790</t>
  </si>
  <si>
    <t>B-31809</t>
  </si>
  <si>
    <t>B-31815</t>
  </si>
  <si>
    <t>B-31821</t>
  </si>
  <si>
    <t>SIERRA COPA BI-METAL (8% COBALTO) EZYCHANGE 121MM</t>
  </si>
  <si>
    <t>B-31837</t>
  </si>
  <si>
    <t>B-31902</t>
  </si>
  <si>
    <t>B-33956</t>
  </si>
  <si>
    <t>B-34017</t>
  </si>
  <si>
    <t>B-34023</t>
  </si>
  <si>
    <t>MUELA ABRASIVA PARA ESMERIL RECTO/ 150X20X12 7MM/ A36P</t>
  </si>
  <si>
    <t>B-36120</t>
  </si>
  <si>
    <t>B-36136</t>
  </si>
  <si>
    <t>ADAP. CON BROCA PILOTO P/SIERRAS COPA (38-152MM)</t>
  </si>
  <si>
    <t>B-36142</t>
  </si>
  <si>
    <t>BROCA PILOTO P/ ADAP. DE SIERRAS COPA (B-36136 Y B-36136)</t>
  </si>
  <si>
    <t>B-36186</t>
  </si>
  <si>
    <t>B-36251</t>
  </si>
  <si>
    <t>B-38663</t>
  </si>
  <si>
    <t>B-38679</t>
  </si>
  <si>
    <t>B-38847</t>
  </si>
  <si>
    <t>B-38853</t>
  </si>
  <si>
    <t>B-38906</t>
  </si>
  <si>
    <t>B-38912</t>
  </si>
  <si>
    <t>B-38928</t>
  </si>
  <si>
    <t>B-38934</t>
  </si>
  <si>
    <t>B-38940</t>
  </si>
  <si>
    <t>B-38956</t>
  </si>
  <si>
    <t>B-38962</t>
  </si>
  <si>
    <t>B-38978</t>
  </si>
  <si>
    <t>B-39160</t>
  </si>
  <si>
    <t>B-39176</t>
  </si>
  <si>
    <t>B-39182</t>
  </si>
  <si>
    <t>B-39213</t>
  </si>
  <si>
    <t>HM BAR CUCHILLA DE PENETRACION 32 (TMA030)</t>
  </si>
  <si>
    <t>B-39229</t>
  </si>
  <si>
    <t>HM BAR CUCHILLA DE PENETRACION 20 (TMA031)</t>
  </si>
  <si>
    <t>B-39241</t>
  </si>
  <si>
    <t>CUHILLA EN FORMA DE ARCO DE PENETRACION 32 (TMA033)</t>
  </si>
  <si>
    <t>B-39257</t>
  </si>
  <si>
    <t>CUHILLA EN FORMA DE ARCO DE PENETRACION 32 (TMA034)</t>
  </si>
  <si>
    <t>B-39279</t>
  </si>
  <si>
    <t>B-39285</t>
  </si>
  <si>
    <t>B-39291</t>
  </si>
  <si>
    <t>B-39431</t>
  </si>
  <si>
    <t>B-39447</t>
  </si>
  <si>
    <t>B-39453</t>
  </si>
  <si>
    <t>B-39469</t>
  </si>
  <si>
    <t>B-39512</t>
  </si>
  <si>
    <t>B-39534</t>
  </si>
  <si>
    <t>B-39534-10</t>
  </si>
  <si>
    <t>PUNTERA IMP. GOLD PZ2X25MM.X25UNI. EN FRASCO</t>
  </si>
  <si>
    <t>B-40107</t>
  </si>
  <si>
    <t>IMPACT SOCKET</t>
  </si>
  <si>
    <t>B-40113</t>
  </si>
  <si>
    <t>B-40141</t>
  </si>
  <si>
    <t>B-40163</t>
  </si>
  <si>
    <t>B-40185</t>
  </si>
  <si>
    <t>B-40191</t>
  </si>
  <si>
    <t>B-40200</t>
  </si>
  <si>
    <t>B-40216</t>
  </si>
  <si>
    <t>B-40222</t>
  </si>
  <si>
    <t>B-40238</t>
  </si>
  <si>
    <t>B-40331</t>
  </si>
  <si>
    <t>B-40543</t>
  </si>
  <si>
    <t>B-40565</t>
  </si>
  <si>
    <t>B-40755</t>
  </si>
  <si>
    <t>B-40761</t>
  </si>
  <si>
    <t>B-40777</t>
  </si>
  <si>
    <t>B-40783</t>
  </si>
  <si>
    <t>B-40917</t>
  </si>
  <si>
    <t>B-40923</t>
  </si>
  <si>
    <t>B-40939</t>
  </si>
  <si>
    <t>B-40945</t>
  </si>
  <si>
    <t>B-42195</t>
  </si>
  <si>
    <t>SHORTON BIT PH2-30 2PC.</t>
  </si>
  <si>
    <t>B-42488</t>
  </si>
  <si>
    <t>I.G. PH2 5PC WITH MAG BOOST</t>
  </si>
  <si>
    <t>B-42547</t>
  </si>
  <si>
    <t>B-42999</t>
  </si>
  <si>
    <t>B-43175</t>
  </si>
  <si>
    <t>HOJA DE SIERRA S1121 BEF</t>
  </si>
  <si>
    <t>B-43212</t>
  </si>
  <si>
    <t>SIERRA DE CALAR TIPO T_3</t>
  </si>
  <si>
    <t>B-43234</t>
  </si>
  <si>
    <t>SIERRA DE CALAR TIPO T_4</t>
  </si>
  <si>
    <t>B-43256</t>
  </si>
  <si>
    <t>B-43278</t>
  </si>
  <si>
    <t>SIERRA DE CALAR TIPO T_6</t>
  </si>
  <si>
    <t>B-43290</t>
  </si>
  <si>
    <t>B-43309</t>
  </si>
  <si>
    <t>B-43315</t>
  </si>
  <si>
    <t>B-43337</t>
  </si>
  <si>
    <t>B-43343</t>
  </si>
  <si>
    <t>B-43359</t>
  </si>
  <si>
    <t>B-43365</t>
  </si>
  <si>
    <t>B-43371</t>
  </si>
  <si>
    <t>B-43387</t>
  </si>
  <si>
    <t>B-44426</t>
  </si>
  <si>
    <t>B-45076</t>
  </si>
  <si>
    <t>B-45082</t>
  </si>
  <si>
    <t>B-45098</t>
  </si>
  <si>
    <t>B-45107</t>
  </si>
  <si>
    <t>B-45135</t>
  </si>
  <si>
    <t>DBL-END TORSIONBIT PH2-65 3PC</t>
  </si>
  <si>
    <t>B-45440</t>
  </si>
  <si>
    <t>B-45727</t>
  </si>
  <si>
    <t>B-45755</t>
  </si>
  <si>
    <t>B-46028</t>
  </si>
  <si>
    <t>B-46296</t>
  </si>
  <si>
    <t>T.C.T SAW BLADE 150X20X32T</t>
  </si>
  <si>
    <t>B-46327</t>
  </si>
  <si>
    <t>DIAMOND WHEEL 115X22.23MM WAVE</t>
  </si>
  <si>
    <t>B-46492</t>
  </si>
  <si>
    <t>B-46501</t>
  </si>
  <si>
    <t>B-46517</t>
  </si>
  <si>
    <t>B-46523</t>
  </si>
  <si>
    <t>B-46545</t>
  </si>
  <si>
    <t>B-46567</t>
  </si>
  <si>
    <t>B-46573</t>
  </si>
  <si>
    <t>B-47008</t>
  </si>
  <si>
    <t>T.C.T SAW BLADE 150X20X52T</t>
  </si>
  <si>
    <t>B-47014</t>
  </si>
  <si>
    <t>T.C.T SAW BLADE 150X20X60T</t>
  </si>
  <si>
    <t>B-47341</t>
  </si>
  <si>
    <t>B-47357</t>
  </si>
  <si>
    <t>B-47385</t>
  </si>
  <si>
    <t>B-47391</t>
  </si>
  <si>
    <t>B-47472</t>
  </si>
  <si>
    <t>B-47488</t>
  </si>
  <si>
    <t>B-47569</t>
  </si>
  <si>
    <t>B-47575</t>
  </si>
  <si>
    <t>B-47581</t>
  </si>
  <si>
    <t>B-47597</t>
  </si>
  <si>
    <t>B-47606</t>
  </si>
  <si>
    <t>B-47684</t>
  </si>
  <si>
    <t>B-47690</t>
  </si>
  <si>
    <t>B-47709</t>
  </si>
  <si>
    <t>B-47721</t>
  </si>
  <si>
    <t>B-47765</t>
  </si>
  <si>
    <t>B-47771</t>
  </si>
  <si>
    <t>B-47787</t>
  </si>
  <si>
    <t>B-47793</t>
  </si>
  <si>
    <t>B-47868</t>
  </si>
  <si>
    <t>B-47880</t>
  </si>
  <si>
    <t>B-47896</t>
  </si>
  <si>
    <t>B-47911</t>
  </si>
  <si>
    <t>B-47933</t>
  </si>
  <si>
    <t>B-47949</t>
  </si>
  <si>
    <t>B-48022</t>
  </si>
  <si>
    <t>B-48050</t>
  </si>
  <si>
    <t>B-48066</t>
  </si>
  <si>
    <t>B-48072</t>
  </si>
  <si>
    <t>B-48088</t>
  </si>
  <si>
    <t>B-48131</t>
  </si>
  <si>
    <t>B-48147</t>
  </si>
  <si>
    <t>B-48197</t>
  </si>
  <si>
    <t>B-48206</t>
  </si>
  <si>
    <t>B-48234</t>
  </si>
  <si>
    <t>B-48527</t>
  </si>
  <si>
    <t>SIERRAS DE CALAR T/ T (2 MADE.  1 METAL  1 MULTI MA.  1 LAMINADOS)</t>
  </si>
  <si>
    <t>B-48832</t>
  </si>
  <si>
    <t>DISCO RANURADORA ALUM 118X20MM 6T ANGULO 9</t>
  </si>
  <si>
    <t>B-48860</t>
  </si>
  <si>
    <t>DISCO RANURADORA ALUM 118X20MM 6T ANGULO 1</t>
  </si>
  <si>
    <t>B-49448</t>
  </si>
  <si>
    <t>B-49448-5</t>
  </si>
  <si>
    <t>B-49703</t>
  </si>
  <si>
    <t>SIERRA PARA DRYWALL X2UN{DSD180D}</t>
  </si>
  <si>
    <t>B-49719</t>
  </si>
  <si>
    <t>BOARD CUTTER BLADE</t>
  </si>
  <si>
    <t>B-49775</t>
  </si>
  <si>
    <t>B-49834</t>
  </si>
  <si>
    <t>RECIPRO SAW WOOD &amp; METAL 152MM</t>
  </si>
  <si>
    <t>B-49840</t>
  </si>
  <si>
    <t>RECIPRO SAW WOOD &amp; METAL 228MM</t>
  </si>
  <si>
    <t>B-49856</t>
  </si>
  <si>
    <t>RECIPRO SAW WOOD &amp; METAL 305MM</t>
  </si>
  <si>
    <t>B-49921</t>
  </si>
  <si>
    <t>ESTUCHE DE BROCAS</t>
  </si>
  <si>
    <t>B-50360</t>
  </si>
  <si>
    <t>B-50706</t>
  </si>
  <si>
    <t>CUCHILLA DE CORTE T.RECTANGULAR PARA CORTE DE JUNTAS (TMA043) HCS (MULTITOOL)</t>
  </si>
  <si>
    <t>B-50712</t>
  </si>
  <si>
    <t>CUCHILLA DE CORTE T.TRIANGULAR PARA CORTE DE JUNTAS (TMA044) HCS (MULTITOOL)</t>
  </si>
  <si>
    <t>B-51611</t>
  </si>
  <si>
    <t>B-51627</t>
  </si>
  <si>
    <t>B-51823</t>
  </si>
  <si>
    <t>BROCA DIAMANTADA DE 6MM PARA PORCELANATO</t>
  </si>
  <si>
    <t>B-51839</t>
  </si>
  <si>
    <t>BROCA DIAMANTADA DE 8MM PARA PORCELANATO</t>
  </si>
  <si>
    <t>B-51845</t>
  </si>
  <si>
    <t>BROCA DIAMANTADA DE 10MM PARA PORCELANATO</t>
  </si>
  <si>
    <t>B-51904</t>
  </si>
  <si>
    <t>GRINGDING WHEEL</t>
  </si>
  <si>
    <t>B-51926</t>
  </si>
  <si>
    <t>RUEDA ABRASIVA PARA ESMERIL DE BANCO 6" GR WA60K</t>
  </si>
  <si>
    <t>B-51948</t>
  </si>
  <si>
    <t>RUEDA ABRASIVA PARA ESMERIL DE BANCO 8" GR A36P</t>
  </si>
  <si>
    <t>B-51954</t>
  </si>
  <si>
    <t>RUEDA ABRASIVA PARA ESMERIL DE BANCO 8" GR A60P</t>
  </si>
  <si>
    <t>B-51960</t>
  </si>
  <si>
    <t>B-51976</t>
  </si>
  <si>
    <t>B-52043</t>
  </si>
  <si>
    <t>B-52451</t>
  </si>
  <si>
    <t>B-52912-6</t>
  </si>
  <si>
    <t>JUEGO DE  PUNTERA BIT PH2</t>
  </si>
  <si>
    <t>B-52962</t>
  </si>
  <si>
    <t>FRESA CARBURADAS P/ESMERIL RECTO_1</t>
  </si>
  <si>
    <t>B-52962-10</t>
  </si>
  <si>
    <t>FRESA CARBURADAS P/ESMERIL RECTO SET 10PCS</t>
  </si>
  <si>
    <t>B-52978</t>
  </si>
  <si>
    <t>FRESA CARBURADAS P/ESMERIL RECTO_2</t>
  </si>
  <si>
    <t>B-52978-10</t>
  </si>
  <si>
    <t>B-52984</t>
  </si>
  <si>
    <t>FRESA CARBURADAS P/ESMERIL RECTO_3</t>
  </si>
  <si>
    <t>B-52984-10</t>
  </si>
  <si>
    <t>B-52990</t>
  </si>
  <si>
    <t>FRESA CARBURADAS P/ESMERIL RECTO_4</t>
  </si>
  <si>
    <t>B-52990-10</t>
  </si>
  <si>
    <t>B-53001</t>
  </si>
  <si>
    <t>FRESA CARBURADAS P/ESMERIL RECTO_5</t>
  </si>
  <si>
    <t>B-53001-10</t>
  </si>
  <si>
    <t>B-53017</t>
  </si>
  <si>
    <t>FRESA CARBURADAS P/ESMERIL RECTO_6</t>
  </si>
  <si>
    <t>B-53023</t>
  </si>
  <si>
    <t>FRESA CARBURADAS P/ESMERIL RECTO_7</t>
  </si>
  <si>
    <t>B-53023-10</t>
  </si>
  <si>
    <t>B-53039</t>
  </si>
  <si>
    <t>FRESA CARBURADAS P/ESMERIL RECTO_8</t>
  </si>
  <si>
    <t>B-53039-10</t>
  </si>
  <si>
    <t>B-53045</t>
  </si>
  <si>
    <t>FRESA CARBURADAS P/ESMERIL RECTO_9</t>
  </si>
  <si>
    <t>B-53045-10</t>
  </si>
  <si>
    <t>B-53051</t>
  </si>
  <si>
    <t>FRESA CARBURADAS P/ESMERIL RECTO_10</t>
  </si>
  <si>
    <t>B-53051-10</t>
  </si>
  <si>
    <t>B-53067</t>
  </si>
  <si>
    <t>FRESA CARBURADAS P/ESMERIL RECTO_11</t>
  </si>
  <si>
    <t>B-53067-10</t>
  </si>
  <si>
    <t>B-53073</t>
  </si>
  <si>
    <t>FRESA CARBURADAS P/ESMERIL RECTO_12</t>
  </si>
  <si>
    <t>B-53089</t>
  </si>
  <si>
    <t>FRESA CARBURADAS P/ESMERIL RECTO_13</t>
  </si>
  <si>
    <t>B-53089-10</t>
  </si>
  <si>
    <t>B-53095</t>
  </si>
  <si>
    <t>FRESA CARBURADAS P/ESMERIL RECTO_14</t>
  </si>
  <si>
    <t>B-53095-10</t>
  </si>
  <si>
    <t>B-53104</t>
  </si>
  <si>
    <t>FRESA CARBURADAS P/ESMERIL RECTO_15</t>
  </si>
  <si>
    <t>B-53104-10</t>
  </si>
  <si>
    <t>B-53936</t>
  </si>
  <si>
    <t>B-54520</t>
  </si>
  <si>
    <t>MALETA DE ACCESORIOS COMBINADO BROCAS &amp; PUNTERAS  X 100PCS</t>
  </si>
  <si>
    <t>B-54704</t>
  </si>
  <si>
    <t>B-54710</t>
  </si>
  <si>
    <t>B-55304</t>
  </si>
  <si>
    <t>DIAMOND WHEEL FOR RESCUE 115MM</t>
  </si>
  <si>
    <t>B-55326</t>
  </si>
  <si>
    <t>DIAMOND WHEEL FOR RESCUE 230MM</t>
  </si>
  <si>
    <t>B-55348</t>
  </si>
  <si>
    <t>DIAMOND WHEEL FOR RESCUE 352MM</t>
  </si>
  <si>
    <t>B-56362</t>
  </si>
  <si>
    <t>B-56378</t>
  </si>
  <si>
    <t>B-56655</t>
  </si>
  <si>
    <t>B-57146</t>
  </si>
  <si>
    <t>WINCHA MAKITA - 5.5MX25MM</t>
  </si>
  <si>
    <t>B-57168</t>
  </si>
  <si>
    <t>WINCHA MAKITA - 10MX25MM</t>
  </si>
  <si>
    <t>B-57174</t>
  </si>
  <si>
    <t>MEASURE WITH HOLDER &amp;SAFATY CORD FOR MAK2</t>
  </si>
  <si>
    <t>B-57364</t>
  </si>
  <si>
    <t>DISCO PARA CORTE DE MELAMINE</t>
  </si>
  <si>
    <t>B-57401</t>
  </si>
  <si>
    <t>BROCA SDS-PLUS METAL HSS-TIN 3 X 90MM.</t>
  </si>
  <si>
    <t>B-57417</t>
  </si>
  <si>
    <t>BROCA SDS-PLUS METAL HSS-TIN 3.5 X 100MM.</t>
  </si>
  <si>
    <t>B-57423</t>
  </si>
  <si>
    <t>BROCA SDS-PLUS METAL HSS-TIN 4 X 105MM.</t>
  </si>
  <si>
    <t>B-57439</t>
  </si>
  <si>
    <t>BROCA SDS-PLUS METAL HSS-TIN 4.5 X 110MM.</t>
  </si>
  <si>
    <t>B-57445</t>
  </si>
  <si>
    <t>BROCA SDS-PLUS METAL HSS-TIN 5 X 116MM.</t>
  </si>
  <si>
    <t>B-57451</t>
  </si>
  <si>
    <t>BROCA SDS-PLUS METAL HSS-TIN 5.5 X 123MM.</t>
  </si>
  <si>
    <t>B-57467</t>
  </si>
  <si>
    <t>BROCA SDS-PLUS METAL HSS-TIN 6 X 123MM.</t>
  </si>
  <si>
    <t>B-57473</t>
  </si>
  <si>
    <t>BROCA SDS-PLUS METAL HSS-TIN 6.5 X 131MM.</t>
  </si>
  <si>
    <t>B-57489</t>
  </si>
  <si>
    <t>BROCA SDS-PLUS MADERA 4 X 105MM.</t>
  </si>
  <si>
    <t>B-57495</t>
  </si>
  <si>
    <t>BROCA SDS-PLUS MADERA 5 X 116MM.</t>
  </si>
  <si>
    <t>B-57504</t>
  </si>
  <si>
    <t>BROCA SDS-PLUS MADERA 6 X 123MM.</t>
  </si>
  <si>
    <t>B-57510</t>
  </si>
  <si>
    <t>BROCA SDS-PLUS MADERA 8 X 147MM.</t>
  </si>
  <si>
    <t>B-57526</t>
  </si>
  <si>
    <t>BROCA SDS-PLUS MADERA 10 X 163MM.</t>
  </si>
  <si>
    <t>B-57532</t>
  </si>
  <si>
    <t>B-57548</t>
  </si>
  <si>
    <t>SLEEVE CHUCK BIT HOLDER</t>
  </si>
  <si>
    <t>B-57554</t>
  </si>
  <si>
    <t>B-57738</t>
  </si>
  <si>
    <t>B-57744</t>
  </si>
  <si>
    <t>SQUARE DRIVE SOCKET ADAPTER</t>
  </si>
  <si>
    <t>B-57772</t>
  </si>
  <si>
    <t>B-57788</t>
  </si>
  <si>
    <t>B-57794</t>
  </si>
  <si>
    <t>B-57831</t>
  </si>
  <si>
    <t>B-57847</t>
  </si>
  <si>
    <t>B-57853</t>
  </si>
  <si>
    <t>B-57962</t>
  </si>
  <si>
    <t>B-57978</t>
  </si>
  <si>
    <t>B-57990</t>
  </si>
  <si>
    <t>B-58104</t>
  </si>
  <si>
    <t>B-58154</t>
  </si>
  <si>
    <t>B-58213</t>
  </si>
  <si>
    <t>B-58229</t>
  </si>
  <si>
    <t>B-58257</t>
  </si>
  <si>
    <t>BROCA NEMESIS 10X455</t>
  </si>
  <si>
    <t>B-58322</t>
  </si>
  <si>
    <t>B-58344</t>
  </si>
  <si>
    <t>B-58366</t>
  </si>
  <si>
    <t>BROCA 4C-PLUS 12X450</t>
  </si>
  <si>
    <t>B-58372</t>
  </si>
  <si>
    <t>B-58431</t>
  </si>
  <si>
    <t>B-58481</t>
  </si>
  <si>
    <t>BROCA NEMESIS 40X600</t>
  </si>
  <si>
    <t>B-58540</t>
  </si>
  <si>
    <t>B-58562</t>
  </si>
  <si>
    <t>B-58584</t>
  </si>
  <si>
    <t>BROCA NEMESIS 16X450</t>
  </si>
  <si>
    <t>B-60274</t>
  </si>
  <si>
    <t>B-60399</t>
  </si>
  <si>
    <t>PUNTERA PARA DRYWALL 40MM PH2</t>
  </si>
  <si>
    <t>B-60464</t>
  </si>
  <si>
    <t>B-60610</t>
  </si>
  <si>
    <t>B-60654</t>
  </si>
  <si>
    <t>B-60660</t>
  </si>
  <si>
    <t>B-60707</t>
  </si>
  <si>
    <t>BROCA SDS-PLUS 1/2"" X 4"" X 6"" - DOS CORTES</t>
  </si>
  <si>
    <t>B-60713</t>
  </si>
  <si>
    <t>B-60757</t>
  </si>
  <si>
    <t>B-60763</t>
  </si>
  <si>
    <t>B-60785</t>
  </si>
  <si>
    <t>B-60791</t>
  </si>
  <si>
    <t>B-60816</t>
  </si>
  <si>
    <t>B-60838</t>
  </si>
  <si>
    <t>B-60844</t>
  </si>
  <si>
    <t>B-61036</t>
  </si>
  <si>
    <t>B-61070</t>
  </si>
  <si>
    <t>B-61086</t>
  </si>
  <si>
    <t>B-61092</t>
  </si>
  <si>
    <t>B-61101</t>
  </si>
  <si>
    <t>B-61117</t>
  </si>
  <si>
    <t>B-61123</t>
  </si>
  <si>
    <t>B-61145</t>
  </si>
  <si>
    <t>B-61167</t>
  </si>
  <si>
    <t>B-61307</t>
  </si>
  <si>
    <t>B-61313</t>
  </si>
  <si>
    <t>B-61341</t>
  </si>
  <si>
    <t>B-61357</t>
  </si>
  <si>
    <t>B-61385</t>
  </si>
  <si>
    <t>B-61391</t>
  </si>
  <si>
    <t>B-61438</t>
  </si>
  <si>
    <t>B-61450</t>
  </si>
  <si>
    <t>B-61466</t>
  </si>
  <si>
    <t>B-62038</t>
  </si>
  <si>
    <t>DISCO DE SIERRA PARA MADERA EFFICUT 7-1/4" 24 DIENTES</t>
  </si>
  <si>
    <t>B-62038-SAMPLE</t>
  </si>
  <si>
    <t>TCT BLADE 185X24T WOOD EFFICUT</t>
  </si>
  <si>
    <t>B-63258</t>
  </si>
  <si>
    <t>BROCA NEMESIS II SDS PLUS 4 PUNTAS 6 X 115MM.</t>
  </si>
  <si>
    <t>B-63264</t>
  </si>
  <si>
    <t>BROCA NEMESIS II SDS PLUS 4 PUNTAS 6 X 165MM.</t>
  </si>
  <si>
    <t>B-63616</t>
  </si>
  <si>
    <t>PUNTA PHILLIPS PH2 X 25MM.2U.IMPACT BLACK.</t>
  </si>
  <si>
    <t>B-63644</t>
  </si>
  <si>
    <t>PUNTA PHILLIPS PZ2 X 25MM.2U.IMPACT BLACK.</t>
  </si>
  <si>
    <t>B-63725</t>
  </si>
  <si>
    <t>PUNTA PHILLIPS PH2 X 50MM.2U.IMPACT BLACK.</t>
  </si>
  <si>
    <t>B-63753</t>
  </si>
  <si>
    <t>PUNTA PHILLIPS PZ2 X 50MM.2U.IMPACT BLACK.</t>
  </si>
  <si>
    <t>B-64381</t>
  </si>
  <si>
    <t>B-64406</t>
  </si>
  <si>
    <t>B-64428</t>
  </si>
  <si>
    <t>B-64440</t>
  </si>
  <si>
    <t>B-64565-5</t>
  </si>
  <si>
    <t>B-64652</t>
  </si>
  <si>
    <t>DISCO DE SIERRA PARA MADERA  (255 X 25.4 MM.) 45 DIENTES EFFICUT</t>
  </si>
  <si>
    <t>B-64652-SAMPLE</t>
  </si>
  <si>
    <t>TCT BLADE 260X45T WOOD EFFICUT</t>
  </si>
  <si>
    <t>B-64696-5</t>
  </si>
  <si>
    <t>RUEDA DE CORTE MAKITA 355XX25</t>
  </si>
  <si>
    <t>B-64799</t>
  </si>
  <si>
    <t>B-64808</t>
  </si>
  <si>
    <t>B-64814</t>
  </si>
  <si>
    <t>B-64820</t>
  </si>
  <si>
    <t>B-64836</t>
  </si>
  <si>
    <t>B-64842</t>
  </si>
  <si>
    <t>B-64858</t>
  </si>
  <si>
    <t>B-64870</t>
  </si>
  <si>
    <t>B-64917</t>
  </si>
  <si>
    <t>B-64923</t>
  </si>
  <si>
    <t>B-64939</t>
  </si>
  <si>
    <t>B-64945</t>
  </si>
  <si>
    <t>B-64951</t>
  </si>
  <si>
    <t>B-64967</t>
  </si>
  <si>
    <t>B-64973</t>
  </si>
  <si>
    <t>STARLOCK SEGMENTSAW 85 TMA064</t>
  </si>
  <si>
    <t>B-64989</t>
  </si>
  <si>
    <t>B-64995</t>
  </si>
  <si>
    <t>B-65006</t>
  </si>
  <si>
    <t>B-65028</t>
  </si>
  <si>
    <t>B-65034</t>
  </si>
  <si>
    <t>B-65040</t>
  </si>
  <si>
    <t>B-65062</t>
  </si>
  <si>
    <t>B-65078</t>
  </si>
  <si>
    <t>B-65115</t>
  </si>
  <si>
    <t>PLATO DE LIJA</t>
  </si>
  <si>
    <t>B-66145</t>
  </si>
  <si>
    <t>DESTORNILLADOR AISLANTE PH3</t>
  </si>
  <si>
    <t>B-66276</t>
  </si>
  <si>
    <t>B-66400-5</t>
  </si>
  <si>
    <t>CUCHILLA DE CORTE DE INMERSION 32MM (MULTITOOL)</t>
  </si>
  <si>
    <t>B-67496</t>
  </si>
  <si>
    <t>B-67505</t>
  </si>
  <si>
    <t>B-68323</t>
  </si>
  <si>
    <t>B-68389</t>
  </si>
  <si>
    <t>DISCO LIJA PARA DRYWALL 9 HOYOS GR40 (25PCS) {P/DSL800}</t>
  </si>
  <si>
    <t>B-68395</t>
  </si>
  <si>
    <t>DISCO LIJA PARA DRYWALL 9 HOYOS GR80 (25PCS) {P/DSL800}</t>
  </si>
  <si>
    <t>B-68404</t>
  </si>
  <si>
    <t>DISCO LIJA PARA DRYWALL 9 HOYOS GR120 (25PCS) {P/DSL800}</t>
  </si>
  <si>
    <t>B-68410</t>
  </si>
  <si>
    <t>DISCO LIJA PARA DRYWALL 9 HOYOS GR180 (25PCS) {P/DSL800}</t>
  </si>
  <si>
    <t>B-68426</t>
  </si>
  <si>
    <t>DISCO LIJA PARA DRYWALL 9 HOYOS GR320 (25PCS) {P/DSL800}</t>
  </si>
  <si>
    <t>B-68448</t>
  </si>
  <si>
    <t>ADAPTADOR P/LLAVE IMPACT ENCASTRE 1/2" A  HEXAGONAL 1/4"</t>
  </si>
  <si>
    <t>B-68498</t>
  </si>
  <si>
    <t>B-68600</t>
  </si>
  <si>
    <t>DISCO DE SIERRA PARA MADERA EFFICUT 7-1/4" 45 DIENTES</t>
  </si>
  <si>
    <t>B-68600-SAMPLE</t>
  </si>
  <si>
    <t>EFFICUT FOR WOOD CUTTING</t>
  </si>
  <si>
    <t>B-69157</t>
  </si>
  <si>
    <t>40PCS.BIT SET FOR OCEANIA</t>
  </si>
  <si>
    <t>B-69381</t>
  </si>
  <si>
    <t>TCT BLADE136X30T EFFICUT METAL</t>
  </si>
  <si>
    <t>B-69917</t>
  </si>
  <si>
    <t>BATTERY TYPE CASE</t>
  </si>
  <si>
    <t>B-80210</t>
  </si>
  <si>
    <t>B-80226</t>
  </si>
  <si>
    <t>BAC01</t>
  </si>
  <si>
    <t>BAC01-SAMPLE</t>
  </si>
  <si>
    <t>POWER CONVERTER</t>
  </si>
  <si>
    <t>BARRA-MUESTRA</t>
  </si>
  <si>
    <t>MUESTRA DE BARRA 5-PCS.</t>
  </si>
  <si>
    <t>BBC231URD</t>
  </si>
  <si>
    <t>BBO180Z</t>
  </si>
  <si>
    <t>BBX7600</t>
  </si>
  <si>
    <t>BBY180</t>
  </si>
  <si>
    <t>BC231UDWB</t>
  </si>
  <si>
    <t>DESBROZADORA INALAMBRICA 36 V - BL MOTOR</t>
  </si>
  <si>
    <t>BCF050Z</t>
  </si>
  <si>
    <t>VENTILADOR INALAMBRICO PARA CASCO</t>
  </si>
  <si>
    <t>BCF201Z</t>
  </si>
  <si>
    <t>BCG180Z</t>
  </si>
  <si>
    <t>BCG180ZB</t>
  </si>
  <si>
    <t>PISTOLA DE CALAFATEAR INALAMBRICA 18 V</t>
  </si>
  <si>
    <t>BCL182Z</t>
  </si>
  <si>
    <t>BCS550RFE</t>
  </si>
  <si>
    <t>BDA350Z</t>
  </si>
  <si>
    <t>BDF453SHE</t>
  </si>
  <si>
    <t>BDF454RFE</t>
  </si>
  <si>
    <t>BDF458</t>
  </si>
  <si>
    <t>BDF458Z</t>
  </si>
  <si>
    <t>BDF459Z</t>
  </si>
  <si>
    <t>BFR440RFE</t>
  </si>
  <si>
    <t>ATORNILLADOR DE AUTOALIMENTACION INALAMBRICO (2 BATERIAS + CARGADOR) 14.4 V</t>
  </si>
  <si>
    <t>BFS451Z</t>
  </si>
  <si>
    <t>BGA450SFE</t>
  </si>
  <si>
    <t>ESMERIL ANGULAR A BATERIA</t>
  </si>
  <si>
    <t>BGA452RFE</t>
  </si>
  <si>
    <t>BGA452Z</t>
  </si>
  <si>
    <t>BGD800Z</t>
  </si>
  <si>
    <t>BGD801Z</t>
  </si>
  <si>
    <t>BHL360</t>
  </si>
  <si>
    <t>COSECHADOR DE OLIVO 36 V</t>
  </si>
  <si>
    <t>BHL360Z</t>
  </si>
  <si>
    <t>BHP453SHE</t>
  </si>
  <si>
    <t>BHP456RFE</t>
  </si>
  <si>
    <t>BHP456Z</t>
  </si>
  <si>
    <t>BHP458RFE</t>
  </si>
  <si>
    <t>BHP459RFE</t>
  </si>
  <si>
    <t>BHP459Z</t>
  </si>
  <si>
    <t>BHR202RFE</t>
  </si>
  <si>
    <t>BHR241RFE</t>
  </si>
  <si>
    <t>BHR241Z</t>
  </si>
  <si>
    <t>BHR242Z</t>
  </si>
  <si>
    <t>BHR261RDE</t>
  </si>
  <si>
    <t>BHR262RB3</t>
  </si>
  <si>
    <t>BHS630RFE</t>
  </si>
  <si>
    <t>BHS630Z</t>
  </si>
  <si>
    <t>BHX2500</t>
  </si>
  <si>
    <t>BJN161RFE</t>
  </si>
  <si>
    <t>BJN161Z</t>
  </si>
  <si>
    <t>BJR182RFE</t>
  </si>
  <si>
    <t>BJS130RFE</t>
  </si>
  <si>
    <t>BJS130Z</t>
  </si>
  <si>
    <t>BJS161Z</t>
  </si>
  <si>
    <t>BKP180Z</t>
  </si>
  <si>
    <t>BL1055B</t>
  </si>
  <si>
    <t>BL36120A</t>
  </si>
  <si>
    <t>BATTERY BL36120A FOR BL36120A</t>
  </si>
  <si>
    <t>BLM430RDE</t>
  </si>
  <si>
    <t>BLS713Z</t>
  </si>
  <si>
    <t>BML184</t>
  </si>
  <si>
    <t>LINTERNA FLUORESCENTE</t>
  </si>
  <si>
    <t>BML185</t>
  </si>
  <si>
    <t>LAMPARA RECARGABLE</t>
  </si>
  <si>
    <t>BML801</t>
  </si>
  <si>
    <t>BMR102</t>
  </si>
  <si>
    <t>RADIO MAKITA 7.2 - 18 V</t>
  </si>
  <si>
    <t>BO003CGZ</t>
  </si>
  <si>
    <t>BO3710</t>
  </si>
  <si>
    <t>BO3711</t>
  </si>
  <si>
    <t>BO4556</t>
  </si>
  <si>
    <t>BO5030</t>
  </si>
  <si>
    <t>BO5041</t>
  </si>
  <si>
    <t>BO6030</t>
  </si>
  <si>
    <t>BO6040</t>
  </si>
  <si>
    <t>BO6050J</t>
  </si>
  <si>
    <t>BPB180SFE</t>
  </si>
  <si>
    <t>SIERRA DE BANDA A BATERIA</t>
  </si>
  <si>
    <t>BPJ180Z</t>
  </si>
  <si>
    <t>BPT350</t>
  </si>
  <si>
    <t>CLAVADORA INALAMBRICA (CLAVOS ALFILER) 14.4 V</t>
  </si>
  <si>
    <t>BPT351Z</t>
  </si>
  <si>
    <t>CLAVADORA INALAMBRICA (CLAVOS ALFILER) 18 V</t>
  </si>
  <si>
    <t>BSS501RFE</t>
  </si>
  <si>
    <t>BSS501Z</t>
  </si>
  <si>
    <t>BSS611RFE</t>
  </si>
  <si>
    <t>BSS611Z</t>
  </si>
  <si>
    <t>BST221Z</t>
  </si>
  <si>
    <t>BTC06</t>
  </si>
  <si>
    <t>PORTABLE BATTERY CHECKER</t>
  </si>
  <si>
    <t>BTD129RFE</t>
  </si>
  <si>
    <t>ATORNILLADOR DE IMPACTO INALAMBRICO 18 V - BL MOTOR</t>
  </si>
  <si>
    <t>BTD129Z</t>
  </si>
  <si>
    <t>BTD145Z</t>
  </si>
  <si>
    <t>BTD146RFE3</t>
  </si>
  <si>
    <t>ATORNILLADOR DE IMPACTO INALAMBRICO</t>
  </si>
  <si>
    <t>BTD147RFE</t>
  </si>
  <si>
    <t>ATORNILLADOR DE IMPACTO INALAMBRICO 18V - BL MOTOR</t>
  </si>
  <si>
    <t>BTD147Z</t>
  </si>
  <si>
    <t>BTM50RFEX1</t>
  </si>
  <si>
    <t>BTM50Z</t>
  </si>
  <si>
    <t>BTP141Z</t>
  </si>
  <si>
    <t>BTW450RFE</t>
  </si>
  <si>
    <t>BUB182Z</t>
  </si>
  <si>
    <t>BUB360Z</t>
  </si>
  <si>
    <t>SOPLADORA INALAMBRICA 2 VELOCIDADES 36 V</t>
  </si>
  <si>
    <t>BUC122RFE</t>
  </si>
  <si>
    <t>BUC122Z</t>
  </si>
  <si>
    <t>BUC250Z</t>
  </si>
  <si>
    <t>BUH550RD</t>
  </si>
  <si>
    <t>BUH550Z</t>
  </si>
  <si>
    <t>BUK360RDE</t>
  </si>
  <si>
    <t>BUM168Z</t>
  </si>
  <si>
    <t>BUN490Z2C-SAMPLE</t>
  </si>
  <si>
    <t>490MM CRDLSS POLE HDG TRIMMER</t>
  </si>
  <si>
    <t>BUR181Z</t>
  </si>
  <si>
    <t>BUR182UZ</t>
  </si>
  <si>
    <t>BUR360Z</t>
  </si>
  <si>
    <t>BUX360Z</t>
  </si>
  <si>
    <t>DESBROZADORA MULTIACCIONES INALMABRICA 36 V - BL MOTOR</t>
  </si>
  <si>
    <t>BUX361D</t>
  </si>
  <si>
    <t>BVF154RF</t>
  </si>
  <si>
    <t>BVR850RFE</t>
  </si>
  <si>
    <t>VIBRADOR PARA CONCRETO + RELOJ MAKITA</t>
  </si>
  <si>
    <t>CA5000XJ</t>
  </si>
  <si>
    <t>CB100DB</t>
  </si>
  <si>
    <t>CB100DB-SAMPLE</t>
  </si>
  <si>
    <t>COBIJA TERMICA</t>
  </si>
  <si>
    <t>CC300DWEW</t>
  </si>
  <si>
    <t>CC301DWYE</t>
  </si>
  <si>
    <t>CC301DZ</t>
  </si>
  <si>
    <t>CC301DZ-SAMPLE</t>
  </si>
  <si>
    <t>CE00000001</t>
  </si>
  <si>
    <t>FUNDA PARA COOLER 20L CW001G</t>
  </si>
  <si>
    <t>CE00000002</t>
  </si>
  <si>
    <t>FUNDA PARA COOLER 50L CW002G</t>
  </si>
  <si>
    <t>CE00000003</t>
  </si>
  <si>
    <t>FUNDA PARA COOLER 7L CW003G</t>
  </si>
  <si>
    <t>CE001GZ</t>
  </si>
  <si>
    <t>CORTADORA DE CONCRETO 14" XGT 40VX2 (80VMAX)/ BL-AFT-XPT-WG-IPX4 / SIN BATERÍAS</t>
  </si>
  <si>
    <t>CE001GZ-SAMPLE</t>
  </si>
  <si>
    <t>CE001G 355MM POWER CUTTER</t>
  </si>
  <si>
    <t>CE001GZ01</t>
  </si>
  <si>
    <t>CE002GZ</t>
  </si>
  <si>
    <t>CE002GZ-SAMPLE</t>
  </si>
  <si>
    <t>355MM POWER CUTTER</t>
  </si>
  <si>
    <t>CE003GZ</t>
  </si>
  <si>
    <t>CE003GZ01</t>
  </si>
  <si>
    <t>CF001GZ</t>
  </si>
  <si>
    <t>CF001GZ-SAMPLE</t>
  </si>
  <si>
    <t>CF002GZ</t>
  </si>
  <si>
    <t>CF002GZ-SAMPLE</t>
  </si>
  <si>
    <t>CORDLESS FAN</t>
  </si>
  <si>
    <t>CF003GZ</t>
  </si>
  <si>
    <t>CF003GZ-SAMPLE</t>
  </si>
  <si>
    <t>CF100DZ</t>
  </si>
  <si>
    <t>CF100DZ-SAMPLE</t>
  </si>
  <si>
    <t>CF101DZ</t>
  </si>
  <si>
    <t>CG100DZA</t>
  </si>
  <si>
    <t>CJ102DZXL</t>
  </si>
  <si>
    <t>CJ105DZ2XL</t>
  </si>
  <si>
    <t>CJ105DZ3XL</t>
  </si>
  <si>
    <t>CJ105DZL</t>
  </si>
  <si>
    <t>CJ105DZM</t>
  </si>
  <si>
    <t>CJ105DZS</t>
  </si>
  <si>
    <t>CJ105DZXL</t>
  </si>
  <si>
    <t>CL001GZ-SAMPLE</t>
  </si>
  <si>
    <t>CORDLESS CLEANER</t>
  </si>
  <si>
    <t>CL001GZ04</t>
  </si>
  <si>
    <t>CL003GM101</t>
  </si>
  <si>
    <t>CL003GZ</t>
  </si>
  <si>
    <t>CL003GZ-SAMPLE</t>
  </si>
  <si>
    <t>CL003GZ04</t>
  </si>
  <si>
    <t>CL003GZ04-SAMPLE</t>
  </si>
  <si>
    <t>CL003GZ10</t>
  </si>
  <si>
    <t>CL102DZ</t>
  </si>
  <si>
    <t>CL104DWY</t>
  </si>
  <si>
    <t>CL106FDZ</t>
  </si>
  <si>
    <t>CL106FDZ-SAMPLE</t>
  </si>
  <si>
    <t>ASPIRADORA INALAMBRICA S/BATERIA</t>
  </si>
  <si>
    <t>CL107FDWY</t>
  </si>
  <si>
    <t>CL107FDZ</t>
  </si>
  <si>
    <t>CL107FDZ-SAMPLE</t>
  </si>
  <si>
    <t>CL108FDWA</t>
  </si>
  <si>
    <t>CL108FDZ</t>
  </si>
  <si>
    <t>CL108FDZW</t>
  </si>
  <si>
    <t>CL114FDWI</t>
  </si>
  <si>
    <t>CL114FDWI-SAMPLE</t>
  </si>
  <si>
    <t>CORDLESS CLEANER.</t>
  </si>
  <si>
    <t>CL117FDX1</t>
  </si>
  <si>
    <t>CL117FDX1-SAMP</t>
  </si>
  <si>
    <t>CL117FDX4</t>
  </si>
  <si>
    <t>CL117FDX4-SAMP</t>
  </si>
  <si>
    <t>CL117FDX7</t>
  </si>
  <si>
    <t>CL117FDX7-SAMP</t>
  </si>
  <si>
    <t>CL121DSM</t>
  </si>
  <si>
    <t>CL121DZ</t>
  </si>
  <si>
    <t>CL121DZ-SAMPLE</t>
  </si>
  <si>
    <t>ASPIRADORA INALAMBRICA</t>
  </si>
  <si>
    <t>CL183DWX</t>
  </si>
  <si>
    <t>CL183DZX</t>
  </si>
  <si>
    <t>CLX228</t>
  </si>
  <si>
    <t>CLX248</t>
  </si>
  <si>
    <t>CL108FDZW + UB101DZ + DC10WD + BL1016B</t>
  </si>
  <si>
    <t>CP00000001</t>
  </si>
  <si>
    <t>ADAPTADOR DE CARGADOR ADP09</t>
  </si>
  <si>
    <t>CP100DWA</t>
  </si>
  <si>
    <t>CP100DZ</t>
  </si>
  <si>
    <t>CS002GZ</t>
  </si>
  <si>
    <t>CS002GZ-SAMPLE</t>
  </si>
  <si>
    <t>CV100DZL</t>
  </si>
  <si>
    <t>CV101DZXL</t>
  </si>
  <si>
    <t>CV102DZ2XL</t>
  </si>
  <si>
    <t>CV102DZ3XL</t>
  </si>
  <si>
    <t>CV102DZL</t>
  </si>
  <si>
    <t>CV102DZM</t>
  </si>
  <si>
    <t>CV102DZS</t>
  </si>
  <si>
    <t>CV102DZXL</t>
  </si>
  <si>
    <t>CW001GZ</t>
  </si>
  <si>
    <t>CW001GZ-SAMPLE</t>
  </si>
  <si>
    <t>COOLER XGT</t>
  </si>
  <si>
    <t>CW002GZ01</t>
  </si>
  <si>
    <t>CW003GZ</t>
  </si>
  <si>
    <t>CW003GZ-SAMPLE</t>
  </si>
  <si>
    <t>CORDLESS COOLER WARMER BOX</t>
  </si>
  <si>
    <t>CW004GZ</t>
  </si>
  <si>
    <t>CW004GZ-SAMPLE</t>
  </si>
  <si>
    <t>D-00022</t>
  </si>
  <si>
    <t>D-00038</t>
  </si>
  <si>
    <t>D-00044</t>
  </si>
  <si>
    <t>D-00050</t>
  </si>
  <si>
    <t>D-00066</t>
  </si>
  <si>
    <t>D-00072</t>
  </si>
  <si>
    <t>D-00088</t>
  </si>
  <si>
    <t>D-00094</t>
  </si>
  <si>
    <t>D-00103</t>
  </si>
  <si>
    <t>D-00119</t>
  </si>
  <si>
    <t>D-00125</t>
  </si>
  <si>
    <t>D-00131</t>
  </si>
  <si>
    <t>D-00147</t>
  </si>
  <si>
    <t>D-00153</t>
  </si>
  <si>
    <t>D-00175</t>
  </si>
  <si>
    <t>D-00181</t>
  </si>
  <si>
    <t>D-00197</t>
  </si>
  <si>
    <t>D-00206</t>
  </si>
  <si>
    <t>D-00212</t>
  </si>
  <si>
    <t>D-00228</t>
  </si>
  <si>
    <t>D-00234</t>
  </si>
  <si>
    <t>D-00240</t>
  </si>
  <si>
    <t>D-00256</t>
  </si>
  <si>
    <t>D-00284</t>
  </si>
  <si>
    <t>D-00290</t>
  </si>
  <si>
    <t>D-00309</t>
  </si>
  <si>
    <t>D-00337</t>
  </si>
  <si>
    <t>D-00343</t>
  </si>
  <si>
    <t>D-00359</t>
  </si>
  <si>
    <t>D-00365</t>
  </si>
  <si>
    <t>D-00371</t>
  </si>
  <si>
    <t>D-00387</t>
  </si>
  <si>
    <t>D-00393</t>
  </si>
  <si>
    <t>D-00555</t>
  </si>
  <si>
    <t>D-00795</t>
  </si>
  <si>
    <t>SET DE 5 BROCAS SDS PLUS</t>
  </si>
  <si>
    <t>D-00832</t>
  </si>
  <si>
    <t>D-00854</t>
  </si>
  <si>
    <t>D-00860</t>
  </si>
  <si>
    <t>D-00876</t>
  </si>
  <si>
    <t>D-00882</t>
  </si>
  <si>
    <t>D-00907</t>
  </si>
  <si>
    <t>D-00913</t>
  </si>
  <si>
    <t>D-00929</t>
  </si>
  <si>
    <t>D-00935</t>
  </si>
  <si>
    <t>D-00941</t>
  </si>
  <si>
    <t>D-00957</t>
  </si>
  <si>
    <t>D-00963</t>
  </si>
  <si>
    <t>D-00979</t>
  </si>
  <si>
    <t>D-00985</t>
  </si>
  <si>
    <t>D-00991</t>
  </si>
  <si>
    <t>D-01002</t>
  </si>
  <si>
    <t>D-01018</t>
  </si>
  <si>
    <t>D-01024</t>
  </si>
  <si>
    <t>D-01030</t>
  </si>
  <si>
    <t>D-01046</t>
  </si>
  <si>
    <t>D-01052</t>
  </si>
  <si>
    <t>D-01068</t>
  </si>
  <si>
    <t>D-01074</t>
  </si>
  <si>
    <t>D-01644</t>
  </si>
  <si>
    <t>D-02054</t>
  </si>
  <si>
    <t>D-02434</t>
  </si>
  <si>
    <t>D-03078</t>
  </si>
  <si>
    <t>D-03327</t>
  </si>
  <si>
    <t>D-03333</t>
  </si>
  <si>
    <t>D-03349</t>
  </si>
  <si>
    <t>D-03377</t>
  </si>
  <si>
    <t>D-03408</t>
  </si>
  <si>
    <t>D-03414</t>
  </si>
  <si>
    <t>D-03420</t>
  </si>
  <si>
    <t>D-03436</t>
  </si>
  <si>
    <t>D-03464</t>
  </si>
  <si>
    <t>D-03486</t>
  </si>
  <si>
    <t>D-03894</t>
  </si>
  <si>
    <t>D-03981</t>
  </si>
  <si>
    <t>D-05175</t>
  </si>
  <si>
    <t>D-05181</t>
  </si>
  <si>
    <t>D-05212</t>
  </si>
  <si>
    <t>D-05228</t>
  </si>
  <si>
    <t>D-05234</t>
  </si>
  <si>
    <t>BROCA PARA CONCRETO  4 X 70 MM.</t>
  </si>
  <si>
    <t>D-05240</t>
  </si>
  <si>
    <t>BROCA PARA CONCRETO 5 X 85 MM.</t>
  </si>
  <si>
    <t>D-05256</t>
  </si>
  <si>
    <t>BROCA PARA CONCRETO 6 X 100 MM.</t>
  </si>
  <si>
    <t>D-05262</t>
  </si>
  <si>
    <t>BROCA PARA CONCRETO 6 X 150 MM.</t>
  </si>
  <si>
    <t>D-05278</t>
  </si>
  <si>
    <t>D-05284</t>
  </si>
  <si>
    <t>D-05290</t>
  </si>
  <si>
    <t>BROCA PARA CONCRETO 8 X 110 MM.</t>
  </si>
  <si>
    <t>D-05309</t>
  </si>
  <si>
    <t>D-05315</t>
  </si>
  <si>
    <t>D-05321</t>
  </si>
  <si>
    <t>BROCA PARA CONCRETO 10 X 150 MM.</t>
  </si>
  <si>
    <t>D-05337</t>
  </si>
  <si>
    <t>D-05343</t>
  </si>
  <si>
    <t>D-05359</t>
  </si>
  <si>
    <t>D-05365</t>
  </si>
  <si>
    <t>D-05371</t>
  </si>
  <si>
    <t>D-05387</t>
  </si>
  <si>
    <t>D-06258</t>
  </si>
  <si>
    <t>D-06292</t>
  </si>
  <si>
    <t>D-06317</t>
  </si>
  <si>
    <t>D-06339</t>
  </si>
  <si>
    <t>D-06345</t>
  </si>
  <si>
    <t>D-06351</t>
  </si>
  <si>
    <t>D-06373</t>
  </si>
  <si>
    <t>D-06395</t>
  </si>
  <si>
    <t>D-06410</t>
  </si>
  <si>
    <t>D-06426</t>
  </si>
  <si>
    <t>D-06432</t>
  </si>
  <si>
    <t>D-06454</t>
  </si>
  <si>
    <t>D-06476</t>
  </si>
  <si>
    <t>D-06498</t>
  </si>
  <si>
    <t>D-06513</t>
  </si>
  <si>
    <t>D-06535</t>
  </si>
  <si>
    <t>D-06557</t>
  </si>
  <si>
    <t>D-06579</t>
  </si>
  <si>
    <t>D-06585</t>
  </si>
  <si>
    <t>D-06591</t>
  </si>
  <si>
    <t>D-06600</t>
  </si>
  <si>
    <t>D-06616</t>
  </si>
  <si>
    <t>D-06622</t>
  </si>
  <si>
    <t>D-06638</t>
  </si>
  <si>
    <t>D-06644</t>
  </si>
  <si>
    <t>D-07026</t>
  </si>
  <si>
    <t>BROCA PARA MADERA 3 X 60 MM.</t>
  </si>
  <si>
    <t>D-07032</t>
  </si>
  <si>
    <t>BROCA PARA MADERA 4 X 75 MM.</t>
  </si>
  <si>
    <t>D-07048</t>
  </si>
  <si>
    <t>BROCA PARA MADERA 5 X 85 MM.</t>
  </si>
  <si>
    <t>D-07054</t>
  </si>
  <si>
    <t>BROCA  PARA MADERA 6 X 95 MM.</t>
  </si>
  <si>
    <t>D-07060</t>
  </si>
  <si>
    <t>BROCA PARA MADERA 7 X 110 MM.</t>
  </si>
  <si>
    <t>D-07076</t>
  </si>
  <si>
    <t>BROCA PARA MADERA 8 X 115 MM.</t>
  </si>
  <si>
    <t>D-07082</t>
  </si>
  <si>
    <t>D-07098</t>
  </si>
  <si>
    <t>BROCA PARA MADERA 10 X135 MM.</t>
  </si>
  <si>
    <t>D-07107</t>
  </si>
  <si>
    <t>BROCA PARA MADERA 12 X 155 MM.</t>
  </si>
  <si>
    <t>D-07113</t>
  </si>
  <si>
    <t>D-07129</t>
  </si>
  <si>
    <t>BROCA PARA MADERA 16 X 180 MM.</t>
  </si>
  <si>
    <t>D-07135</t>
  </si>
  <si>
    <t>D-07141</t>
  </si>
  <si>
    <t>D-07157</t>
  </si>
  <si>
    <t>D-07163</t>
  </si>
  <si>
    <t>D-07179</t>
  </si>
  <si>
    <t>D-07185</t>
  </si>
  <si>
    <t>D-07191</t>
  </si>
  <si>
    <t>D-07200</t>
  </si>
  <si>
    <t>D-07216</t>
  </si>
  <si>
    <t>D-07222</t>
  </si>
  <si>
    <t>D-07331</t>
  </si>
  <si>
    <t>D-07347</t>
  </si>
  <si>
    <t>D-07375</t>
  </si>
  <si>
    <t>D-07381</t>
  </si>
  <si>
    <t>D-07397</t>
  </si>
  <si>
    <t>D-07406</t>
  </si>
  <si>
    <t>D-07412</t>
  </si>
  <si>
    <t>D-07428</t>
  </si>
  <si>
    <t>D-07478</t>
  </si>
  <si>
    <t>D-07559</t>
  </si>
  <si>
    <t>D-07565</t>
  </si>
  <si>
    <t>D-07571</t>
  </si>
  <si>
    <t>BROCA MADERA (TIPO BARRENO) 12X450MM</t>
  </si>
  <si>
    <t>D-07587</t>
  </si>
  <si>
    <t>D-07593</t>
  </si>
  <si>
    <t>D-07602</t>
  </si>
  <si>
    <t>D-07618</t>
  </si>
  <si>
    <t>D-07624</t>
  </si>
  <si>
    <t>D-07630</t>
  </si>
  <si>
    <t>D-07646</t>
  </si>
  <si>
    <t>D-07652</t>
  </si>
  <si>
    <t>D-07668</t>
  </si>
  <si>
    <t>D-07674</t>
  </si>
  <si>
    <t>D-07680</t>
  </si>
  <si>
    <t>D-07696</t>
  </si>
  <si>
    <t>D-07705</t>
  </si>
  <si>
    <t>BROCA PLANA 12 X 150 MM.</t>
  </si>
  <si>
    <t>D-07711</t>
  </si>
  <si>
    <t>D-07727</t>
  </si>
  <si>
    <t>D-07733</t>
  </si>
  <si>
    <t>D-07749</t>
  </si>
  <si>
    <t>BROCA PLANA 18 X 150 MM.</t>
  </si>
  <si>
    <t>D-07755</t>
  </si>
  <si>
    <t>BROCA PLANA 20 X 150 MM.</t>
  </si>
  <si>
    <t>D-07761</t>
  </si>
  <si>
    <t>BROCA PLANA 22 X 150 MM.</t>
  </si>
  <si>
    <t>D-07777</t>
  </si>
  <si>
    <t>D-07783</t>
  </si>
  <si>
    <t>D-07799</t>
  </si>
  <si>
    <t>D-07808</t>
  </si>
  <si>
    <t>BROCA PLANA 28 X 160 MM.</t>
  </si>
  <si>
    <t>D-07814</t>
  </si>
  <si>
    <t>D-07820</t>
  </si>
  <si>
    <t>BROCA PLANA 32 X 160 MM.</t>
  </si>
  <si>
    <t>D-07836</t>
  </si>
  <si>
    <t>D-07901</t>
  </si>
  <si>
    <t>D-07917</t>
  </si>
  <si>
    <t>D-07945</t>
  </si>
  <si>
    <t>D-07967</t>
  </si>
  <si>
    <t>D-07973</t>
  </si>
  <si>
    <t>D-08660</t>
  </si>
  <si>
    <t>D-08682</t>
  </si>
  <si>
    <t>D-08707</t>
  </si>
  <si>
    <t>D-08713</t>
  </si>
  <si>
    <t>D-08729</t>
  </si>
  <si>
    <t>CINCEL PUNTA PLANA SDS-PLUS 20 X 250 MM.</t>
  </si>
  <si>
    <t>D-08735</t>
  </si>
  <si>
    <t>D-08822</t>
  </si>
  <si>
    <t>D-09628</t>
  </si>
  <si>
    <t>D-09656</t>
  </si>
  <si>
    <t>D-09662</t>
  </si>
  <si>
    <t>D-09678</t>
  </si>
  <si>
    <t>D-09684</t>
  </si>
  <si>
    <t>D-09690</t>
  </si>
  <si>
    <t>D-09709</t>
  </si>
  <si>
    <t>D-09715</t>
  </si>
  <si>
    <t>D-09721</t>
  </si>
  <si>
    <t>D-09737</t>
  </si>
  <si>
    <t>D-09743</t>
  </si>
  <si>
    <t>D-09759</t>
  </si>
  <si>
    <t>D-09765</t>
  </si>
  <si>
    <t>D-09771</t>
  </si>
  <si>
    <t>D-09787</t>
  </si>
  <si>
    <t>D-09793</t>
  </si>
  <si>
    <t>D-09802</t>
  </si>
  <si>
    <t>D-09818</t>
  </si>
  <si>
    <t>D-09824</t>
  </si>
  <si>
    <t>D-09830</t>
  </si>
  <si>
    <t>D-09846</t>
  </si>
  <si>
    <t>D-09852</t>
  </si>
  <si>
    <t>D-09868</t>
  </si>
  <si>
    <t>D-09874</t>
  </si>
  <si>
    <t>D-09880</t>
  </si>
  <si>
    <t>D-10578</t>
  </si>
  <si>
    <t>D-10584</t>
  </si>
  <si>
    <t>D-14093</t>
  </si>
  <si>
    <t>D-14928</t>
  </si>
  <si>
    <t>D-14940</t>
  </si>
  <si>
    <t>D-14962</t>
  </si>
  <si>
    <t>D-14978</t>
  </si>
  <si>
    <t>D-15263</t>
  </si>
  <si>
    <t>D-15285</t>
  </si>
  <si>
    <t>D-15300</t>
  </si>
  <si>
    <t>D-15584</t>
  </si>
  <si>
    <t>D-15590</t>
  </si>
  <si>
    <t>D-15609</t>
  </si>
  <si>
    <t>D-15615</t>
  </si>
  <si>
    <t>D-15621</t>
  </si>
  <si>
    <t>D-15637</t>
  </si>
  <si>
    <t>D-15643</t>
  </si>
  <si>
    <t>D-15659</t>
  </si>
  <si>
    <t>D-15687</t>
  </si>
  <si>
    <t>PLASTIC CASE WITH BITS</t>
  </si>
  <si>
    <t>D-15702</t>
  </si>
  <si>
    <t>JUEGO DE PUNTAS PARA ATORNILLAR EMPAQUE PLÁSTICO CIRCULAR</t>
  </si>
  <si>
    <t>D-15811</t>
  </si>
  <si>
    <t>D-15827</t>
  </si>
  <si>
    <t>D-15833</t>
  </si>
  <si>
    <t>D-15855</t>
  </si>
  <si>
    <t>D-15861</t>
  </si>
  <si>
    <t>D-15877</t>
  </si>
  <si>
    <t>D-15883</t>
  </si>
  <si>
    <t>D-15899</t>
  </si>
  <si>
    <t>D-15908</t>
  </si>
  <si>
    <t>D-15920</t>
  </si>
  <si>
    <t>D-15936</t>
  </si>
  <si>
    <t>D-15970</t>
  </si>
  <si>
    <t>D-16128</t>
  </si>
  <si>
    <t>D-16243</t>
  </si>
  <si>
    <t>BROCA SDS PLUS 19 X 350MM.</t>
  </si>
  <si>
    <t>D-16287</t>
  </si>
  <si>
    <t>D-16293</t>
  </si>
  <si>
    <t>D-16302</t>
  </si>
  <si>
    <t>D-16346</t>
  </si>
  <si>
    <t>D-16374</t>
  </si>
  <si>
    <t>D-16380</t>
  </si>
  <si>
    <t>D-16449</t>
  </si>
  <si>
    <t>D-16499</t>
  </si>
  <si>
    <t>D-16570</t>
  </si>
  <si>
    <t>D-16857</t>
  </si>
  <si>
    <t>BROCA HSS COBALTO 13 X 151MM.</t>
  </si>
  <si>
    <t>D-16863</t>
  </si>
  <si>
    <t>D-16879</t>
  </si>
  <si>
    <t>D-16972</t>
  </si>
  <si>
    <t>D-16994</t>
  </si>
  <si>
    <t>SIERRA COPA BI-METAL 16 MM.</t>
  </si>
  <si>
    <t>D-17005</t>
  </si>
  <si>
    <t>D-17011</t>
  </si>
  <si>
    <t>SIERRA COPA BI-METAL 22 MM.</t>
  </si>
  <si>
    <t>D-17027</t>
  </si>
  <si>
    <t>D-17033</t>
  </si>
  <si>
    <t>D-17049</t>
  </si>
  <si>
    <t>D-17055</t>
  </si>
  <si>
    <t>D-17061</t>
  </si>
  <si>
    <t>SIERRA COPA BI-METAL 38 MM.</t>
  </si>
  <si>
    <t>D-17077</t>
  </si>
  <si>
    <t>D-17083</t>
  </si>
  <si>
    <t>D-17099</t>
  </si>
  <si>
    <t>D-17108</t>
  </si>
  <si>
    <t>D-17114</t>
  </si>
  <si>
    <t>D-17120</t>
  </si>
  <si>
    <t>D-17136</t>
  </si>
  <si>
    <t>D-17142</t>
  </si>
  <si>
    <t>D-17158</t>
  </si>
  <si>
    <t>D-17164</t>
  </si>
  <si>
    <t>D-17170</t>
  </si>
  <si>
    <t>D-17186</t>
  </si>
  <si>
    <t>D-17217</t>
  </si>
  <si>
    <t>D-17251</t>
  </si>
  <si>
    <t>D-17267</t>
  </si>
  <si>
    <t>D-17273</t>
  </si>
  <si>
    <t>D-17289</t>
  </si>
  <si>
    <t>BROCA PARA METAL HSS-CO (COBALTO 5%) 1.5 X 40 MM.</t>
  </si>
  <si>
    <t>D-17295</t>
  </si>
  <si>
    <t>BROCA PARA METAL HSS-CO (COBALTO 5%) 2 X 49 MM.</t>
  </si>
  <si>
    <t>D-17304</t>
  </si>
  <si>
    <t>D-17310</t>
  </si>
  <si>
    <t>BROCA PARA METAL HSS-CO (COBALTO 5%) 3 X 61 MM.</t>
  </si>
  <si>
    <t>D-17326</t>
  </si>
  <si>
    <t>D-17332</t>
  </si>
  <si>
    <t>BROCA PARA METAL HSS-CO (COBALTO 5%) 3.5 X 70 MM.</t>
  </si>
  <si>
    <t>D-17348</t>
  </si>
  <si>
    <t>BROCA PARA METAL HSS-CO (COBALTO 5%) 4 X 70 MM.</t>
  </si>
  <si>
    <t>D-17354</t>
  </si>
  <si>
    <t>D-17360</t>
  </si>
  <si>
    <t>BROCA PARA METAL HSS-CO (COBALTO 5%) 5 X 86 MM.</t>
  </si>
  <si>
    <t>D-17376</t>
  </si>
  <si>
    <t>D-17382</t>
  </si>
  <si>
    <t>BROCA PARA METAL HSS-CO (COBALTO 5%) 6 X 93 MM.</t>
  </si>
  <si>
    <t>D-17398</t>
  </si>
  <si>
    <t>BROCA PARA METAL HSS-CO (COBALTO 5%) 6.5 X 101 MM.</t>
  </si>
  <si>
    <t>D-17407</t>
  </si>
  <si>
    <t>D-17413</t>
  </si>
  <si>
    <t>D-17429</t>
  </si>
  <si>
    <t>BROCA PARA METAL HSS-CO (COBALTO 5%) 8 X 117 MM.</t>
  </si>
  <si>
    <t>D-17435</t>
  </si>
  <si>
    <t>D-17441</t>
  </si>
  <si>
    <t>D-17457</t>
  </si>
  <si>
    <t>D-17463</t>
  </si>
  <si>
    <t>BROCA PARA METAL HSS-CO (COBALTO 5%) 10 X 133 MM.</t>
  </si>
  <si>
    <t>D-17479</t>
  </si>
  <si>
    <t>BROCA PARA METAL HSS-CO (COBALTO 5%) 10.5 X 133 MM.</t>
  </si>
  <si>
    <t>D-17485</t>
  </si>
  <si>
    <t>D-17491</t>
  </si>
  <si>
    <t>D-17500</t>
  </si>
  <si>
    <t>D-17516</t>
  </si>
  <si>
    <t>D-17522</t>
  </si>
  <si>
    <t>BROCA PARA METAL HSS-CO (COBALTO 5%) 13 X 151 MM.</t>
  </si>
  <si>
    <t>D-17572</t>
  </si>
  <si>
    <t>D-17588</t>
  </si>
  <si>
    <t>D-17594</t>
  </si>
  <si>
    <t>D-17603</t>
  </si>
  <si>
    <t>D-17631</t>
  </si>
  <si>
    <t>D-17647</t>
  </si>
  <si>
    <t>D-17675</t>
  </si>
  <si>
    <t>D-17681</t>
  </si>
  <si>
    <t>D-17728</t>
  </si>
  <si>
    <t>D-17740</t>
  </si>
  <si>
    <t>D-18334</t>
  </si>
  <si>
    <t>D-18459</t>
  </si>
  <si>
    <t>D-18459-20</t>
  </si>
  <si>
    <t>D-18471</t>
  </si>
  <si>
    <t>D-18487</t>
  </si>
  <si>
    <t>D-18568</t>
  </si>
  <si>
    <t>D-18611</t>
  </si>
  <si>
    <t>D-18627</t>
  </si>
  <si>
    <t>D-18661</t>
  </si>
  <si>
    <t>D-18683</t>
  </si>
  <si>
    <t>D-18699</t>
  </si>
  <si>
    <t>D-18764</t>
  </si>
  <si>
    <t>D-18764-10</t>
  </si>
  <si>
    <t>D-18764-50</t>
  </si>
  <si>
    <t>DISCO ABRA CORTE INOX 4.5 X 1.2MM (WA60T) 50PCS</t>
  </si>
  <si>
    <t>D-18786</t>
  </si>
  <si>
    <t>D-18845</t>
  </si>
  <si>
    <t>D-19015</t>
  </si>
  <si>
    <t>D-19021</t>
  </si>
  <si>
    <t>D-19065</t>
  </si>
  <si>
    <t>D-19152</t>
  </si>
  <si>
    <t>D-19168</t>
  </si>
  <si>
    <t>D-19174</t>
  </si>
  <si>
    <t>D-19180</t>
  </si>
  <si>
    <t>D-19196</t>
  </si>
  <si>
    <t>D-20074</t>
  </si>
  <si>
    <t>D-20080</t>
  </si>
  <si>
    <t>D-20688</t>
  </si>
  <si>
    <t>D-20694</t>
  </si>
  <si>
    <t>D-20719</t>
  </si>
  <si>
    <t>D-21107</t>
  </si>
  <si>
    <t>D-21353</t>
  </si>
  <si>
    <t>CINCEL HEXAGO.28.6MM.PUNTA 520MM.C/COLLARIN</t>
  </si>
  <si>
    <t>D-21353-5</t>
  </si>
  <si>
    <t>D-21521</t>
  </si>
  <si>
    <t>D-23787</t>
  </si>
  <si>
    <t>D-23802</t>
  </si>
  <si>
    <t>D-23818</t>
  </si>
  <si>
    <t>D-23824</t>
  </si>
  <si>
    <t>D-23961</t>
  </si>
  <si>
    <t>D-23977</t>
  </si>
  <si>
    <t>D-23983</t>
  </si>
  <si>
    <t>D-24094</t>
  </si>
  <si>
    <t>D-24131</t>
  </si>
  <si>
    <t>D-24153</t>
  </si>
  <si>
    <t>D-24505</t>
  </si>
  <si>
    <t>D-24511</t>
  </si>
  <si>
    <t>D-24527</t>
  </si>
  <si>
    <t>D-24533</t>
  </si>
  <si>
    <t>D-24549</t>
  </si>
  <si>
    <t>D-24561</t>
  </si>
  <si>
    <t>D-24577</t>
  </si>
  <si>
    <t>D-24599</t>
  </si>
  <si>
    <t>D-24608</t>
  </si>
  <si>
    <t>D-24614</t>
  </si>
  <si>
    <t>D-24636</t>
  </si>
  <si>
    <t>D-24658</t>
  </si>
  <si>
    <t>D-24670</t>
  </si>
  <si>
    <t>D-24876</t>
  </si>
  <si>
    <t>D-24882</t>
  </si>
  <si>
    <t>D-25111</t>
  </si>
  <si>
    <t>D-25127</t>
  </si>
  <si>
    <t>D-25133</t>
  </si>
  <si>
    <t>D-25149</t>
  </si>
  <si>
    <t>D-25155</t>
  </si>
  <si>
    <t>D-25161</t>
  </si>
  <si>
    <t>D-25177</t>
  </si>
  <si>
    <t>D-25591</t>
  </si>
  <si>
    <t>D-25688</t>
  </si>
  <si>
    <t>D-25694</t>
  </si>
  <si>
    <t>D-26490</t>
  </si>
  <si>
    <t>D-26509</t>
  </si>
  <si>
    <t>D-26587</t>
  </si>
  <si>
    <t>D-27420</t>
  </si>
  <si>
    <t>D-27436</t>
  </si>
  <si>
    <t>D-27442</t>
  </si>
  <si>
    <t>D-27458</t>
  </si>
  <si>
    <t>D-27464</t>
  </si>
  <si>
    <t>D-27545</t>
  </si>
  <si>
    <t>D-27551</t>
  </si>
  <si>
    <t>D-27632</t>
  </si>
  <si>
    <t>D-27757</t>
  </si>
  <si>
    <t>D-27763</t>
  </si>
  <si>
    <t>D-28042</t>
  </si>
  <si>
    <t>D-28173</t>
  </si>
  <si>
    <t>D-28189</t>
  </si>
  <si>
    <t>D-28195</t>
  </si>
  <si>
    <t>D-28313</t>
  </si>
  <si>
    <t>D-29228</t>
  </si>
  <si>
    <t>D-29555</t>
  </si>
  <si>
    <t>D-29561</t>
  </si>
  <si>
    <t>D-29577</t>
  </si>
  <si>
    <t>D-30069</t>
  </si>
  <si>
    <t>D-30106</t>
  </si>
  <si>
    <t>D-30112</t>
  </si>
  <si>
    <t>D-30134</t>
  </si>
  <si>
    <t>SET CINCEL SDS-PLUS PUNTA/PLANO/PALA 3PCS.ENVASE PLASTICO</t>
  </si>
  <si>
    <t>D-30140</t>
  </si>
  <si>
    <t>D-30293</t>
  </si>
  <si>
    <t>D-30318</t>
  </si>
  <si>
    <t>D-30324</t>
  </si>
  <si>
    <t>D-30352</t>
  </si>
  <si>
    <t>D-30368</t>
  </si>
  <si>
    <t>D-30380</t>
  </si>
  <si>
    <t>D-30396</t>
  </si>
  <si>
    <t>D-30449</t>
  </si>
  <si>
    <t>D-30514</t>
  </si>
  <si>
    <t>D-30617</t>
  </si>
  <si>
    <t>D-31619</t>
  </si>
  <si>
    <t>JUEGO DE PUNTAS PARA ATORNILLAR CON SOPORTE MAGNÉTICO</t>
  </si>
  <si>
    <t>D-31756</t>
  </si>
  <si>
    <t>D-31762</t>
  </si>
  <si>
    <t>D-33869</t>
  </si>
  <si>
    <t>D-33875</t>
  </si>
  <si>
    <t>D-33881</t>
  </si>
  <si>
    <t>D-33897</t>
  </si>
  <si>
    <t>D-33906</t>
  </si>
  <si>
    <t>D-33912</t>
  </si>
  <si>
    <t>D-33928</t>
  </si>
  <si>
    <t>D-33934</t>
  </si>
  <si>
    <t>D-33940</t>
  </si>
  <si>
    <t>D-33956</t>
  </si>
  <si>
    <t>D-33962</t>
  </si>
  <si>
    <t>D-33978</t>
  </si>
  <si>
    <t>D-33984</t>
  </si>
  <si>
    <t>D-33990</t>
  </si>
  <si>
    <t>D-34001</t>
  </si>
  <si>
    <t>D-34017</t>
  </si>
  <si>
    <t>BROCA SDS MAX 24 X 340MM.</t>
  </si>
  <si>
    <t>D-34039</t>
  </si>
  <si>
    <t>BROCA SDS MAX 25 X 340MM.</t>
  </si>
  <si>
    <t>D-34045</t>
  </si>
  <si>
    <t>D-34104</t>
  </si>
  <si>
    <t>D-34126</t>
  </si>
  <si>
    <t>D-34154</t>
  </si>
  <si>
    <t>BROCA SDS-MAX TCT (TIPO GENERAL) 40 X 370 MM.</t>
  </si>
  <si>
    <t>D-34176</t>
  </si>
  <si>
    <t>CINCEL SDS-MAX PUNTA 300MM. (D-34425)</t>
  </si>
  <si>
    <t>D-34182</t>
  </si>
  <si>
    <t>CINCEL PUNTO SDS-MAX 400 X 18 MM.</t>
  </si>
  <si>
    <t>D-34182-10</t>
  </si>
  <si>
    <t>D-34198</t>
  </si>
  <si>
    <t>CINCEL PUNTA AGUDA SDS-MAX 600.</t>
  </si>
  <si>
    <t>D-34207</t>
  </si>
  <si>
    <t>D-34213</t>
  </si>
  <si>
    <t>CINCEL SDS-MAX 400 X 25 MM.</t>
  </si>
  <si>
    <t>D-34229</t>
  </si>
  <si>
    <t>D-34235</t>
  </si>
  <si>
    <t>D-34241</t>
  </si>
  <si>
    <t>D-34425</t>
  </si>
  <si>
    <t>D-34431</t>
  </si>
  <si>
    <t>D-34431-10</t>
  </si>
  <si>
    <t>D-34447</t>
  </si>
  <si>
    <t>D-34453</t>
  </si>
  <si>
    <t>D-34469</t>
  </si>
  <si>
    <t>D-34475</t>
  </si>
  <si>
    <t>CINCEL AGUDO SDS-MAX 600</t>
  </si>
  <si>
    <t>D-34481</t>
  </si>
  <si>
    <t>D-34497</t>
  </si>
  <si>
    <t>D-34506</t>
  </si>
  <si>
    <t>D-34528</t>
  </si>
  <si>
    <t>D-34534</t>
  </si>
  <si>
    <t>D-34540</t>
  </si>
  <si>
    <t>D-34556</t>
  </si>
  <si>
    <t>D-34562</t>
  </si>
  <si>
    <t>D-34578</t>
  </si>
  <si>
    <t>D-34584</t>
  </si>
  <si>
    <t>D-34590</t>
  </si>
  <si>
    <t>D-34609</t>
  </si>
  <si>
    <t>D-34615</t>
  </si>
  <si>
    <t>D-34621</t>
  </si>
  <si>
    <t>D-34637</t>
  </si>
  <si>
    <t>D-34643</t>
  </si>
  <si>
    <t>D-34665</t>
  </si>
  <si>
    <t>D-34671</t>
  </si>
  <si>
    <t>D-34730</t>
  </si>
  <si>
    <t>D-34746</t>
  </si>
  <si>
    <t>D-34752</t>
  </si>
  <si>
    <t>D-34877</t>
  </si>
  <si>
    <t>D-34883</t>
  </si>
  <si>
    <t>D-34899</t>
  </si>
  <si>
    <t>D-34908</t>
  </si>
  <si>
    <t>D-34936-12</t>
  </si>
  <si>
    <t>D-34964</t>
  </si>
  <si>
    <t>JUEGO DE PUNTAS PARA TORNILLOS EXTRAIBLES</t>
  </si>
  <si>
    <t>D-34964-12</t>
  </si>
  <si>
    <t>D-35003</t>
  </si>
  <si>
    <t>D-35019</t>
  </si>
  <si>
    <t>D-35047</t>
  </si>
  <si>
    <t>D-35053</t>
  </si>
  <si>
    <t>D-35069</t>
  </si>
  <si>
    <t>D-35075</t>
  </si>
  <si>
    <t>BROCA MULTIMATERIAL 5 X 85 MM. OMNIBOHRER</t>
  </si>
  <si>
    <t>D-35097</t>
  </si>
  <si>
    <t>D-35112</t>
  </si>
  <si>
    <t>D-35128</t>
  </si>
  <si>
    <t>D-35140</t>
  </si>
  <si>
    <t>D-35156</t>
  </si>
  <si>
    <t>D-35162</t>
  </si>
  <si>
    <t>D-35184</t>
  </si>
  <si>
    <t>D-35190</t>
  </si>
  <si>
    <t>D-35209</t>
  </si>
  <si>
    <t>D-35215</t>
  </si>
  <si>
    <t>D-35221</t>
  </si>
  <si>
    <t>D-35237</t>
  </si>
  <si>
    <t>D-35243</t>
  </si>
  <si>
    <t>D-35259</t>
  </si>
  <si>
    <t>D-35265</t>
  </si>
  <si>
    <t>D-35271</t>
  </si>
  <si>
    <t>D-35287</t>
  </si>
  <si>
    <t>D-35368</t>
  </si>
  <si>
    <t>D-35374</t>
  </si>
  <si>
    <t>D-35380</t>
  </si>
  <si>
    <t>D-35396</t>
  </si>
  <si>
    <t>SIERRA COPA BI-METAL 30 MM.</t>
  </si>
  <si>
    <t>D-35405</t>
  </si>
  <si>
    <t>D-35411</t>
  </si>
  <si>
    <t>D-35427</t>
  </si>
  <si>
    <t>D-35433</t>
  </si>
  <si>
    <t>D-35449</t>
  </si>
  <si>
    <t>D-35455</t>
  </si>
  <si>
    <t>D-35461</t>
  </si>
  <si>
    <t>D-35477</t>
  </si>
  <si>
    <t>D-35483</t>
  </si>
  <si>
    <t>D-35499</t>
  </si>
  <si>
    <t>D-35508</t>
  </si>
  <si>
    <t>D-35514</t>
  </si>
  <si>
    <t>D-35520</t>
  </si>
  <si>
    <t>D-35536</t>
  </si>
  <si>
    <t>SIERRA COPA BI-METAL</t>
  </si>
  <si>
    <t>D-35542</t>
  </si>
  <si>
    <t>D-35558</t>
  </si>
  <si>
    <t>D-35564</t>
  </si>
  <si>
    <t>D-35570</t>
  </si>
  <si>
    <t>D-35586</t>
  </si>
  <si>
    <t>D-35592</t>
  </si>
  <si>
    <t>D-35601</t>
  </si>
  <si>
    <t>D-35617</t>
  </si>
  <si>
    <t>D-35623</t>
  </si>
  <si>
    <t>D-36201</t>
  </si>
  <si>
    <t>D-36217</t>
  </si>
  <si>
    <t>D-36223</t>
  </si>
  <si>
    <t>D-36239</t>
  </si>
  <si>
    <t>D-36245</t>
  </si>
  <si>
    <t>D-36354</t>
  </si>
  <si>
    <t>D-36538</t>
  </si>
  <si>
    <t>D-36544</t>
  </si>
  <si>
    <t>D-36566</t>
  </si>
  <si>
    <t>D-36572</t>
  </si>
  <si>
    <t>D-36588</t>
  </si>
  <si>
    <t>D-36594</t>
  </si>
  <si>
    <t>D-36619</t>
  </si>
  <si>
    <t>D-36625</t>
  </si>
  <si>
    <t>D-36631</t>
  </si>
  <si>
    <t>D-36647</t>
  </si>
  <si>
    <t>D-36653</t>
  </si>
  <si>
    <t>D-36669</t>
  </si>
  <si>
    <t>D-36697</t>
  </si>
  <si>
    <t>D-36712</t>
  </si>
  <si>
    <t>D-36740</t>
  </si>
  <si>
    <t>D-36778</t>
  </si>
  <si>
    <t>D-36809</t>
  </si>
  <si>
    <t>MASONRY DRILL BIT</t>
  </si>
  <si>
    <t>D-36837</t>
  </si>
  <si>
    <t>D-36968</t>
  </si>
  <si>
    <t>D-36996</t>
  </si>
  <si>
    <t>MALETA ACCESORIOS 34 PCS  SET DE COMBINACION</t>
  </si>
  <si>
    <t>D-37144</t>
  </si>
  <si>
    <t>MALETA ACCESORIOS 71 PCS  SET DE COMBINACION</t>
  </si>
  <si>
    <t>D-37150</t>
  </si>
  <si>
    <t>MALETA ACCESORIOS 104 PCS  SET DE COMBINACION</t>
  </si>
  <si>
    <t>D-37203</t>
  </si>
  <si>
    <t>MALETA ACCESORIOS 200 PCS  SET DE COMBINACION</t>
  </si>
  <si>
    <t>D-37493</t>
  </si>
  <si>
    <t>D-37524</t>
  </si>
  <si>
    <t>D-37552</t>
  </si>
  <si>
    <t>D-37568</t>
  </si>
  <si>
    <t>D-37574</t>
  </si>
  <si>
    <t>D-37580</t>
  </si>
  <si>
    <t>D-37596</t>
  </si>
  <si>
    <t>D-37611</t>
  </si>
  <si>
    <t>D-37627</t>
  </si>
  <si>
    <t>D-37677</t>
  </si>
  <si>
    <t>EXHIBIDOR DE ACCESORIOS MAKITA CON PANEL 35X40X50CM</t>
  </si>
  <si>
    <t>D-38255</t>
  </si>
  <si>
    <t>SET DE BROCAS SDS-PLUS 5 UNID (5  6  7  8  10)</t>
  </si>
  <si>
    <t>D-38261</t>
  </si>
  <si>
    <t>D-38277</t>
  </si>
  <si>
    <t>D-38308</t>
  </si>
  <si>
    <t>D-38364</t>
  </si>
  <si>
    <t>D-38401</t>
  </si>
  <si>
    <t>D-38934</t>
  </si>
  <si>
    <t>D-38940</t>
  </si>
  <si>
    <t>D-38956</t>
  </si>
  <si>
    <t>D-39154</t>
  </si>
  <si>
    <t>COUNTERSINK.(D-37493)</t>
  </si>
  <si>
    <t>D-39182</t>
  </si>
  <si>
    <t>COUNTERSINK</t>
  </si>
  <si>
    <t>D-39213</t>
  </si>
  <si>
    <t>D-39235</t>
  </si>
  <si>
    <t>D-39263</t>
  </si>
  <si>
    <t>D-39291</t>
  </si>
  <si>
    <t>D-39338</t>
  </si>
  <si>
    <t>D-39350</t>
  </si>
  <si>
    <t>D-39372</t>
  </si>
  <si>
    <t>D-39394</t>
  </si>
  <si>
    <t>D-39419</t>
  </si>
  <si>
    <t>D-39425</t>
  </si>
  <si>
    <t>D-39431</t>
  </si>
  <si>
    <t>D-39447</t>
  </si>
  <si>
    <t>D-39805</t>
  </si>
  <si>
    <t>D-39849</t>
  </si>
  <si>
    <t>D-40054</t>
  </si>
  <si>
    <t>D-40129</t>
  </si>
  <si>
    <t>D-40135</t>
  </si>
  <si>
    <t>D-40163</t>
  </si>
  <si>
    <t>D-40179</t>
  </si>
  <si>
    <t>D-40185</t>
  </si>
  <si>
    <t>D-40191</t>
  </si>
  <si>
    <t>D-40200</t>
  </si>
  <si>
    <t>SET BROCAS + PUNTAS DE ATORNILLAR - 17 PCS</t>
  </si>
  <si>
    <t>D-40216</t>
  </si>
  <si>
    <t>D-40397</t>
  </si>
  <si>
    <t>CONE DRILL BIT (D-40054)</t>
  </si>
  <si>
    <t>D-40456</t>
  </si>
  <si>
    <t>STEP DIRLL BIT (D-40113)</t>
  </si>
  <si>
    <t>D-40462</t>
  </si>
  <si>
    <t>STEP DIRLL BIT</t>
  </si>
  <si>
    <t>D-40478</t>
  </si>
  <si>
    <t>STEP DIRLL BIT (D-40135)</t>
  </si>
  <si>
    <t>D-40484</t>
  </si>
  <si>
    <t>BROCA DE PASO ESPIRAL (D-40141)</t>
  </si>
  <si>
    <t>D-40509</t>
  </si>
  <si>
    <t>BROCA DE PASO ESPIRAL 4-32 (D-40163)</t>
  </si>
  <si>
    <t>D-40515</t>
  </si>
  <si>
    <t>D-40521</t>
  </si>
  <si>
    <t>D-40537</t>
  </si>
  <si>
    <t>D-40674</t>
  </si>
  <si>
    <t>D-41040</t>
  </si>
  <si>
    <t>D-41414</t>
  </si>
  <si>
    <t>D-41464</t>
  </si>
  <si>
    <t>D-41545</t>
  </si>
  <si>
    <t>D-41791</t>
  </si>
  <si>
    <t>SET BROCA LADRILLO ASSORTMENT</t>
  </si>
  <si>
    <t>D-41969</t>
  </si>
  <si>
    <t>BROCA FORSTNER 30MM</t>
  </si>
  <si>
    <t>D-41975</t>
  </si>
  <si>
    <t>BROCA FORSTNER 32MM (D-42276)</t>
  </si>
  <si>
    <t>D-41997</t>
  </si>
  <si>
    <t>BROCA FORSTNER 40MM</t>
  </si>
  <si>
    <t>D-42101</t>
  </si>
  <si>
    <t>DRILL&amp;CHISEL WITH ALU 13PC/SET (D-42400)</t>
  </si>
  <si>
    <t>D-42145</t>
  </si>
  <si>
    <t>SET D/CINCELES Y BROCAS SDS-PLUS . (17 PZAS) CAJA MET.</t>
  </si>
  <si>
    <t>D-42282</t>
  </si>
  <si>
    <t>BROCA FORSTNER "HSS" 35MM. P/VISAGRA CANGREJO</t>
  </si>
  <si>
    <t>D-42307</t>
  </si>
  <si>
    <t>BROCA FORSTNER 50MM</t>
  </si>
  <si>
    <t>D-42329</t>
  </si>
  <si>
    <t>MALETA ACCESORIOS 65 PCS  SET DE COMBINACION</t>
  </si>
  <si>
    <t>D-42400</t>
  </si>
  <si>
    <t>SET DE BROCAS Y CINCELES SDS-PLUS 13PCS</t>
  </si>
  <si>
    <t>D-42444</t>
  </si>
  <si>
    <t>D-42531</t>
  </si>
  <si>
    <t>D-42553</t>
  </si>
  <si>
    <t>D-42581</t>
  </si>
  <si>
    <t>D-42737</t>
  </si>
  <si>
    <t>MULTI-PURPOSE CARBIDE HOLESAW</t>
  </si>
  <si>
    <t>D-42743</t>
  </si>
  <si>
    <t>D-44214</t>
  </si>
  <si>
    <t>D-44270</t>
  </si>
  <si>
    <t>D-44286</t>
  </si>
  <si>
    <t>D-44292</t>
  </si>
  <si>
    <t>D-44301</t>
  </si>
  <si>
    <t>D-44339</t>
  </si>
  <si>
    <t>D-44476</t>
  </si>
  <si>
    <t>D-44498</t>
  </si>
  <si>
    <t>D-44513</t>
  </si>
  <si>
    <t>D-44557</t>
  </si>
  <si>
    <t>COPA DIAMANTADA X 51MM - ENTRADA M14</t>
  </si>
  <si>
    <t>D-44672</t>
  </si>
  <si>
    <t>D-44688</t>
  </si>
  <si>
    <t>D-44725</t>
  </si>
  <si>
    <t>D-44731</t>
  </si>
  <si>
    <t>D-44747</t>
  </si>
  <si>
    <t>D-45004</t>
  </si>
  <si>
    <t>D-46408</t>
  </si>
  <si>
    <t>D-46492</t>
  </si>
  <si>
    <t>EXHIBIDOR METALICO P/ACCESORIOS DE MULTITOOL</t>
  </si>
  <si>
    <t>D-49002</t>
  </si>
  <si>
    <t>D-49018</t>
  </si>
  <si>
    <t>D-49024</t>
  </si>
  <si>
    <t>D-49030</t>
  </si>
  <si>
    <t>D-49052</t>
  </si>
  <si>
    <t>FRESA VAST.1/4" RECTA CANAL 1/ 4"-2F.SIN RODAJE.ALTURA FILO 1"</t>
  </si>
  <si>
    <t>D-49074</t>
  </si>
  <si>
    <t>D-49080</t>
  </si>
  <si>
    <t>FRESA RECTA 2F VAS. 1/4" D 1/2" * L. UTIL 1-1/4" * L. TOTAL 2-1/2"</t>
  </si>
  <si>
    <t>D-49105</t>
  </si>
  <si>
    <t>D-49127</t>
  </si>
  <si>
    <t>D-49133</t>
  </si>
  <si>
    <t>D-49183</t>
  </si>
  <si>
    <t>D-49208</t>
  </si>
  <si>
    <t>D-49264</t>
  </si>
  <si>
    <t>D-49286</t>
  </si>
  <si>
    <t>D-49292</t>
  </si>
  <si>
    <t>FRESA RECTA 3F VAS 1/4"  D 1/2" * L. UTIL 1" * L TOTAL 2 11/16"</t>
  </si>
  <si>
    <t>D-49301</t>
  </si>
  <si>
    <t>D-49317</t>
  </si>
  <si>
    <t>D-49339</t>
  </si>
  <si>
    <t>D-49345</t>
  </si>
  <si>
    <t>D-49351</t>
  </si>
  <si>
    <t>D-49367</t>
  </si>
  <si>
    <t>D-49373</t>
  </si>
  <si>
    <t>D-49404</t>
  </si>
  <si>
    <t>D-49426</t>
  </si>
  <si>
    <t>D-49448</t>
  </si>
  <si>
    <t>D-49460</t>
  </si>
  <si>
    <t>D-49507</t>
  </si>
  <si>
    <t>D-49513</t>
  </si>
  <si>
    <t>D-49529</t>
  </si>
  <si>
    <t>D-49535</t>
  </si>
  <si>
    <t>D-49541</t>
  </si>
  <si>
    <t>FRESA COLA DE MILANO(14°)  2 F. CAR  VAS. 1/4""/ UTIL(D 1/2"" * L 1/2"") / L. TOTAL 1-3/4"</t>
  </si>
  <si>
    <t>D-49622</t>
  </si>
  <si>
    <t>D-49644</t>
  </si>
  <si>
    <t>D-49672</t>
  </si>
  <si>
    <t>D-49694</t>
  </si>
  <si>
    <t>D-49703</t>
  </si>
  <si>
    <t>CUCHILLA DE CORTE PARA DRYWALL X 2PCS (DSD180Z)</t>
  </si>
  <si>
    <t>D-49719</t>
  </si>
  <si>
    <t>D-49725</t>
  </si>
  <si>
    <t>FRESA VAST.1/4" PARA PANEL PUERTA  3/4" 2F-ALTURA 7/16"</t>
  </si>
  <si>
    <t>D-49731</t>
  </si>
  <si>
    <t>FRESA ENCAJE CLASICO VAS 1/4" * D 7/8" * L. UTIL 1/2" * L TOTAL 2-1/8"</t>
  </si>
  <si>
    <t>D-49747</t>
  </si>
  <si>
    <t>D-49753</t>
  </si>
  <si>
    <t>D-49769</t>
  </si>
  <si>
    <t>D-49781</t>
  </si>
  <si>
    <t>D-49797</t>
  </si>
  <si>
    <t>D-49828</t>
  </si>
  <si>
    <t>D-49834</t>
  </si>
  <si>
    <t>D-49862</t>
  </si>
  <si>
    <t>D-49890</t>
  </si>
  <si>
    <t>D-49915</t>
  </si>
  <si>
    <t>D-49959</t>
  </si>
  <si>
    <t>D-49987</t>
  </si>
  <si>
    <t>D-50005</t>
  </si>
  <si>
    <t>D-50049</t>
  </si>
  <si>
    <t>D-50055</t>
  </si>
  <si>
    <t>D-50061</t>
  </si>
  <si>
    <t>D-50077</t>
  </si>
  <si>
    <t>D-50083</t>
  </si>
  <si>
    <t>FRESA VAST.1/4" ROMANA 1-1/8"-2F.CON RODAJE.ALTURA  1 / 2"</t>
  </si>
  <si>
    <t>D-50099</t>
  </si>
  <si>
    <t>FRESA VAST.1/4" ROMANA 1-1/2"-2F.CON RODAJE.ALTURA 11/16"</t>
  </si>
  <si>
    <t>D-50114</t>
  </si>
  <si>
    <t>D-50120</t>
  </si>
  <si>
    <t>D-50136</t>
  </si>
  <si>
    <t>D-50158</t>
  </si>
  <si>
    <t>D-50164</t>
  </si>
  <si>
    <t>D-50186</t>
  </si>
  <si>
    <t>D-50192</t>
  </si>
  <si>
    <t>FRESA VAST 1/2" REFILADO 29/32" CON RODAJE REVERSIBLE.</t>
  </si>
  <si>
    <t>D-50217</t>
  </si>
  <si>
    <t>FRESA VASTAGO 1/4" OJA DE CERRADURA 3/8" 2F SIN RODAJE  FRESA VASTAGO 1/4" OJA DE CERRADURA 3/8" 2F SIN RODAJE</t>
  </si>
  <si>
    <t>D-50239</t>
  </si>
  <si>
    <t>D-50245</t>
  </si>
  <si>
    <t>D-50267</t>
  </si>
  <si>
    <t>D-50273</t>
  </si>
  <si>
    <t>FRESA VAST.1/4" RANURA 5/32" X 1/2"PROFUNDIDAD-2F.CON RODAJE.</t>
  </si>
  <si>
    <t>D-50295</t>
  </si>
  <si>
    <t>D-50332</t>
  </si>
  <si>
    <t>D-50348</t>
  </si>
  <si>
    <t>D-50762</t>
  </si>
  <si>
    <t>D-50871</t>
  </si>
  <si>
    <t>ANILLO SET DE 10PCS</t>
  </si>
  <si>
    <t>D-50893</t>
  </si>
  <si>
    <t>D-50902</t>
  </si>
  <si>
    <t>D-51057</t>
  </si>
  <si>
    <t>D-51085</t>
  </si>
  <si>
    <t>D-51091</t>
  </si>
  <si>
    <t>D-51100</t>
  </si>
  <si>
    <t>D-51122</t>
  </si>
  <si>
    <t>D-51312</t>
  </si>
  <si>
    <t>TCT SAW BLADE</t>
  </si>
  <si>
    <t>D-51328</t>
  </si>
  <si>
    <t>D-51334</t>
  </si>
  <si>
    <t>D-51340</t>
  </si>
  <si>
    <t>D-51362</t>
  </si>
  <si>
    <t>D-51378</t>
  </si>
  <si>
    <t>D-51384</t>
  </si>
  <si>
    <t>D-51677</t>
  </si>
  <si>
    <t>D-52358</t>
  </si>
  <si>
    <t>D-52364</t>
  </si>
  <si>
    <t>ABRASIVE PAPER</t>
  </si>
  <si>
    <t>D-52370</t>
  </si>
  <si>
    <t>D-52392</t>
  </si>
  <si>
    <t>D-53344</t>
  </si>
  <si>
    <t>D-53453</t>
  </si>
  <si>
    <t>WOOD DRILL BITS(1PCS)</t>
  </si>
  <si>
    <t>D-53497</t>
  </si>
  <si>
    <t>BROCA SALOMONICA PARA MADERA</t>
  </si>
  <si>
    <t>D-53578</t>
  </si>
  <si>
    <t>D-53584</t>
  </si>
  <si>
    <t>D-55033</t>
  </si>
  <si>
    <t>SDS-MAX TCT DRILL</t>
  </si>
  <si>
    <t>D-55108</t>
  </si>
  <si>
    <t>D-55114</t>
  </si>
  <si>
    <t>D-55170</t>
  </si>
  <si>
    <t>D-55217</t>
  </si>
  <si>
    <t>D-55223</t>
  </si>
  <si>
    <t>D-55251</t>
  </si>
  <si>
    <t>D-55289</t>
  </si>
  <si>
    <t>D-55354</t>
  </si>
  <si>
    <t>D-55376</t>
  </si>
  <si>
    <t>D-55398</t>
  </si>
  <si>
    <t>D-55413</t>
  </si>
  <si>
    <t>D-56954</t>
  </si>
  <si>
    <t>D-56960</t>
  </si>
  <si>
    <t>ADAPTADOR M14 PARA  BONETE MODELO (D-56954)</t>
  </si>
  <si>
    <t>D-56998</t>
  </si>
  <si>
    <t>D-57009</t>
  </si>
  <si>
    <t>D-57146</t>
  </si>
  <si>
    <t>D-58506</t>
  </si>
  <si>
    <t>D-58512</t>
  </si>
  <si>
    <t>FRESA VAST. 1/2" RECTA 2F * D 1/2" * L. UTIL 2-1/2" * L TOTAL 4-1/2"</t>
  </si>
  <si>
    <t>D-58528</t>
  </si>
  <si>
    <t>FRESA VAST.1/4" RECTIFICADO FORMICA 1/4"-2F.CON RODAJE.ALTURA FILO  1/2"</t>
  </si>
  <si>
    <t>D-58883</t>
  </si>
  <si>
    <t>D-58899</t>
  </si>
  <si>
    <t>D-58908</t>
  </si>
  <si>
    <t>D-59427</t>
  </si>
  <si>
    <t>D-60676</t>
  </si>
  <si>
    <t>DISCO DE DIAMANTE</t>
  </si>
  <si>
    <t>D-61064</t>
  </si>
  <si>
    <t>DIAMOND CORE BIT</t>
  </si>
  <si>
    <t>D-61070</t>
  </si>
  <si>
    <t>D-61531</t>
  </si>
  <si>
    <t>CINCEL PUNTA 410MM. ENCASTRE HEXAGONAL 28 MM S/COLLARIN</t>
  </si>
  <si>
    <t>D-61547</t>
  </si>
  <si>
    <t>COLD CHISEL</t>
  </si>
  <si>
    <t>D-61553</t>
  </si>
  <si>
    <t>SCALING CHISEL</t>
  </si>
  <si>
    <t>D-61569</t>
  </si>
  <si>
    <t>D-61575</t>
  </si>
  <si>
    <t>D-61581</t>
  </si>
  <si>
    <t>D-61690</t>
  </si>
  <si>
    <t>PUNTERA PARA DRYWALL 30MM PH2</t>
  </si>
  <si>
    <t>D-62315</t>
  </si>
  <si>
    <t>D-62321</t>
  </si>
  <si>
    <t>D-62343</t>
  </si>
  <si>
    <t>D-62430</t>
  </si>
  <si>
    <t>SDS-PLUS SCALING CHISEL</t>
  </si>
  <si>
    <t>D-62452</t>
  </si>
  <si>
    <t>D-62511</t>
  </si>
  <si>
    <t>D-62549</t>
  </si>
  <si>
    <t>D-62577</t>
  </si>
  <si>
    <t>D-62608</t>
  </si>
  <si>
    <t>D-62636</t>
  </si>
  <si>
    <t>D-62664</t>
  </si>
  <si>
    <t>D-62723</t>
  </si>
  <si>
    <t>SDS-PLUS DRILL12PCS/SET</t>
  </si>
  <si>
    <t>D-62826</t>
  </si>
  <si>
    <t>D-62848</t>
  </si>
  <si>
    <t>D-63236</t>
  </si>
  <si>
    <t>TCT ROUTER BIT</t>
  </si>
  <si>
    <t>D-63432</t>
  </si>
  <si>
    <t>D-63448</t>
  </si>
  <si>
    <t>D-63454</t>
  </si>
  <si>
    <t>D-63460</t>
  </si>
  <si>
    <t>D-63476</t>
  </si>
  <si>
    <t>D-63482</t>
  </si>
  <si>
    <t>D-63498</t>
  </si>
  <si>
    <t>D-63507</t>
  </si>
  <si>
    <t>D-63513</t>
  </si>
  <si>
    <t>D-63529</t>
  </si>
  <si>
    <t>D-63535</t>
  </si>
  <si>
    <t>D-63541</t>
  </si>
  <si>
    <t>D-63666</t>
  </si>
  <si>
    <t>D-63862</t>
  </si>
  <si>
    <t>D-64048</t>
  </si>
  <si>
    <t>BROCA PARA METAL HSS-TIN 3 X 61MM.</t>
  </si>
  <si>
    <t>D-64060</t>
  </si>
  <si>
    <t>BROCA PARA METAL HSS-TIN 4 X 75MM. VASTAGO CILINDRICO</t>
  </si>
  <si>
    <t>D-64082</t>
  </si>
  <si>
    <t>HSS-TIN METAL DRILL BIT 5 X 86 MM</t>
  </si>
  <si>
    <t>D-64107</t>
  </si>
  <si>
    <t>BROCA PARA METAL HSS-TIN 6 X 93MM.</t>
  </si>
  <si>
    <t>D-64113</t>
  </si>
  <si>
    <t>D-64129</t>
  </si>
  <si>
    <t>BROCA PARA METAL HSS-TIN 7 X 109MM.  VASTAGO CILINCRICO</t>
  </si>
  <si>
    <t>D-64141</t>
  </si>
  <si>
    <t>D-64185</t>
  </si>
  <si>
    <t>D-64238</t>
  </si>
  <si>
    <t>D-64244</t>
  </si>
  <si>
    <t>D-65713</t>
  </si>
  <si>
    <t>CUCHILLO MAKITA - 8 HOJAS RETRÁCTIL</t>
  </si>
  <si>
    <t>D-65735</t>
  </si>
  <si>
    <t>SINGLE SIDE WOOL PAD150MM</t>
  </si>
  <si>
    <t>D-65741</t>
  </si>
  <si>
    <t>HSS-TIN METAL DRILL BIT 14MM</t>
  </si>
  <si>
    <t>D-65757</t>
  </si>
  <si>
    <t>HSS-TIN METAL DRILL BIT 15MM</t>
  </si>
  <si>
    <t>D-65763</t>
  </si>
  <si>
    <t>HSS-TIN METAL DRILL BIT 16MM</t>
  </si>
  <si>
    <t>D-65779</t>
  </si>
  <si>
    <t>HSS-TIN METAL DRILL BIT 17MM</t>
  </si>
  <si>
    <t>D-65785</t>
  </si>
  <si>
    <t>HSS-TIN METAL DRILL BIT 18MM</t>
  </si>
  <si>
    <t>D-65791</t>
  </si>
  <si>
    <t>HSS-TIN METAL DRILL BIT 19MM</t>
  </si>
  <si>
    <t>D-65800</t>
  </si>
  <si>
    <t>HSS-TIN METAL DRILL BIT 20MM</t>
  </si>
  <si>
    <t>D-65981</t>
  </si>
  <si>
    <t>D-65997</t>
  </si>
  <si>
    <t>D-66014</t>
  </si>
  <si>
    <t>D-66070</t>
  </si>
  <si>
    <t>SET DE GRATAS P/TALADRO 6MM. 3PCS</t>
  </si>
  <si>
    <t>D-66715</t>
  </si>
  <si>
    <t>D-67000</t>
  </si>
  <si>
    <t>SINGLE SIDE WOOL PAD100MM</t>
  </si>
  <si>
    <t>D-67365</t>
  </si>
  <si>
    <t>D-67577</t>
  </si>
  <si>
    <t>SET BROCAS METAL HSS COBALTO 25 PCS SET 1-13MM</t>
  </si>
  <si>
    <t>D-68161</t>
  </si>
  <si>
    <t>D-68177</t>
  </si>
  <si>
    <t>D-68236</t>
  </si>
  <si>
    <t>D-69200</t>
  </si>
  <si>
    <t>FRESA RECTA 2F VAS. 1/2" X D. 1/2" L. UTIL 2" L TOTAL 4"</t>
  </si>
  <si>
    <t>D-69222</t>
  </si>
  <si>
    <t>FRESA ESCOPLEADORA  VAS 1/4"  D 1/2" * L UTIL 3/4" * L TOTAL 2"</t>
  </si>
  <si>
    <t>D-69266</t>
  </si>
  <si>
    <t>FRESA ENRASADORA VAS 1/4" D. 1/4" * L. UTIL 1/2" * L. TOTAL 2-1/4"</t>
  </si>
  <si>
    <t>D-70203</t>
  </si>
  <si>
    <t>D-70465</t>
  </si>
  <si>
    <t>TCT ROUTER BIT 3PCS/SET</t>
  </si>
  <si>
    <t>D-70471</t>
  </si>
  <si>
    <t>D-70742</t>
  </si>
  <si>
    <t>SET DE CEPILLO DE NYLON PARA TALADRO</t>
  </si>
  <si>
    <t>D-70758</t>
  </si>
  <si>
    <t>D-70786</t>
  </si>
  <si>
    <t>D-70792</t>
  </si>
  <si>
    <t>FLAT POLISH SPONGE</t>
  </si>
  <si>
    <t>D-70867</t>
  </si>
  <si>
    <t>BONETE DE LANA CON VELCRO  5"    {PO5000C/DPO500}</t>
  </si>
  <si>
    <t>D-70873</t>
  </si>
  <si>
    <t>D-70889</t>
  </si>
  <si>
    <t>BONETE AMARILLO DOBLE CARA</t>
  </si>
  <si>
    <t>D-70910</t>
  </si>
  <si>
    <t>D-71015</t>
  </si>
  <si>
    <t>D-71124</t>
  </si>
  <si>
    <t>D-71168</t>
  </si>
  <si>
    <t>D-71174</t>
  </si>
  <si>
    <t>SET DE BROCA</t>
  </si>
  <si>
    <t>D-71962</t>
  </si>
  <si>
    <t>D-72001</t>
  </si>
  <si>
    <t>D-72001-10</t>
  </si>
  <si>
    <t>D-72001-50</t>
  </si>
  <si>
    <t>DISCO ABRA CORTE INOX   4.5"" X 1.0MM.(WA46R) ** (50 PCS)</t>
  </si>
  <si>
    <t>D-72154</t>
  </si>
  <si>
    <t>D-72431</t>
  </si>
  <si>
    <t>HOJA DE SIERRA</t>
  </si>
  <si>
    <t>D-72718</t>
  </si>
  <si>
    <t>D-72774</t>
  </si>
  <si>
    <t>OMNIBOHRER 6X200</t>
  </si>
  <si>
    <t>D-72796</t>
  </si>
  <si>
    <t>OMNIBOHRER 6X300</t>
  </si>
  <si>
    <t>D-72805</t>
  </si>
  <si>
    <t>OMNIBOHRER 6.5X200</t>
  </si>
  <si>
    <t>D-72827</t>
  </si>
  <si>
    <t>OMNIBOHRER 6.5X300</t>
  </si>
  <si>
    <t>D-72849</t>
  </si>
  <si>
    <t>D-72861</t>
  </si>
  <si>
    <t>D-73112</t>
  </si>
  <si>
    <t>D-73140</t>
  </si>
  <si>
    <t>T.C.T. SAW BLADE 260*70T</t>
  </si>
  <si>
    <t>D-73156</t>
  </si>
  <si>
    <t>D-73265</t>
  </si>
  <si>
    <t>D-73287</t>
  </si>
  <si>
    <t>D-73455</t>
  </si>
  <si>
    <t>D-73514</t>
  </si>
  <si>
    <t>PALETA MEZCLADORA PARA MATERIALES VISCOSOS (M14)**</t>
  </si>
  <si>
    <t>D-73542</t>
  </si>
  <si>
    <t>BATIDOR VISCOSO EJE 10 HEXAGONAL (DG001G)</t>
  </si>
  <si>
    <t>D-74485</t>
  </si>
  <si>
    <t>D-74516</t>
  </si>
  <si>
    <t>D-74728</t>
  </si>
  <si>
    <t>D-74734</t>
  </si>
  <si>
    <t>D-74740</t>
  </si>
  <si>
    <t>D-74790</t>
  </si>
  <si>
    <t>D-74815-5</t>
  </si>
  <si>
    <t>D-74837</t>
  </si>
  <si>
    <t>D-74887</t>
  </si>
  <si>
    <t>SET DE BROCAS Y PUNTAS 17 PCS MALETIN DE PLÁSTICO</t>
  </si>
  <si>
    <t>D-75443</t>
  </si>
  <si>
    <t>D-75552</t>
  </si>
  <si>
    <t>D-75568</t>
  </si>
  <si>
    <t>D-75611</t>
  </si>
  <si>
    <t>D-75758</t>
  </si>
  <si>
    <t>D-75976</t>
  </si>
  <si>
    <t>D-75998</t>
  </si>
  <si>
    <t>D-76009</t>
  </si>
  <si>
    <t>D-76015</t>
  </si>
  <si>
    <t>D-76021</t>
  </si>
  <si>
    <t>D-76037</t>
  </si>
  <si>
    <t>D-76423</t>
  </si>
  <si>
    <t>D-76473</t>
  </si>
  <si>
    <t>D-76532</t>
  </si>
  <si>
    <t>D-76560</t>
  </si>
  <si>
    <t>ESCOBILLA COPA 50MM PELO 0.3MM ONDULADA HEX 1/4 (P/ TALADRO) - INOX</t>
  </si>
  <si>
    <t>D-76613</t>
  </si>
  <si>
    <t>ESCOBILLA PLANA 50MM PELO ONDULADO 0.3MM (P/ TALADRO) - INOX</t>
  </si>
  <si>
    <t>D-76679</t>
  </si>
  <si>
    <t>ESCOBILLA ACABADO  24MM PELO ONDULADO 0.3MM (P/ TALADRO) - INOX</t>
  </si>
  <si>
    <t>D-76700</t>
  </si>
  <si>
    <t>ESCOBILLA COPA 75MM PELO 0.5MM TRENZADA HEX 1/4 (P/ TALADRO) - INOX</t>
  </si>
  <si>
    <t>D-76716</t>
  </si>
  <si>
    <t>ESCOBILLA PLANA 75MM PELO TRENZADO 0.5MM (P/ TALADRO) - INOX</t>
  </si>
  <si>
    <t>D-76750</t>
  </si>
  <si>
    <t>ESCOBILLA ACABADO  24MM PELO TRENZADO 0.5MM (P/ TALADRO) - INOX</t>
  </si>
  <si>
    <t>D-77126</t>
  </si>
  <si>
    <t>D-77229</t>
  </si>
  <si>
    <t>SET DE DISCOS DE LIJA P/ MADERA 125MM (GR 60  120  240  320 5PCS C/U) 20PCS</t>
  </si>
  <si>
    <t>D-77241</t>
  </si>
  <si>
    <t>SET BROCAS PARA METAL HSS-G  6PCS (2  3  4  5  6  8MM)</t>
  </si>
  <si>
    <t>D-77257</t>
  </si>
  <si>
    <t>D-77263</t>
  </si>
  <si>
    <t>DISCO DIAMANTADO BORDE CONTINUO 76MM (DCM300)</t>
  </si>
  <si>
    <t>D-77338</t>
  </si>
  <si>
    <t>DISCO DE SIERRA PARA MADERA 260X25.4MM 40 DIENTES</t>
  </si>
  <si>
    <t>D-77372-SAMPLE</t>
  </si>
  <si>
    <t>D-77394-SAMPLE</t>
  </si>
  <si>
    <t>D-77403-SAMPLE</t>
  </si>
  <si>
    <t>D-77693</t>
  </si>
  <si>
    <t>BROCA PARA METAL HSS-GS 1.5 X 40 MM. (2UN)</t>
  </si>
  <si>
    <t>D-77702</t>
  </si>
  <si>
    <t>BROCA PARA METAL HSS-GS 2.0 X 49 MM. (2UN)</t>
  </si>
  <si>
    <t>D-77718</t>
  </si>
  <si>
    <t>BROCA PARA METAL HSS-GS 2.5 X 57 MM. (2UN)</t>
  </si>
  <si>
    <t>D-77724</t>
  </si>
  <si>
    <t>BROCA PARA METAL HSS-GS 3.0 X 40 MM. (2UN)</t>
  </si>
  <si>
    <t>D-77730</t>
  </si>
  <si>
    <t>BROCA PARA METAL HSS-GS 3.2 X 40 MM. (2UN)</t>
  </si>
  <si>
    <t>D-77768</t>
  </si>
  <si>
    <t>BROCA PARA METAL HSS-GS 4.0 X 75 MM. (2UN)</t>
  </si>
  <si>
    <t>D-77796</t>
  </si>
  <si>
    <t>BROCA PARA METAL HSS-GS 5.0 X 86 MM. (1UN)</t>
  </si>
  <si>
    <t>D-77805</t>
  </si>
  <si>
    <t>BROCA PARA METAL HSS-GS 5.5 X 93 MM. (1UN)</t>
  </si>
  <si>
    <t>D-77811</t>
  </si>
  <si>
    <t>BROCA PARA METAL HSS-GS 6.0 X 93 MM. (1UN)</t>
  </si>
  <si>
    <t>D-77827</t>
  </si>
  <si>
    <t>BROCA PARA METAL HSS-GS 6.5 X 101 MM. (1UN)</t>
  </si>
  <si>
    <t>D-77855</t>
  </si>
  <si>
    <t>BROCA PARA METAL HSS-GS 8.0 X 117 MM. (1UN)</t>
  </si>
  <si>
    <t>D-77899</t>
  </si>
  <si>
    <t>BROCA PARA METAL HSS-GS 10 X 133 MM. (1UN)</t>
  </si>
  <si>
    <t>D-77936</t>
  </si>
  <si>
    <t>BROCA PARA METAL HSS-GS 12 X 151 MM. (1UN)</t>
  </si>
  <si>
    <t>D-77958</t>
  </si>
  <si>
    <t>BROCA PARA METAL HSS-GS 13 X 151 MM. (1UN)</t>
  </si>
  <si>
    <t>D-78271</t>
  </si>
  <si>
    <t>DISCO DIAMANTADO BORDE CONTINUO 105 X 20MM</t>
  </si>
  <si>
    <t>D-78287</t>
  </si>
  <si>
    <t>DISCO DIAMANTADO BODE CONTINUO 115MM</t>
  </si>
  <si>
    <t>D-78293</t>
  </si>
  <si>
    <t>DISCO DIAMANTADO BORDE CONTINUO 7" 180MM</t>
  </si>
  <si>
    <t>D-78324</t>
  </si>
  <si>
    <t>D-78330</t>
  </si>
  <si>
    <t>D-78346</t>
  </si>
  <si>
    <t>SET DE BROCAS PARA METAL HSS-GS X 6PCS (2, 3, 4, 5, 6 Y 8MM)</t>
  </si>
  <si>
    <t>D-78374</t>
  </si>
  <si>
    <t>D-78433</t>
  </si>
  <si>
    <t>BROCA PARA VIDRIO C/PUNTA TUNGSTENO 6X58MM ***</t>
  </si>
  <si>
    <t>D-78455</t>
  </si>
  <si>
    <t>BROCA PARA VIDRIO C/PUNTA TUNGSTENO 8X58MM ***</t>
  </si>
  <si>
    <t>D-78461</t>
  </si>
  <si>
    <t>BROCA PARA VIDRIO C/PUNTA TUNGSTENO 10X96MM ***</t>
  </si>
  <si>
    <t>D-78477</t>
  </si>
  <si>
    <t>D-78564</t>
  </si>
  <si>
    <t>D-78570</t>
  </si>
  <si>
    <t>GRATA COPA TRENZADA 100MM ROSCA X M14</t>
  </si>
  <si>
    <t>D-79566</t>
  </si>
  <si>
    <t>D-79572</t>
  </si>
  <si>
    <t>D-79902</t>
  </si>
  <si>
    <t>D-79918</t>
  </si>
  <si>
    <t>DA00000655</t>
  </si>
  <si>
    <t>CABEZAL CORTE DE NYLON P/ER2600L</t>
  </si>
  <si>
    <t>DA001GZ</t>
  </si>
  <si>
    <t>DA001GZ-SAMPLE</t>
  </si>
  <si>
    <t>13MM CORDLESS ANGLE DRILL</t>
  </si>
  <si>
    <t>DA3010F</t>
  </si>
  <si>
    <t>DA333DSAE</t>
  </si>
  <si>
    <t>DA333DZ</t>
  </si>
  <si>
    <t>DA4000LR</t>
  </si>
  <si>
    <t>DAS180Z</t>
  </si>
  <si>
    <t>DAS180Z-SAMPLE</t>
  </si>
  <si>
    <t>CORDLESS DUST BLOWER</t>
  </si>
  <si>
    <t>DBC4510</t>
  </si>
  <si>
    <t>DBN500Z</t>
  </si>
  <si>
    <t>DBN600Z</t>
  </si>
  <si>
    <t>DBN600Z-SAMPLE</t>
  </si>
  <si>
    <t>DBO180Z</t>
  </si>
  <si>
    <t>DBO380Z</t>
  </si>
  <si>
    <t>FINISHING SANDER</t>
  </si>
  <si>
    <t>DBO380Z-SAMPLE</t>
  </si>
  <si>
    <t>DBO481Z</t>
  </si>
  <si>
    <t>DBO481Z-SAMPLE</t>
  </si>
  <si>
    <t>BO481D FINISHING SANDER</t>
  </si>
  <si>
    <t>DBS180Z</t>
  </si>
  <si>
    <t>DBS180Z-SAMPLE</t>
  </si>
  <si>
    <t>9MM CORDLESS BELT SANDER.</t>
  </si>
  <si>
    <t>DC18RC</t>
  </si>
  <si>
    <t>FAST CHARGER SET</t>
  </si>
  <si>
    <t>DCB200B</t>
  </si>
  <si>
    <t>DCB200B-SAMPLE</t>
  </si>
  <si>
    <t>COBIJA TERMINA</t>
  </si>
  <si>
    <t>DCC500Z</t>
  </si>
  <si>
    <t>DCC500Z-SAMPLE</t>
  </si>
  <si>
    <t>CORTADORA 18V LXT - BL-ADT-AWS</t>
  </si>
  <si>
    <t>DCE090Z-SAMPLE</t>
  </si>
  <si>
    <t>230MM CORDLESS POWER CUTTER.</t>
  </si>
  <si>
    <t>DCE090ZX2</t>
  </si>
  <si>
    <t>DCF201Z</t>
  </si>
  <si>
    <t>DCF300Z</t>
  </si>
  <si>
    <t>DCF300Z-SAMPLE</t>
  </si>
  <si>
    <t>DCF301Z</t>
  </si>
  <si>
    <t>DCF301Z-SAMPLE</t>
  </si>
  <si>
    <t>DCG180ZB</t>
  </si>
  <si>
    <t>DCJ205Z2XL</t>
  </si>
  <si>
    <t>DCJ205ZL</t>
  </si>
  <si>
    <t>DCJ205ZM</t>
  </si>
  <si>
    <t>DCJ205ZS</t>
  </si>
  <si>
    <t>DCJ205ZXL</t>
  </si>
  <si>
    <t>DCL180SY</t>
  </si>
  <si>
    <t>DCL180Z</t>
  </si>
  <si>
    <t>DCL181FZ</t>
  </si>
  <si>
    <t>DCL181FZW</t>
  </si>
  <si>
    <t>DCL182Z</t>
  </si>
  <si>
    <t>DCL184Z</t>
  </si>
  <si>
    <t>DCL184Z-SAMPLE</t>
  </si>
  <si>
    <t>DCL281FRT</t>
  </si>
  <si>
    <t>DCL281FRTW</t>
  </si>
  <si>
    <t>DCL281FZ</t>
  </si>
  <si>
    <t>DCL281FZ-SAMPLE</t>
  </si>
  <si>
    <t>ASPIRADORA INALÁMBRICA LXT 18V</t>
  </si>
  <si>
    <t>DCL281FZW</t>
  </si>
  <si>
    <t>DCL281FZW-SAMPLE</t>
  </si>
  <si>
    <t>DCL283FZB</t>
  </si>
  <si>
    <t>DCL283FZB-SAMPLE</t>
  </si>
  <si>
    <t>DCL283FZW</t>
  </si>
  <si>
    <t>DCL283FZW-SAMPLE</t>
  </si>
  <si>
    <t>DCL286FZB</t>
  </si>
  <si>
    <t>DCL286FZB-SAMPLE</t>
  </si>
  <si>
    <t>DCL286FZW</t>
  </si>
  <si>
    <t>DCL286FZW-SAMPLE</t>
  </si>
  <si>
    <t>DCL500Z</t>
  </si>
  <si>
    <t>DCL501Z</t>
  </si>
  <si>
    <t>DCM500Z</t>
  </si>
  <si>
    <t>CAFETERA INALAMBRICA 18V. - 1 7K.G/ SIN BATERÍAS</t>
  </si>
  <si>
    <t>DCM500Z-SAMPLE</t>
  </si>
  <si>
    <t>DCM501Z</t>
  </si>
  <si>
    <t>DCM501Z-SAMPLE</t>
  </si>
  <si>
    <t>DCO180Z-SAMPLE</t>
  </si>
  <si>
    <t>DCO181Z</t>
  </si>
  <si>
    <t>DCO181Z-SAMPLE</t>
  </si>
  <si>
    <t>CORDLESS CUT-OUT TOOL</t>
  </si>
  <si>
    <t>DCS232T</t>
  </si>
  <si>
    <t>DCS232TC</t>
  </si>
  <si>
    <t>DCS551Z</t>
  </si>
  <si>
    <t>DCS552Z</t>
  </si>
  <si>
    <t>DCS553RTJ</t>
  </si>
  <si>
    <t>DCS553Z</t>
  </si>
  <si>
    <t>DCS7301</t>
  </si>
  <si>
    <t>DCS9010</t>
  </si>
  <si>
    <t>DCU180Z</t>
  </si>
  <si>
    <t>DCU601Z</t>
  </si>
  <si>
    <t>DCU601Z-SAMPLE</t>
  </si>
  <si>
    <t>DCU602Z</t>
  </si>
  <si>
    <t>DCU602Z-SAMPLE</t>
  </si>
  <si>
    <t>DCU603Z</t>
  </si>
  <si>
    <t>B. POWERED WHEELBARROW</t>
  </si>
  <si>
    <t>DCU603Z-SAMPLE</t>
  </si>
  <si>
    <t>DCU604Z</t>
  </si>
  <si>
    <t>DCU604Z-SAMPLE</t>
  </si>
  <si>
    <t>DCU605Z</t>
  </si>
  <si>
    <t>DCU605Z-SAMPLE</t>
  </si>
  <si>
    <t>DCW180Z</t>
  </si>
  <si>
    <t>DCX201CL</t>
  </si>
  <si>
    <t>DCX201CL-SAMPLE</t>
  </si>
  <si>
    <t>BATTERY HEATED BASE LAYER SHIRT</t>
  </si>
  <si>
    <t>DCX201CM</t>
  </si>
  <si>
    <t>DCX201CXL</t>
  </si>
  <si>
    <t>DDA450Z</t>
  </si>
  <si>
    <t>TALADRO ANGULAR 1/2" LXT 18VMAX / 0 - 1.400/ 0 - 350 RPM / BL-XPT / SIN BATERÍAS</t>
  </si>
  <si>
    <t>DDA450Z-SAMPLE</t>
  </si>
  <si>
    <t>TALADRO ANGULAR 18V LXT SIN BATERIAS</t>
  </si>
  <si>
    <t>DDA460PT2</t>
  </si>
  <si>
    <t>DDA460Z</t>
  </si>
  <si>
    <t>TALADRO ANGULAR 1/2" LXT 18VX2 MAX / 0 - 1.400/ 0 - 350 RPM / BL-ADT-XPT / SIN BATERÍAS</t>
  </si>
  <si>
    <t>DDA460ZK</t>
  </si>
  <si>
    <t>DDF083RFE</t>
  </si>
  <si>
    <t>DDF083RTE</t>
  </si>
  <si>
    <t>DDF083Z</t>
  </si>
  <si>
    <t>DDF083Z-SAMPLE</t>
  </si>
  <si>
    <t>DDF453SYE</t>
  </si>
  <si>
    <t>DDF453Z</t>
  </si>
  <si>
    <t>DDF458Z</t>
  </si>
  <si>
    <t>DDF459Z</t>
  </si>
  <si>
    <t>DDF480Z</t>
  </si>
  <si>
    <t>DDF481RTE</t>
  </si>
  <si>
    <t>DDF481Z</t>
  </si>
  <si>
    <t>DDF482Z</t>
  </si>
  <si>
    <t>DDF483RFE</t>
  </si>
  <si>
    <t>DDF483Z</t>
  </si>
  <si>
    <t>DDF483Z-SAMPLE</t>
  </si>
  <si>
    <t>TALADRO PERCUTOR INALAMBRICO S/BATERIA</t>
  </si>
  <si>
    <t>DDF484Z</t>
  </si>
  <si>
    <t>DDF484Z-SAMPLE</t>
  </si>
  <si>
    <t>DDF485Z</t>
  </si>
  <si>
    <t>DDF486Z</t>
  </si>
  <si>
    <t>DDF486Z-SAMPLE</t>
  </si>
  <si>
    <t>DDF487Z</t>
  </si>
  <si>
    <t>TALADRO ATORNILLADOR 1/2" 18V / 40-25 NM / BL - XPT - LXT / SIN BATERÍAS</t>
  </si>
  <si>
    <t>DDF487Z-SAMPLE</t>
  </si>
  <si>
    <t>CORDLESS DRIVER DRILL 18V</t>
  </si>
  <si>
    <t>DDF489RTJ</t>
  </si>
  <si>
    <t>DDF489Z</t>
  </si>
  <si>
    <t>DDF489Z-SAMPLE</t>
  </si>
  <si>
    <t>DDG460ZX4</t>
  </si>
  <si>
    <t>CORDLESS EARTH AUGER</t>
  </si>
  <si>
    <t>DDG460ZX4-SAMPLE</t>
  </si>
  <si>
    <t>DDG461Z</t>
  </si>
  <si>
    <t>DDG461Z-SAMPLE</t>
  </si>
  <si>
    <t>DEAWST05</t>
  </si>
  <si>
    <t>BANCO PARA SIERRA DE INGLETE</t>
  </si>
  <si>
    <t>DEAWST07</t>
  </si>
  <si>
    <t>MITERSAW STAND</t>
  </si>
  <si>
    <t>DF001DW</t>
  </si>
  <si>
    <t>DF001DW-SAMPLE</t>
  </si>
  <si>
    <t>DF001GM201</t>
  </si>
  <si>
    <t>DF001GZ</t>
  </si>
  <si>
    <t>DF002GZ</t>
  </si>
  <si>
    <t>DF002GZ-SAMPLE</t>
  </si>
  <si>
    <t>DF010DSE</t>
  </si>
  <si>
    <t>ATORNILLADOR INALAMBRICO</t>
  </si>
  <si>
    <t>DF012DSE</t>
  </si>
  <si>
    <t>DF0300</t>
  </si>
  <si>
    <t>DF0300-SALMPLE</t>
  </si>
  <si>
    <t>HAMMER DRIVER DRILL</t>
  </si>
  <si>
    <t>DF032DWAE</t>
  </si>
  <si>
    <t>DF032DZ</t>
  </si>
  <si>
    <t>DF032DZ-SAMPLE</t>
  </si>
  <si>
    <t>ATORNILLADOR INALAMBRICO 10.8V S/BATERIA</t>
  </si>
  <si>
    <t>DF033DSMJ</t>
  </si>
  <si>
    <t>DF033DZ</t>
  </si>
  <si>
    <t>DF330DWEW</t>
  </si>
  <si>
    <t>DF330DZW</t>
  </si>
  <si>
    <t>DF331DZ</t>
  </si>
  <si>
    <t>DF332DWAE</t>
  </si>
  <si>
    <t>DF332DZ</t>
  </si>
  <si>
    <t>DF332DZ-SAMPLE</t>
  </si>
  <si>
    <t>DF333DSMJ</t>
  </si>
  <si>
    <t>DF333DZ</t>
  </si>
  <si>
    <t>DF457DWE</t>
  </si>
  <si>
    <t>DF457DZ</t>
  </si>
  <si>
    <t>DF488D004</t>
  </si>
  <si>
    <t>DF488DZ-SAMPLE</t>
  </si>
  <si>
    <t>TALADRO ATORNILLADOE INALAMB.</t>
  </si>
  <si>
    <t>DFJ201ZL</t>
  </si>
  <si>
    <t>DFJ201ZM</t>
  </si>
  <si>
    <t>DFJ203Z2XL</t>
  </si>
  <si>
    <t>DFJ203Z3XL</t>
  </si>
  <si>
    <t>DFJ203ZL</t>
  </si>
  <si>
    <t>DFJ203ZM</t>
  </si>
  <si>
    <t>DFJ203ZS</t>
  </si>
  <si>
    <t>DFJ203ZXL</t>
  </si>
  <si>
    <t>DFJ207Z2X</t>
  </si>
  <si>
    <t>DFJ207Z3X</t>
  </si>
  <si>
    <t>DFJ207ZL</t>
  </si>
  <si>
    <t>DFJ207ZM</t>
  </si>
  <si>
    <t>DFJ207ZS</t>
  </si>
  <si>
    <t>DFJ207ZXL</t>
  </si>
  <si>
    <t>DFJ213ZL</t>
  </si>
  <si>
    <t>DFJ213ZM</t>
  </si>
  <si>
    <t>DFJ213ZXL</t>
  </si>
  <si>
    <t>DFJ214ZL</t>
  </si>
  <si>
    <t>DFJ214ZM</t>
  </si>
  <si>
    <t>DFJ214ZXL</t>
  </si>
  <si>
    <t>DFJ301Z2XL</t>
  </si>
  <si>
    <t>DFJ301Z3XL</t>
  </si>
  <si>
    <t>DFJ301ZL</t>
  </si>
  <si>
    <t>DFJ301ZM</t>
  </si>
  <si>
    <t>CASACA TERMICA TALLA M - S/BATERIA DFJ301ZM</t>
  </si>
  <si>
    <t>DFJ301ZXL</t>
  </si>
  <si>
    <t>DFJ305Z2X</t>
  </si>
  <si>
    <t>DFJ305Z3X</t>
  </si>
  <si>
    <t>DFJ305ZL</t>
  </si>
  <si>
    <t>DFJ305ZM</t>
  </si>
  <si>
    <t>DFJ305ZS</t>
  </si>
  <si>
    <t>DFJ305ZXL</t>
  </si>
  <si>
    <t>DFJ401Z2XL</t>
  </si>
  <si>
    <t>DFJ401ZL</t>
  </si>
  <si>
    <t>DFJ401ZM</t>
  </si>
  <si>
    <t>DFJ401ZS</t>
  </si>
  <si>
    <t>DFJ401ZXL</t>
  </si>
  <si>
    <t>DFJ407Z2X</t>
  </si>
  <si>
    <t>DFJ407Z3X</t>
  </si>
  <si>
    <t>DFJ407ZL</t>
  </si>
  <si>
    <t>DFJ407ZM</t>
  </si>
  <si>
    <t>DFJ407ZXL</t>
  </si>
  <si>
    <t>DFL020FZ</t>
  </si>
  <si>
    <t>DFL020FZ-SAMPLE</t>
  </si>
  <si>
    <t>CORDLESS ANGLE SCREWDRIVER</t>
  </si>
  <si>
    <t>DFL063FZ</t>
  </si>
  <si>
    <t>DFL063FZ-SAMPLE</t>
  </si>
  <si>
    <t>DFL650FZ</t>
  </si>
  <si>
    <t>DFN350Z</t>
  </si>
  <si>
    <t>DFN350Z-SAMPLE</t>
  </si>
  <si>
    <t>ATORNILLADOR INALAMBRICO 35MM</t>
  </si>
  <si>
    <t>DFR452Z</t>
  </si>
  <si>
    <t>DFR452Z-SAMPLE</t>
  </si>
  <si>
    <t>CORDLESS AUTO FEED SCREWDRIVER</t>
  </si>
  <si>
    <t>DFR551Z</t>
  </si>
  <si>
    <t>DFR551Z-SAMPLE</t>
  </si>
  <si>
    <t>DFS250Z</t>
  </si>
  <si>
    <t>DFS250Z-SAMPLE</t>
  </si>
  <si>
    <t>DFS251Z</t>
  </si>
  <si>
    <t>DFS251Z-SAMPLE</t>
  </si>
  <si>
    <t>DFS452RFE</t>
  </si>
  <si>
    <t>DFS452Z</t>
  </si>
  <si>
    <t>DFT024FMZ</t>
  </si>
  <si>
    <t>DFT024FMZ-SAMPLE</t>
  </si>
  <si>
    <t>CORDLESS SCREWDRIVER</t>
  </si>
  <si>
    <t>DFT025FMZ</t>
  </si>
  <si>
    <t>DFT025FMZ-SAMPLE</t>
  </si>
  <si>
    <t>DFT060FMZ</t>
  </si>
  <si>
    <t>DFT060FMZ-SAMPLE</t>
  </si>
  <si>
    <t>DFT060TMZ-SAMPLE</t>
  </si>
  <si>
    <t>DFT120TMZ-SAMPLE</t>
  </si>
  <si>
    <t>DFV214A01</t>
  </si>
  <si>
    <t>CHALECO VENTILADOR 12V - 18V / BL/XPT/ 4 NIV. DE TEMP + TURBO / TALLA S-L / SIN BATERÍAS</t>
  </si>
  <si>
    <t>DFV214A02</t>
  </si>
  <si>
    <t>CHALECO VENTILADOR 12V - 18V / BL/XPT/ 4 NIV. DE TEMP + TURBO / TALLA XL-XXL / SIN BATERÍAS</t>
  </si>
  <si>
    <t>DFV215A02</t>
  </si>
  <si>
    <t>DFV215A03</t>
  </si>
  <si>
    <t>DG001GZ02</t>
  </si>
  <si>
    <t>DG001GZ02-SAMPLE</t>
  </si>
  <si>
    <t>DG002GZ</t>
  </si>
  <si>
    <t>DG002GZ-SAMPLE</t>
  </si>
  <si>
    <t>DGA452RFE</t>
  </si>
  <si>
    <t>DGA452Z</t>
  </si>
  <si>
    <t>DGA454Z-SAMPLE</t>
  </si>
  <si>
    <t>DGA455RTJ1</t>
  </si>
  <si>
    <t>DGA455Z</t>
  </si>
  <si>
    <t>DGA456Z</t>
  </si>
  <si>
    <t>DGA458RME</t>
  </si>
  <si>
    <t>DGA458RTE</t>
  </si>
  <si>
    <t>ESMERIL ANGULAR 4-1/2"  18V / 8 500 RPM / BL  XPT / HOMBRE MUERTO/ F.E. / 2 X 5.0AH</t>
  </si>
  <si>
    <t>DGA458RTJ</t>
  </si>
  <si>
    <t>DGA458Z</t>
  </si>
  <si>
    <t>DGA467Z</t>
  </si>
  <si>
    <t>DGA468Z</t>
  </si>
  <si>
    <t>DGA468ZU</t>
  </si>
  <si>
    <t>DGA469RTJ</t>
  </si>
  <si>
    <t>DGA469Z</t>
  </si>
  <si>
    <t>DGA469Z-SAMPLE</t>
  </si>
  <si>
    <t>115MM ANGLE GRINDER</t>
  </si>
  <si>
    <t>DGA700RT2</t>
  </si>
  <si>
    <t>DGA700Z</t>
  </si>
  <si>
    <t>DGA701Z</t>
  </si>
  <si>
    <t>DGA900RT2</t>
  </si>
  <si>
    <t>DGA900Z</t>
  </si>
  <si>
    <t>DGA901Z</t>
  </si>
  <si>
    <t>DGD800Z</t>
  </si>
  <si>
    <t>DGD801Z</t>
  </si>
  <si>
    <t>PISTOLA ENGRASADORA 18V / 10 000 PSI - 2 VEL.  / BL1850B(X1) + DC18RC</t>
  </si>
  <si>
    <t>DGP180ZB</t>
  </si>
  <si>
    <t>DGP180ZB-SAMPLE</t>
  </si>
  <si>
    <t>DHG181ZK</t>
  </si>
  <si>
    <t>DHG181ZK-SAMPLE</t>
  </si>
  <si>
    <t>CORDLESS HEAT GUN</t>
  </si>
  <si>
    <t>DHK180RTJ</t>
  </si>
  <si>
    <t>DESQUINCHADOR 18V / SDS PLUS / 3.1 JOULES / 10MM / BL - AVT - XPT / 2 X 5.0AH</t>
  </si>
  <si>
    <t>DHK180Z</t>
  </si>
  <si>
    <t>DHK180Z-SAMPLE</t>
  </si>
  <si>
    <t>CORDLESS POWER SCRAPER</t>
  </si>
  <si>
    <t>DHP453SFE</t>
  </si>
  <si>
    <t>DHP453SHE</t>
  </si>
  <si>
    <t>DHP453SYE</t>
  </si>
  <si>
    <t>DHP453X10</t>
  </si>
  <si>
    <t>DHP453Z</t>
  </si>
  <si>
    <t>DHP456RFE</t>
  </si>
  <si>
    <t>DHP456Z</t>
  </si>
  <si>
    <t>DHP458RFE</t>
  </si>
  <si>
    <t>DHP458RFE3</t>
  </si>
  <si>
    <t>DHP458Z</t>
  </si>
  <si>
    <t>DHP459RFE3</t>
  </si>
  <si>
    <t>DHP459Z</t>
  </si>
  <si>
    <t>DHP480Z</t>
  </si>
  <si>
    <t>DHP481RFE</t>
  </si>
  <si>
    <t>DHP481RTE</t>
  </si>
  <si>
    <t>DHP481Z</t>
  </si>
  <si>
    <t>DHP482RME</t>
  </si>
  <si>
    <t>DHP482Y002</t>
  </si>
  <si>
    <t>DHP482Z</t>
  </si>
  <si>
    <t>DHP483RFE</t>
  </si>
  <si>
    <t>DHP483Z-SAMPLE</t>
  </si>
  <si>
    <t>TALADRO PERCUTOR INALAMBRICO S/BATERIA DHP483Z-SAMPLE</t>
  </si>
  <si>
    <t>DHP484Z</t>
  </si>
  <si>
    <t>DHP484Z-SAMPLE</t>
  </si>
  <si>
    <t>DHP485F002</t>
  </si>
  <si>
    <t>DHP485Z</t>
  </si>
  <si>
    <t>DHP486RFE</t>
  </si>
  <si>
    <t>DHP486RTE</t>
  </si>
  <si>
    <t>DHP486Z</t>
  </si>
  <si>
    <t>DHP486Z-SAMPLE</t>
  </si>
  <si>
    <t>DHP487F001</t>
  </si>
  <si>
    <t>DHP487SF</t>
  </si>
  <si>
    <t>DHP487SYX2</t>
  </si>
  <si>
    <t>DHP487YX2B</t>
  </si>
  <si>
    <t>DHP487Z</t>
  </si>
  <si>
    <t>DHP487Z-SAMPLE</t>
  </si>
  <si>
    <t>DHP489RFJ</t>
  </si>
  <si>
    <t>DHP489RTJ</t>
  </si>
  <si>
    <t>TALADRO PERCUTOR 1/2" LXT 18V / 2 VEL. / 70-36 NM / BL-XPT / 2 X 5.0AH + C. RÁPIDO + MAKPAC</t>
  </si>
  <si>
    <t>DHP489Z</t>
  </si>
  <si>
    <t>DHP489Z-SAMPLE</t>
  </si>
  <si>
    <t>TALADRO PERCUTOR 1/2"" LXT 18V / 2 VEL. / 70-36 NM / BL-XPT / SIN BATERÍAS</t>
  </si>
  <si>
    <t>DHR165RFE</t>
  </si>
  <si>
    <t>DHR165Z</t>
  </si>
  <si>
    <t>DHR171Z</t>
  </si>
  <si>
    <t>DHR182RTJ</t>
  </si>
  <si>
    <t>DHR182Z</t>
  </si>
  <si>
    <t>DHR182Z-SAMPLE</t>
  </si>
  <si>
    <t>ROTOMARTILLO INAL. 18V /SDS-PLUS / 18MM S/BATERIA</t>
  </si>
  <si>
    <t>DHR183Z</t>
  </si>
  <si>
    <t>DHR183Z-SAMPLE</t>
  </si>
  <si>
    <t>DHR202Z</t>
  </si>
  <si>
    <t>DHR241RFE</t>
  </si>
  <si>
    <t>DHR241SYE</t>
  </si>
  <si>
    <t>DHR241Z</t>
  </si>
  <si>
    <t>DHR242RFE</t>
  </si>
  <si>
    <t>DHR242Z</t>
  </si>
  <si>
    <t>DHR263Z</t>
  </si>
  <si>
    <t>DHR280PT2J</t>
  </si>
  <si>
    <t>DHR280Z</t>
  </si>
  <si>
    <t>DHR280Z-SAMPLE</t>
  </si>
  <si>
    <t>ROTOMARTILLO COMBINADO INALAMBRICO 28MM</t>
  </si>
  <si>
    <t>DHR400ZK</t>
  </si>
  <si>
    <t>ROTOMARTILLO COMBINADO INALAMBRICO</t>
  </si>
  <si>
    <t>DHR400ZKN</t>
  </si>
  <si>
    <t>DHS660Z</t>
  </si>
  <si>
    <t>DHS661Z</t>
  </si>
  <si>
    <t>DHS680Z</t>
  </si>
  <si>
    <t>DHS680Z-SAMPLE</t>
  </si>
  <si>
    <t>DHS710Z</t>
  </si>
  <si>
    <t>DHS782PT2J</t>
  </si>
  <si>
    <t>DHS782Z</t>
  </si>
  <si>
    <t>DHS782Z-SAMPLE</t>
  </si>
  <si>
    <t>DHS783PT2J</t>
  </si>
  <si>
    <t>DHS783Z</t>
  </si>
  <si>
    <t>DHS783Z-SAMPLE</t>
  </si>
  <si>
    <t>DHS900Z</t>
  </si>
  <si>
    <t>DHS900Z-SAMPLE</t>
  </si>
  <si>
    <t>235MM CIRCULAR SAW</t>
  </si>
  <si>
    <t>DHS901Z</t>
  </si>
  <si>
    <t>DHS901Z-SAMPLE</t>
  </si>
  <si>
    <t>DHW080PT2</t>
  </si>
  <si>
    <t>DHW080ZK</t>
  </si>
  <si>
    <t>DHW080ZK-SAMPLE</t>
  </si>
  <si>
    <t>DC HIGH PRESSURE WASHER</t>
  </si>
  <si>
    <t>DHW180Z01</t>
  </si>
  <si>
    <t>DJN161Z</t>
  </si>
  <si>
    <t>DJR182Z</t>
  </si>
  <si>
    <t>DJR183Z</t>
  </si>
  <si>
    <t>DJR186RTE</t>
  </si>
  <si>
    <t>DJR186Z</t>
  </si>
  <si>
    <t>DJR187Z</t>
  </si>
  <si>
    <t>DJR187Z-SAMPLE</t>
  </si>
  <si>
    <t>CORDLESS RECIPRO SAW</t>
  </si>
  <si>
    <t>DJR188Z</t>
  </si>
  <si>
    <t>DJR188Z-SAMPLE</t>
  </si>
  <si>
    <t>DJR189Z</t>
  </si>
  <si>
    <t>DJR189Z-SAMPLE</t>
  </si>
  <si>
    <t>DJR360Z</t>
  </si>
  <si>
    <t>DJS161Z</t>
  </si>
  <si>
    <t>DJV182Z</t>
  </si>
  <si>
    <t>DJV184RTJ</t>
  </si>
  <si>
    <t>DJV184Z</t>
  </si>
  <si>
    <t>DJV184Z-SAMPLE</t>
  </si>
  <si>
    <t>CORDLESS JIG SAW</t>
  </si>
  <si>
    <t>DJV185Z</t>
  </si>
  <si>
    <t>DJV185Z-SAMPLE</t>
  </si>
  <si>
    <t>SIERRA CALADORA DE MANO LXT 18V SIN CARBONES / 23MM CARRERA / BL-F.E.-SOFT-XPT / SIN BATERÍAS</t>
  </si>
  <si>
    <t>DK1149X1</t>
  </si>
  <si>
    <t>DK1202W</t>
  </si>
  <si>
    <t>DK1496WX</t>
  </si>
  <si>
    <t>DKP180Z</t>
  </si>
  <si>
    <t>DKP181Z</t>
  </si>
  <si>
    <t>DKP181Z-SAMPLE</t>
  </si>
  <si>
    <t>DKP181ZU</t>
  </si>
  <si>
    <t>DKT360Z</t>
  </si>
  <si>
    <t>HERVIDOR INALAMBRICO</t>
  </si>
  <si>
    <t>DKT360Z-SAMPLE</t>
  </si>
  <si>
    <t>CORDLESS KETTLE</t>
  </si>
  <si>
    <t>DLM330Z</t>
  </si>
  <si>
    <t>DLM330Z-SAMPLE</t>
  </si>
  <si>
    <t>DLM380RF2</t>
  </si>
  <si>
    <t>DLM380Z</t>
  </si>
  <si>
    <t>DLM382Z</t>
  </si>
  <si>
    <t>DLM382Z-SAMPLE</t>
  </si>
  <si>
    <t>430MM LAWN MOWER</t>
  </si>
  <si>
    <t>DLM431CT2</t>
  </si>
  <si>
    <t>DLM431PT2</t>
  </si>
  <si>
    <t>DLM431Z</t>
  </si>
  <si>
    <t>DLM432Z</t>
  </si>
  <si>
    <t>DLM432Z-SAMPLE</t>
  </si>
  <si>
    <t>DLM460Z</t>
  </si>
  <si>
    <t>DLM462Z</t>
  </si>
  <si>
    <t>DLM462Z-SAMPLE</t>
  </si>
  <si>
    <t>460MM LAWN MOWER</t>
  </si>
  <si>
    <t>DLM480Z</t>
  </si>
  <si>
    <t>DLM480Z-SAMPLE</t>
  </si>
  <si>
    <t>DLM530Z</t>
  </si>
  <si>
    <t>DLM530Z-SAMPLE</t>
  </si>
  <si>
    <t>530MM LAWN MOWER</t>
  </si>
  <si>
    <t>DLM532Z</t>
  </si>
  <si>
    <t>DLM532Z-SAMPLE</t>
  </si>
  <si>
    <t>DLM533Z</t>
  </si>
  <si>
    <t>DLM539Z-SAMPLE</t>
  </si>
  <si>
    <t>DLS111PT2U</t>
  </si>
  <si>
    <t>DLS111Z</t>
  </si>
  <si>
    <t>DLS111ZU</t>
  </si>
  <si>
    <t>DLS211Z</t>
  </si>
  <si>
    <t>DLS212PT2</t>
  </si>
  <si>
    <t>DLS212Z</t>
  </si>
  <si>
    <t>DLS212Z-SAMPLE</t>
  </si>
  <si>
    <t>DLS600Z</t>
  </si>
  <si>
    <t>DLS714PM2</t>
  </si>
  <si>
    <t>DLS714Z</t>
  </si>
  <si>
    <t>DLS714Z-SAMPLE</t>
  </si>
  <si>
    <t>DLW140Z</t>
  </si>
  <si>
    <t>DLX2005X2</t>
  </si>
  <si>
    <t>DLX2097PMJ</t>
  </si>
  <si>
    <t>DLX2164X</t>
  </si>
  <si>
    <t>DLX2283S</t>
  </si>
  <si>
    <t>DLX2336SYX</t>
  </si>
  <si>
    <t>DLX2394J</t>
  </si>
  <si>
    <t>DLX2414X7B</t>
  </si>
  <si>
    <t>DMC300Z</t>
  </si>
  <si>
    <t>DMC300Z-SAMPLE</t>
  </si>
  <si>
    <t>CUT OFF WHEEL×1  DIAMOND WHEEL×1  TUNGSTEN CARBIDE GRID WHEEL×1  DUST COLLECT COVER ATTACHMENT×1</t>
  </si>
  <si>
    <t>DML185</t>
  </si>
  <si>
    <t>LINTERNA BULBO LXT INALAMBRICA 18V - 180 LÚMENES</t>
  </si>
  <si>
    <t>DML186</t>
  </si>
  <si>
    <t>DML533Z-SAMPLE</t>
  </si>
  <si>
    <t>530MM  LAWN MOWER</t>
  </si>
  <si>
    <t>DML800</t>
  </si>
  <si>
    <t>DML801</t>
  </si>
  <si>
    <t>DML802</t>
  </si>
  <si>
    <t>DML803</t>
  </si>
  <si>
    <t>DML805</t>
  </si>
  <si>
    <t>REFLECTOR 18V /2  NIVELES / 750 LMS MAX / LXT - IP65</t>
  </si>
  <si>
    <t>DML806</t>
  </si>
  <si>
    <t>DML807</t>
  </si>
  <si>
    <t>DML808</t>
  </si>
  <si>
    <t>DML809</t>
  </si>
  <si>
    <t>REFLECTOR 18X2=36V / 3 NIVELES / 10 000 LMS MAX / LXT - IP65</t>
  </si>
  <si>
    <t>DML809-SAMPLE</t>
  </si>
  <si>
    <t>CORDLESS WORKLIGHT</t>
  </si>
  <si>
    <t>DML810</t>
  </si>
  <si>
    <t>DML810-SAMPLE</t>
  </si>
  <si>
    <t>LAMPARA INALAMBRICA 18V</t>
  </si>
  <si>
    <t>DML811</t>
  </si>
  <si>
    <t>DML811-SAMPLE</t>
  </si>
  <si>
    <t>DML812</t>
  </si>
  <si>
    <t>DML812-SAMPLE</t>
  </si>
  <si>
    <t>CORDLESS FLASHLIGHT</t>
  </si>
  <si>
    <t>DML814</t>
  </si>
  <si>
    <t>DML814-SAMPLE</t>
  </si>
  <si>
    <t>DML815</t>
  </si>
  <si>
    <t>DML815-SAMPLE</t>
  </si>
  <si>
    <t>DML817</t>
  </si>
  <si>
    <t>DML817-SAMPLE</t>
  </si>
  <si>
    <t>DML818</t>
  </si>
  <si>
    <t>DMP180Z</t>
  </si>
  <si>
    <t>DMP180Z-SAMPLE</t>
  </si>
  <si>
    <t>INFLAFOR INALAMBRICO 18V.</t>
  </si>
  <si>
    <t>DMP181Z</t>
  </si>
  <si>
    <t>DMP181Z-SAMPLE</t>
  </si>
  <si>
    <t>DMR055</t>
  </si>
  <si>
    <t>DMR055-SAMPLE</t>
  </si>
  <si>
    <t>CORDLESS RADIO WITH LANTERN</t>
  </si>
  <si>
    <t>DMR057</t>
  </si>
  <si>
    <t>DMR057-SAMPLE</t>
  </si>
  <si>
    <t>DMR106</t>
  </si>
  <si>
    <t>RADIO MAKITA JOB SITE 18V.</t>
  </si>
  <si>
    <t>DMR114-SAMPLE</t>
  </si>
  <si>
    <t>JOB SITE RADIO</t>
  </si>
  <si>
    <t>DMR200</t>
  </si>
  <si>
    <t>DMR201</t>
  </si>
  <si>
    <t>DMR202</t>
  </si>
  <si>
    <t>DMR203</t>
  </si>
  <si>
    <t>DMR203-SAMPLE</t>
  </si>
  <si>
    <t>CORDLESS JOB SITE</t>
  </si>
  <si>
    <t>DMR300</t>
  </si>
  <si>
    <t>DP0500Z-SAMPLE</t>
  </si>
  <si>
    <t>DP2010</t>
  </si>
  <si>
    <t>DP4000</t>
  </si>
  <si>
    <t>DP4020</t>
  </si>
  <si>
    <t>DP4020-SAMPLE</t>
  </si>
  <si>
    <t>DP4700</t>
  </si>
  <si>
    <t>DPB181Z</t>
  </si>
  <si>
    <t>DPB182Z</t>
  </si>
  <si>
    <t>DPB182Z-SAMPLE</t>
  </si>
  <si>
    <t>DPB183Z</t>
  </si>
  <si>
    <t>DPB183Z-SAMPLE</t>
  </si>
  <si>
    <t>CORDLESS PORTABLE BAND SAW.</t>
  </si>
  <si>
    <t>DPJ180Z</t>
  </si>
  <si>
    <t>DPO500Z</t>
  </si>
  <si>
    <t>DPP200ZK</t>
  </si>
  <si>
    <t>DPT353Z</t>
  </si>
  <si>
    <t>DPT353Z-SAMPLE</t>
  </si>
  <si>
    <t>DPV300Z</t>
  </si>
  <si>
    <t>DPV300Z-SAMPLE</t>
  </si>
  <si>
    <t>DRC200Z</t>
  </si>
  <si>
    <t>DRC300Z</t>
  </si>
  <si>
    <t>DRC300Z-SAMPLE</t>
  </si>
  <si>
    <t>DRS780Z</t>
  </si>
  <si>
    <t>DRS780Z-SAMPLE</t>
  </si>
  <si>
    <t>DESBROZADORA INALAMBRICA 185MM S/BATERIA</t>
  </si>
  <si>
    <t>DRT50Z</t>
  </si>
  <si>
    <t>DRT50Z-SAMPLE</t>
  </si>
  <si>
    <t>DESBROZADORA INALAMBRICA S/BATERIA</t>
  </si>
  <si>
    <t>DRT50ZJX3</t>
  </si>
  <si>
    <t>DRT50ZJX9</t>
  </si>
  <si>
    <t>DRT52Z</t>
  </si>
  <si>
    <t>DRV150Z</t>
  </si>
  <si>
    <t>DRV150Z-SAMPLE</t>
  </si>
  <si>
    <t>CORDLESS RIVET GUN</t>
  </si>
  <si>
    <t>DRV250Z</t>
  </si>
  <si>
    <t>DRV250Z-SAMPLE</t>
  </si>
  <si>
    <t>DS4000</t>
  </si>
  <si>
    <t>DS4012</t>
  </si>
  <si>
    <t>DS5000</t>
  </si>
  <si>
    <t>DSC102Z</t>
  </si>
  <si>
    <t>DSC121ZK</t>
  </si>
  <si>
    <t>DSC191Z</t>
  </si>
  <si>
    <t>DSC191Z-SAMPLE</t>
  </si>
  <si>
    <t>CORTADORA DE VARILLA DE ACERO INALAMBRICA 18 V</t>
  </si>
  <si>
    <t>DSC250ZK</t>
  </si>
  <si>
    <t>DSC251ZK</t>
  </si>
  <si>
    <t>DSD180Z</t>
  </si>
  <si>
    <t>DSD180Z-SAMPLE</t>
  </si>
  <si>
    <t>CORTADORA DE DRYWALL INALAMBRICA 18V. S/BATERIA</t>
  </si>
  <si>
    <t>DSL800Z</t>
  </si>
  <si>
    <t>DSL800Z-SAMPLE</t>
  </si>
  <si>
    <t>DSL801Z</t>
  </si>
  <si>
    <t>DSL801Z-SAMPLE</t>
  </si>
  <si>
    <t>225MM CORDLESS DRYWALL SANDER</t>
  </si>
  <si>
    <t>DSP600Z</t>
  </si>
  <si>
    <t>DSP601Z</t>
  </si>
  <si>
    <t>DSS501Z</t>
  </si>
  <si>
    <t>DST221RFE</t>
  </si>
  <si>
    <t>DST221Z</t>
  </si>
  <si>
    <t>DTC100ZK-SAMPLE</t>
  </si>
  <si>
    <t>CORDLESS CABLE CUTTER</t>
  </si>
  <si>
    <t>DTD146Z</t>
  </si>
  <si>
    <t>DTD147RFE</t>
  </si>
  <si>
    <t>DTD148RFE</t>
  </si>
  <si>
    <t>DTD148Z-SAMPLE</t>
  </si>
  <si>
    <t>DTD152Z</t>
  </si>
  <si>
    <t>DTD153Z</t>
  </si>
  <si>
    <t>DTD154Z</t>
  </si>
  <si>
    <t>DTD154Z-SAMPLE</t>
  </si>
  <si>
    <t>DTD155RFE</t>
  </si>
  <si>
    <t>DTD155Z</t>
  </si>
  <si>
    <t>DTD155Z-SAMPLE</t>
  </si>
  <si>
    <t>ATORNILLADOR DE IMPACTO INALAMBRICO 18V. S/BATERIA</t>
  </si>
  <si>
    <t>DTD156RT1J</t>
  </si>
  <si>
    <t>DTD156Z</t>
  </si>
  <si>
    <t>DTD156Z-SAMPLE</t>
  </si>
  <si>
    <t>DTD157Z</t>
  </si>
  <si>
    <t>DTD157Z-SAMPLE</t>
  </si>
  <si>
    <t>DTD170Z</t>
  </si>
  <si>
    <t>DTD170Z-SAMPLE</t>
  </si>
  <si>
    <t>DTD171Z</t>
  </si>
  <si>
    <t>DTD171Z-SAMPLE</t>
  </si>
  <si>
    <t>DTD172RTJ</t>
  </si>
  <si>
    <t>DTD172Z</t>
  </si>
  <si>
    <t>DTD172Z-SAMPLE</t>
  </si>
  <si>
    <t>CORDLESS IMPACT DRIVER</t>
  </si>
  <si>
    <t>DTM50Z</t>
  </si>
  <si>
    <t>DTM51RFEX1</t>
  </si>
  <si>
    <t>DTM51Z</t>
  </si>
  <si>
    <t>DTM51ZX1</t>
  </si>
  <si>
    <t>DTM52Z</t>
  </si>
  <si>
    <t>DTM52Z-SAMPLE</t>
  </si>
  <si>
    <t>DTP141Z</t>
  </si>
  <si>
    <t>DTR180Z</t>
  </si>
  <si>
    <t>DTR180ZJ</t>
  </si>
  <si>
    <t>DTR181Z</t>
  </si>
  <si>
    <t>DTR181Z-SAMPLE</t>
  </si>
  <si>
    <t>CORDLESS REBAR TYING TOOL.</t>
  </si>
  <si>
    <t>DTS141Z</t>
  </si>
  <si>
    <t>DTW1001RTJ</t>
  </si>
  <si>
    <t>DTW1001Z</t>
  </si>
  <si>
    <t>DTW1001Z-SAMPLE</t>
  </si>
  <si>
    <t>DTW1002RFJ</t>
  </si>
  <si>
    <t>DTW1002RTJ</t>
  </si>
  <si>
    <t>DTW1002Z</t>
  </si>
  <si>
    <t>DTW1004Z</t>
  </si>
  <si>
    <t>LLAVE DE IMPACTO 1/2" / 18V / 3 VEL. / 1 050 NM / BL - LXT / CON PASADOR/ SIN BATERÍAS</t>
  </si>
  <si>
    <t>DTW180RFE</t>
  </si>
  <si>
    <t>DTW180Z</t>
  </si>
  <si>
    <t>DTW180Z-SAMPLE</t>
  </si>
  <si>
    <t>DTW181RFJ</t>
  </si>
  <si>
    <t>DTW181Z</t>
  </si>
  <si>
    <t>DTW190RFE</t>
  </si>
  <si>
    <t>DTW190RTE</t>
  </si>
  <si>
    <t>DTW190Z</t>
  </si>
  <si>
    <t>DTW251Z</t>
  </si>
  <si>
    <t>DTW285RFE</t>
  </si>
  <si>
    <t>DTW285RTJX</t>
  </si>
  <si>
    <t>DTW285Z</t>
  </si>
  <si>
    <t>DTW300RTJ</t>
  </si>
  <si>
    <t>DTW300TJX3</t>
  </si>
  <si>
    <t>DTW300Z</t>
  </si>
  <si>
    <t>DTW300Z-SAMPLE</t>
  </si>
  <si>
    <t>DTW450Z</t>
  </si>
  <si>
    <t>DTW700Z</t>
  </si>
  <si>
    <t>DTW700Z-SAMPLE</t>
  </si>
  <si>
    <t>LLAVE DE IMPACTO</t>
  </si>
  <si>
    <t>DTW701Z</t>
  </si>
  <si>
    <t>LLAVE DE IMPACTO BL 18V LXT 1/2” 700 NM</t>
  </si>
  <si>
    <t>DTW701Z-SAMPLE</t>
  </si>
  <si>
    <t>DTW800Z</t>
  </si>
  <si>
    <t>DUA200Z01</t>
  </si>
  <si>
    <t>PODADORA TELESCÓPICA 12" / 18+18V / 2.5 - 3.8 M / LXT / BL / AFT / XPT (SIN BATERÍAS/CARGADOR)</t>
  </si>
  <si>
    <t>DUA301ZB</t>
  </si>
  <si>
    <t>DUA301ZB-SAMPLE</t>
  </si>
  <si>
    <t>DUB182Z</t>
  </si>
  <si>
    <t>DUB184RT</t>
  </si>
  <si>
    <t>DUB184Z</t>
  </si>
  <si>
    <t>DUB184Z-SAMPLE</t>
  </si>
  <si>
    <t>DUB185Z</t>
  </si>
  <si>
    <t>SOPLADORA INAL.  3.1M3/MIN 18V LXT (SIN BATERIA/CARGADOR)</t>
  </si>
  <si>
    <t>DUB185Z-SAMPLE</t>
  </si>
  <si>
    <t>DUB185ZX2</t>
  </si>
  <si>
    <t>DUB187Z</t>
  </si>
  <si>
    <t>DUB187Z-SAMPLE</t>
  </si>
  <si>
    <t>DUB361Z</t>
  </si>
  <si>
    <t>DUB362PT4X</t>
  </si>
  <si>
    <t>DUB362RM2</t>
  </si>
  <si>
    <t>DUB362Z</t>
  </si>
  <si>
    <t>DUB363PT2V</t>
  </si>
  <si>
    <t>DUB363ZV</t>
  </si>
  <si>
    <t>DUB363ZV-SAMPLE</t>
  </si>
  <si>
    <t>CORDLESS BLOWER</t>
  </si>
  <si>
    <t>DUC101Z-SAMPLE</t>
  </si>
  <si>
    <t>CODELESS PRUNING SAW</t>
  </si>
  <si>
    <t>DUC101Z01</t>
  </si>
  <si>
    <t>DUC252Z</t>
  </si>
  <si>
    <t>DUC254Z</t>
  </si>
  <si>
    <t>DUC256Z</t>
  </si>
  <si>
    <t>DUC256Z-SAMPLE</t>
  </si>
  <si>
    <t>CORDLESS CHAINSAW</t>
  </si>
  <si>
    <t>DUC302Z</t>
  </si>
  <si>
    <t>DUC306Z</t>
  </si>
  <si>
    <t>DUC306Z-SAMPLE</t>
  </si>
  <si>
    <t>DUC353ZB-SAMPLE</t>
  </si>
  <si>
    <t>DUC400Z</t>
  </si>
  <si>
    <t>DUC405Z</t>
  </si>
  <si>
    <t>DUC406PT2</t>
  </si>
  <si>
    <t>DUC406Z</t>
  </si>
  <si>
    <t>DUC406Z-SAMPLE</t>
  </si>
  <si>
    <t>DUC407RGX3</t>
  </si>
  <si>
    <t>400MM CORDLESS CHAINSAW</t>
  </si>
  <si>
    <t>DUC407ZX3</t>
  </si>
  <si>
    <t>DUC407ZX3-SAMPLE</t>
  </si>
  <si>
    <t>DUH523Z</t>
  </si>
  <si>
    <t>CORTASETOS INAL. 520 MM 18V LXT XPT (SIN BATERIA/CARGADOR)</t>
  </si>
  <si>
    <t>DUH551Z</t>
  </si>
  <si>
    <t>DUH602RT</t>
  </si>
  <si>
    <t>DUH602Z</t>
  </si>
  <si>
    <t>DUH602Z-SAMPLE</t>
  </si>
  <si>
    <t>CORTASETOS INALAMBRICA 600MM</t>
  </si>
  <si>
    <t>DUH604SZ</t>
  </si>
  <si>
    <t>DUH604SZ-SAMPLE</t>
  </si>
  <si>
    <t>CORDLESS HEDGE</t>
  </si>
  <si>
    <t>DUH606Z</t>
  </si>
  <si>
    <t>DUH606Z-SAMPLE</t>
  </si>
  <si>
    <t>DUH607Z</t>
  </si>
  <si>
    <t>DUH607Z-SAMPLE</t>
  </si>
  <si>
    <t>DUH751CTE</t>
  </si>
  <si>
    <t>DUH751Z</t>
  </si>
  <si>
    <t>DUH751Z-SAMPLE</t>
  </si>
  <si>
    <t>DUH752RT</t>
  </si>
  <si>
    <t>DUH752Z</t>
  </si>
  <si>
    <t>DUH754SZ</t>
  </si>
  <si>
    <t>DUH754SZ-SAMPLE</t>
  </si>
  <si>
    <t>DUM111SYX</t>
  </si>
  <si>
    <t>DUM111ZX-SAMPLE</t>
  </si>
  <si>
    <t>GRASS SHEAR</t>
  </si>
  <si>
    <t>DUM604Z</t>
  </si>
  <si>
    <t>DUM604Z-SAMPLE</t>
  </si>
  <si>
    <t>DUMMY</t>
  </si>
  <si>
    <t>DUN461WZ</t>
  </si>
  <si>
    <t>DUN461WZ-SAMPLE</t>
  </si>
  <si>
    <t>POLE HEDGE TRIMMER</t>
  </si>
  <si>
    <t>DUN500WZ</t>
  </si>
  <si>
    <t>DUN500WZ-SAMPLE</t>
  </si>
  <si>
    <t>DUP180Z</t>
  </si>
  <si>
    <t>DUP180Z-SAMPLE</t>
  </si>
  <si>
    <t>CORDLESS PRUNING SHEARS</t>
  </si>
  <si>
    <t>DUP361RM2N</t>
  </si>
  <si>
    <t>DUP361Z</t>
  </si>
  <si>
    <t>DUP361ZN</t>
  </si>
  <si>
    <t>DUP362Z</t>
  </si>
  <si>
    <t>DUP362Z-SAMPLE</t>
  </si>
  <si>
    <t>BATTERY POWERED PRUNING SHEARS</t>
  </si>
  <si>
    <t>DUR181Z</t>
  </si>
  <si>
    <t>DUR182LRF</t>
  </si>
  <si>
    <t>DUR182LZ</t>
  </si>
  <si>
    <t>DUR182UZ</t>
  </si>
  <si>
    <t>DUR184LZ</t>
  </si>
  <si>
    <t>DUR187LRFE</t>
  </si>
  <si>
    <t>DUR187LZ</t>
  </si>
  <si>
    <t>DUR187LZ-SAMPLE</t>
  </si>
  <si>
    <t>DESBROZADORA INALAMBRICA 18V.</t>
  </si>
  <si>
    <t>DUR187UZ</t>
  </si>
  <si>
    <t>DUR189RFE</t>
  </si>
  <si>
    <t>DUR189Z</t>
  </si>
  <si>
    <t>DUR190LZX3-SAMPLE</t>
  </si>
  <si>
    <t>CORDLESS BRUSH CUTTER</t>
  </si>
  <si>
    <t>DUR190UZX3</t>
  </si>
  <si>
    <t>DUR190UZX3-SAMPLE</t>
  </si>
  <si>
    <t>CORDLESS BRUSH CUTTER 18V.</t>
  </si>
  <si>
    <t>DUR192LSF</t>
  </si>
  <si>
    <t>DUR192LZ-SAMPLE</t>
  </si>
  <si>
    <t>CORDLESS GRASS TRIMMER</t>
  </si>
  <si>
    <t>DUR193Z</t>
  </si>
  <si>
    <t>DESBROZADORA MANILLAR D INAL. 18V 280W LXT (SIN BATERIA/CARGADOR)</t>
  </si>
  <si>
    <t>DUR193Z-SAMPLE</t>
  </si>
  <si>
    <t>DUR194SFX2</t>
  </si>
  <si>
    <t>DUR194ZX3</t>
  </si>
  <si>
    <t>DUR194ZX3-SAMPLE</t>
  </si>
  <si>
    <t>DUR361URF2</t>
  </si>
  <si>
    <t>DUR361UZ</t>
  </si>
  <si>
    <t>DUR364LZ</t>
  </si>
  <si>
    <t>DUR365UPM2</t>
  </si>
  <si>
    <t>DUR365UZ</t>
  </si>
  <si>
    <t>DUR368AZ</t>
  </si>
  <si>
    <t>DUR368AZ-SAMPLE</t>
  </si>
  <si>
    <t>DUR369AZ</t>
  </si>
  <si>
    <t>DUR369AZ-SAMPLE</t>
  </si>
  <si>
    <t>DUS054Z</t>
  </si>
  <si>
    <t>DUS054Z-SAMPLE</t>
  </si>
  <si>
    <t>CORDLESS GARDEN SPRYAER</t>
  </si>
  <si>
    <t>DUS108Z</t>
  </si>
  <si>
    <t>PULVERIZADORA INAL. 18V / 0.5 MPA / 10 L / LXT XPT WG (SIN BATERÍA/CARGADOR)</t>
  </si>
  <si>
    <t>DUS108Z-SAMPLE</t>
  </si>
  <si>
    <t>DUS158Z</t>
  </si>
  <si>
    <t>DUS158Z-SAMPLE</t>
  </si>
  <si>
    <t>DUT130RTE</t>
  </si>
  <si>
    <t>DUT130Z</t>
  </si>
  <si>
    <t>DUT131Z</t>
  </si>
  <si>
    <t>DUT131Z-SAMPLE</t>
  </si>
  <si>
    <t>MEZCLADORA INALAMBRICA</t>
  </si>
  <si>
    <t>DUX18Z</t>
  </si>
  <si>
    <t>DUX18Z-SAMPLE</t>
  </si>
  <si>
    <t>MULTI FCTN POWER HEAD</t>
  </si>
  <si>
    <t>DUX60Z</t>
  </si>
  <si>
    <t>DUX60ZM3</t>
  </si>
  <si>
    <t>DVC150LZ</t>
  </si>
  <si>
    <t>DVC151LZ</t>
  </si>
  <si>
    <t>DVC152LZ</t>
  </si>
  <si>
    <t>DVC153LZ</t>
  </si>
  <si>
    <t>DVC154LZX</t>
  </si>
  <si>
    <t>DVC155LZX2</t>
  </si>
  <si>
    <t>DVC155LZX2-SAMPLE</t>
  </si>
  <si>
    <t>DVC260Z</t>
  </si>
  <si>
    <t>DVC260ZX</t>
  </si>
  <si>
    <t>DVC261ZX11</t>
  </si>
  <si>
    <t>DVC265ZX</t>
  </si>
  <si>
    <t>DVC350Z</t>
  </si>
  <si>
    <t>DVC560Z</t>
  </si>
  <si>
    <t>UPRIGHT VACUUM CLEANER</t>
  </si>
  <si>
    <t>DVC560Z-SAMPLE</t>
  </si>
  <si>
    <t>DVC660Z</t>
  </si>
  <si>
    <t>DVC660Z-SAMPLE</t>
  </si>
  <si>
    <t>CORDLESS VACUUM CLEANER</t>
  </si>
  <si>
    <t>DVC665Z</t>
  </si>
  <si>
    <t>DVC665Z-SAMPLE</t>
  </si>
  <si>
    <t>DVC750LZ</t>
  </si>
  <si>
    <t>DVC860LZ</t>
  </si>
  <si>
    <t>DVC860LZ-SAMPLE</t>
  </si>
  <si>
    <t>DVC862LZ</t>
  </si>
  <si>
    <t>DVC864LZ</t>
  </si>
  <si>
    <t>DVC864LZ-SAMPLE</t>
  </si>
  <si>
    <t>DVC864LZX</t>
  </si>
  <si>
    <t>DVF154Z</t>
  </si>
  <si>
    <t>DVP180</t>
  </si>
  <si>
    <t>DVP180Z</t>
  </si>
  <si>
    <t>DVP181Z-SAMPLE</t>
  </si>
  <si>
    <t>CORDLESS VACUUM PUMP</t>
  </si>
  <si>
    <t>DVP181ZK</t>
  </si>
  <si>
    <t>DVR850Z</t>
  </si>
  <si>
    <t>DWD181-SAMPLE</t>
  </si>
  <si>
    <t>DWD181 RECHARGEABLE WALL</t>
  </si>
  <si>
    <t>DWD181ZJ</t>
  </si>
  <si>
    <t>DWR180Z</t>
  </si>
  <si>
    <t>DWR180Z-SAMPLE</t>
  </si>
  <si>
    <t>CORDLESS RATCHET WRENCH</t>
  </si>
  <si>
    <t>DWT310ZK</t>
  </si>
  <si>
    <t>DWT310ZK-SAMPLE</t>
  </si>
  <si>
    <t>CORDLESS SHEAR WRENCH</t>
  </si>
  <si>
    <t>E-00365</t>
  </si>
  <si>
    <t>E-00371</t>
  </si>
  <si>
    <t>E-00387</t>
  </si>
  <si>
    <t>E-00393</t>
  </si>
  <si>
    <t>E-00402</t>
  </si>
  <si>
    <t>E-00418</t>
  </si>
  <si>
    <t>E-01731</t>
  </si>
  <si>
    <t>NYLON 1.65 MM (4 HOJAS) 15 M P/DUR192 - UR002 - UR006</t>
  </si>
  <si>
    <t>E-01769</t>
  </si>
  <si>
    <t>E-01797</t>
  </si>
  <si>
    <t>E-01828</t>
  </si>
  <si>
    <t>E-01921</t>
  </si>
  <si>
    <t>DISCO PARA MADERA 235X24T</t>
  </si>
  <si>
    <t>E-02060</t>
  </si>
  <si>
    <t>E-02375</t>
  </si>
  <si>
    <t>DISCO LIJA PARA DRYWALL 9 HOYOS GR150 (25PCS) {P/DSL800}</t>
  </si>
  <si>
    <t>E-02381</t>
  </si>
  <si>
    <t>DISCO LIJA PARA DRYWALL 9 HOYOS GR220 (25PCS) {P/DSL800}</t>
  </si>
  <si>
    <t>E-02537</t>
  </si>
  <si>
    <t>DISCO SEGMENTADO P/ASFALTO 400MM 16"</t>
  </si>
  <si>
    <t>E-02945</t>
  </si>
  <si>
    <t>DISCO DE SIERRA 150 MMX32T</t>
  </si>
  <si>
    <t>E-02967</t>
  </si>
  <si>
    <t>E-02989</t>
  </si>
  <si>
    <t>E-03006-25</t>
  </si>
  <si>
    <t>E-03034</t>
  </si>
  <si>
    <t>DISCO ABRA. CORTE INOX. 115 X 1.0 X 22MM.(A60T) - LONG LIFE</t>
  </si>
  <si>
    <t>E-03078</t>
  </si>
  <si>
    <t>CINTA METRICA (WINCHA) 2MX13MM - MAKITA</t>
  </si>
  <si>
    <t>E-03121</t>
  </si>
  <si>
    <t>E-03137</t>
  </si>
  <si>
    <t>E-03143</t>
  </si>
  <si>
    <t>E-03159</t>
  </si>
  <si>
    <t>E-03165</t>
  </si>
  <si>
    <t>PUNTA POZIDRIV PZ1 X 25MM.2U.IMPACT PREMIER</t>
  </si>
  <si>
    <t>E-03171</t>
  </si>
  <si>
    <t>PUNTA POZIDRIV PZ2 X 25MM.2U.IMPACT PREMIER</t>
  </si>
  <si>
    <t>E-03187</t>
  </si>
  <si>
    <t>PUNTA POZIDRIV PZ3 X 25MM.2U.IMPACT PREMIER</t>
  </si>
  <si>
    <t>E-03193</t>
  </si>
  <si>
    <t>E-03202</t>
  </si>
  <si>
    <t>E-03218</t>
  </si>
  <si>
    <t>E-03224</t>
  </si>
  <si>
    <t>E-03230</t>
  </si>
  <si>
    <t>E-03246</t>
  </si>
  <si>
    <t>E-03252</t>
  </si>
  <si>
    <t>E-03268</t>
  </si>
  <si>
    <t>E-03274</t>
  </si>
  <si>
    <t>PUNTA PHILLIPS PH2 X 50MM.2U.IMPACT PREMIER</t>
  </si>
  <si>
    <t>E-03280</t>
  </si>
  <si>
    <t>E-03296</t>
  </si>
  <si>
    <t>PUNTA POZIDRIV PZ1 X 50MM.2U.IMPACT PREMIER</t>
  </si>
  <si>
    <t>E-03305</t>
  </si>
  <si>
    <t>PUNTA POZIDRIV PZ2 X 50MM.2U.IMPACT PREMIER</t>
  </si>
  <si>
    <t>E-03311</t>
  </si>
  <si>
    <t>E-03327</t>
  </si>
  <si>
    <t>E-03333</t>
  </si>
  <si>
    <t>E-03349</t>
  </si>
  <si>
    <t>E-03355</t>
  </si>
  <si>
    <t>E-03361</t>
  </si>
  <si>
    <t>E-03377</t>
  </si>
  <si>
    <t>E-03383</t>
  </si>
  <si>
    <t>E-03414</t>
  </si>
  <si>
    <t>E-03420</t>
  </si>
  <si>
    <t>E-03436</t>
  </si>
  <si>
    <t>E-03442</t>
  </si>
  <si>
    <t>MAG BOOST - IMPACT PREMIER</t>
  </si>
  <si>
    <t>E-03567</t>
  </si>
  <si>
    <t>SET PUNTAS 11U.[PH1-2-3][PZ1-2-3-][T15-20-25-31]X 25MM.IMPACT PREMIER</t>
  </si>
  <si>
    <t>E-03573</t>
  </si>
  <si>
    <t>SET PUNTAS 11U.C/PORTA PUNTA ULTRA-MAGNETICO.IMPACT PREMIER</t>
  </si>
  <si>
    <t>E-03632</t>
  </si>
  <si>
    <t>E-03676</t>
  </si>
  <si>
    <t>E-03698</t>
  </si>
  <si>
    <t>E-03707</t>
  </si>
  <si>
    <t>E-03713</t>
  </si>
  <si>
    <t>E-03791</t>
  </si>
  <si>
    <t>E-03838</t>
  </si>
  <si>
    <t>E-04036</t>
  </si>
  <si>
    <t>E-04070</t>
  </si>
  <si>
    <t>E-04086</t>
  </si>
  <si>
    <t>E-04949</t>
  </si>
  <si>
    <t>E-05094</t>
  </si>
  <si>
    <t>FUNDA UNIVERSAL PARA TALADRO</t>
  </si>
  <si>
    <t>E-06270</t>
  </si>
  <si>
    <t>MALETA DE ACCESORIOS COMBINADO (MADERA, METAL Y MAMPOSTERIA) X 212PCS</t>
  </si>
  <si>
    <t>E-06339</t>
  </si>
  <si>
    <t>EFFICUT ALUMINUM 260X30X81T</t>
  </si>
  <si>
    <t>E-06339-SAMPLE</t>
  </si>
  <si>
    <t>E-06367</t>
  </si>
  <si>
    <t>E-06373</t>
  </si>
  <si>
    <t>E-06410</t>
  </si>
  <si>
    <t>E-06426</t>
  </si>
  <si>
    <t>E-06448</t>
  </si>
  <si>
    <t>BROCA PARA HORMIGON LONG LIFE 6.5 X 100MM</t>
  </si>
  <si>
    <t>E-06454</t>
  </si>
  <si>
    <t>BROCA PARA HORMIGON LONG LIFE 6.5 X 150MM</t>
  </si>
  <si>
    <t>E-06460</t>
  </si>
  <si>
    <t>E-06482</t>
  </si>
  <si>
    <t>E-06498</t>
  </si>
  <si>
    <t>E-06513</t>
  </si>
  <si>
    <t>E-06529</t>
  </si>
  <si>
    <t>E-06535</t>
  </si>
  <si>
    <t>BROCA PARA HORMIGON LONG LIFE 10 X 250MM</t>
  </si>
  <si>
    <t>E-06541</t>
  </si>
  <si>
    <t>E-06557</t>
  </si>
  <si>
    <t>BROCA PARA HORMIGON LONG LIFE 12 X 250MM</t>
  </si>
  <si>
    <t>E-06585</t>
  </si>
  <si>
    <t>BROCA PARA HORMIGON LONG LIFE 16 X 150MM</t>
  </si>
  <si>
    <t>E-07004</t>
  </si>
  <si>
    <t>E-07294</t>
  </si>
  <si>
    <t>E-07303</t>
  </si>
  <si>
    <t>E-07319</t>
  </si>
  <si>
    <t>E-07325</t>
  </si>
  <si>
    <t>E-07331</t>
  </si>
  <si>
    <t>E-07630</t>
  </si>
  <si>
    <t>E-07646</t>
  </si>
  <si>
    <t>E-07652</t>
  </si>
  <si>
    <t>CUCHILLA DE RECAMBIO PARA BARRENO 200X800MM (DDG460E)</t>
  </si>
  <si>
    <t>E-08713</t>
  </si>
  <si>
    <t>E-10540-25</t>
  </si>
  <si>
    <t>E-10861</t>
  </si>
  <si>
    <t>E-10920</t>
  </si>
  <si>
    <t>E-11097</t>
  </si>
  <si>
    <t>EFFICUT METAL FOR METAL CUTTIN</t>
  </si>
  <si>
    <t>E-11243</t>
  </si>
  <si>
    <t>E-11243-SAMPLE</t>
  </si>
  <si>
    <t>EFFICUT FOR WOOD CUTTING/ SOUT</t>
  </si>
  <si>
    <t>E-11520</t>
  </si>
  <si>
    <t>FOLDING UTILITY KNIFE</t>
  </si>
  <si>
    <t>E-11829</t>
  </si>
  <si>
    <t>MALETIN DE ACCESORIOS COMBINADO X 60PCS</t>
  </si>
  <si>
    <t>E-11994</t>
  </si>
  <si>
    <t>E-12005</t>
  </si>
  <si>
    <t>SET PUNTAS 10U.[PH1-2-3][PZ1-2-3-][T15-20-30]X 25MM + PORTA PUNTA MAGNETICO .IMPACT BLACK</t>
  </si>
  <si>
    <t>E-12077</t>
  </si>
  <si>
    <t>E-12289</t>
  </si>
  <si>
    <t>E-12485</t>
  </si>
  <si>
    <t>BROCA SDS PLUS DE BARRAS DE REFUERZO DE 3/8" X 8"</t>
  </si>
  <si>
    <t>E-12491</t>
  </si>
  <si>
    <t>E-12516</t>
  </si>
  <si>
    <t>E-12522</t>
  </si>
  <si>
    <t>E-12538</t>
  </si>
  <si>
    <t>E-12544</t>
  </si>
  <si>
    <t>E-12594</t>
  </si>
  <si>
    <t>ADAPTADOR EJE SDS-PLUS - COPA DE CORTE BARRAS DE REFUERZO</t>
  </si>
  <si>
    <t>E-12893</t>
  </si>
  <si>
    <t>E-12902</t>
  </si>
  <si>
    <t>E-12980</t>
  </si>
  <si>
    <t>E-12996</t>
  </si>
  <si>
    <t>E-13029</t>
  </si>
  <si>
    <t>ADAPTADOR DE VARILLA DE TIERRA P/MARTILLOS SDS-MAX</t>
  </si>
  <si>
    <t>E-13041</t>
  </si>
  <si>
    <t>E-13166</t>
  </si>
  <si>
    <t>E-13172</t>
  </si>
  <si>
    <t>E-13275</t>
  </si>
  <si>
    <t>E-13334</t>
  </si>
  <si>
    <t>E-13362</t>
  </si>
  <si>
    <t>E-13465</t>
  </si>
  <si>
    <t>E-13471</t>
  </si>
  <si>
    <t>E-13568</t>
  </si>
  <si>
    <t>E-13611</t>
  </si>
  <si>
    <t>E-13633</t>
  </si>
  <si>
    <t>E-13649</t>
  </si>
  <si>
    <t>E-13661</t>
  </si>
  <si>
    <t>E-13758</t>
  </si>
  <si>
    <t>E-13764</t>
  </si>
  <si>
    <t>E-14249</t>
  </si>
  <si>
    <t>E-14255</t>
  </si>
  <si>
    <t>E-14314</t>
  </si>
  <si>
    <t>E-15126</t>
  </si>
  <si>
    <t>E-15154</t>
  </si>
  <si>
    <t>E-15366</t>
  </si>
  <si>
    <t>CORREA ACOLCHADA CON COLGANTES</t>
  </si>
  <si>
    <t>E-15388</t>
  </si>
  <si>
    <t>ULTIMATE ASJUSTABLE TOOL CASE</t>
  </si>
  <si>
    <t>E-15419</t>
  </si>
  <si>
    <t>MALETA CON CUBIERTA PORTA HERRAMENTAS</t>
  </si>
  <si>
    <t>E-15431</t>
  </si>
  <si>
    <t>ULTIMATE WIDE MOUNTH TOOL BAG</t>
  </si>
  <si>
    <t>E-15447</t>
  </si>
  <si>
    <t>ULTIMATE 3-WAY UNIVERSAL TOOL TOTE</t>
  </si>
  <si>
    <t>E-15590</t>
  </si>
  <si>
    <t>BOLSO &amp; LONCHERA CON CINTURON (ALTO: 170MM. LARGO: 125MM. ANCHO: 100MM)</t>
  </si>
  <si>
    <t>E-15768</t>
  </si>
  <si>
    <t>E-16081</t>
  </si>
  <si>
    <t>DADO DE IMPACTO CORTO CR-MO 1/2" X 12MM. IMPACT BLACK</t>
  </si>
  <si>
    <t>E-16134</t>
  </si>
  <si>
    <t>DADO DE IMPACTO CORTO CR-MO 1/2" X 17MM. IMPACT BLACK</t>
  </si>
  <si>
    <t>E-16156</t>
  </si>
  <si>
    <t>DADO DE IMPACTO CORTO CR-MO 1/2" X 19MM. IMPACT BLACK</t>
  </si>
  <si>
    <t>E-16178</t>
  </si>
  <si>
    <t>DADO DE IMPACTO CORTO CR-MO 1/2" X 21MM. IMPACT BLACK</t>
  </si>
  <si>
    <t>E-16184</t>
  </si>
  <si>
    <t>DADO DE IMPACTO CORTO CR-MO 1/2" X 22MM. IMPACT BLACK</t>
  </si>
  <si>
    <t>E-16221</t>
  </si>
  <si>
    <t>DADO DE IMPACTO CORTO CR-MO 1/2" X 30MM. IMPACT BLACK</t>
  </si>
  <si>
    <t>E-16237</t>
  </si>
  <si>
    <t>DADO DE IMPACTO CORTO CR-MO 1/2" X 32MM. IMPACT BLACK</t>
  </si>
  <si>
    <t>E-16433</t>
  </si>
  <si>
    <t>DADO DE IMPACTO TUBULAR  CR-MO 1/2" X 12MM IMPACT BLACK</t>
  </si>
  <si>
    <t>E-16455</t>
  </si>
  <si>
    <t>DADO DE IMPACTO TUBULAR  CR-MO 1/2" X 14MM IMPACT BLACK</t>
  </si>
  <si>
    <t>E-16461</t>
  </si>
  <si>
    <t>DADO DE IMPACTO TUBULAR  CR-MO 1/2" X 16MM IMPACT BLACK</t>
  </si>
  <si>
    <t>E-16499</t>
  </si>
  <si>
    <t>DADO DE IMPACTO TUBULAR  CR-MO 1/2" X 19MM IMPACT BLACK</t>
  </si>
  <si>
    <t>E-16514</t>
  </si>
  <si>
    <t>DADO DE IMPACTO TUBULAR  CR-MO 1/2" X 22MM IMPACT BLACK</t>
  </si>
  <si>
    <t>E-16520</t>
  </si>
  <si>
    <t>DADO DE IMPACTO TUBULAR  CR-MO 1/2" X 24MM IMPACT BLACK</t>
  </si>
  <si>
    <t>E-16536</t>
  </si>
  <si>
    <t>DADO DE IMPACTO TUBULAR  CR-MO 1/2" X 27MM IMPACT BLACK</t>
  </si>
  <si>
    <t>E-16558</t>
  </si>
  <si>
    <t>DADO DE IMPACTO TUBULAR  CR-MO 1/2" X 32MM IMPACT BLACK</t>
  </si>
  <si>
    <t>E-16601</t>
  </si>
  <si>
    <t>E-16782</t>
  </si>
  <si>
    <t>E-16835</t>
  </si>
  <si>
    <t>E-16966-5</t>
  </si>
  <si>
    <t>E-17049</t>
  </si>
  <si>
    <t>E-17114</t>
  </si>
  <si>
    <t>DISCO ABRA. CORTE INOX. 115 X 1.0 X 22MM.(A60T) ***ALTO RENDIMIENTO</t>
  </si>
  <si>
    <t>E-17114-12</t>
  </si>
  <si>
    <t>DISCO ABRA. CORTE INOX. 115 X 1.0 X 22MM.(A60T) X 12PCS ***ALTO RENDIMIENTO</t>
  </si>
  <si>
    <t>E-18007</t>
  </si>
  <si>
    <t>BROCA SDS-MAX 32 X 540MM. CINCO CORTES</t>
  </si>
  <si>
    <t>E-18013</t>
  </si>
  <si>
    <t>BROCA SDS-MAX 32 X 920MM. CINCO CORTES</t>
  </si>
  <si>
    <t>E-19722</t>
  </si>
  <si>
    <t>DISCO DIAMANTADO DE RESCATE 4" - 100MM. - ****(X LOCK)</t>
  </si>
  <si>
    <t>E-19738</t>
  </si>
  <si>
    <t>DISCO DIAMANTADO DE RESCATE 5" 125MM. - ****(X LOCK)</t>
  </si>
  <si>
    <t>E-20177</t>
  </si>
  <si>
    <t>CINCEL PREMIUM SDS-PLUS 40 X 250 MM. PLANO</t>
  </si>
  <si>
    <t>E-20220</t>
  </si>
  <si>
    <t>SET CINCELES PREMIUM SDS-PLUS X 3UN (PUNTA, PLANO Y PALA)</t>
  </si>
  <si>
    <t>E-20264</t>
  </si>
  <si>
    <t>E-20270</t>
  </si>
  <si>
    <t>PORTA PUNTA ULTRA MAGNETICO 1/4" X 79MM.IMPACT PREMIER (E-03414)</t>
  </si>
  <si>
    <t>E-22218</t>
  </si>
  <si>
    <t>E-22280</t>
  </si>
  <si>
    <t>E-22305</t>
  </si>
  <si>
    <t>E-22383</t>
  </si>
  <si>
    <t>E-22420</t>
  </si>
  <si>
    <t>E-22464</t>
  </si>
  <si>
    <t>DISCO ABRA CORTE INOX   7" 180 X 1.6MM.(A60V) ***</t>
  </si>
  <si>
    <t>E-22470</t>
  </si>
  <si>
    <t>DISCO ABRA CORTE INOX   9" 230 X 1.9MM.(A60V) ***</t>
  </si>
  <si>
    <t>E-22850</t>
  </si>
  <si>
    <t>E-22888</t>
  </si>
  <si>
    <t>E-22894</t>
  </si>
  <si>
    <t>E-22925</t>
  </si>
  <si>
    <t>E-22947</t>
  </si>
  <si>
    <t>E-22947-12</t>
  </si>
  <si>
    <t>E-23226</t>
  </si>
  <si>
    <t>E-23254</t>
  </si>
  <si>
    <t>BROCA SDS-MAX 32 X 690MM. CINCO CORTES</t>
  </si>
  <si>
    <t>E-23400</t>
  </si>
  <si>
    <t>E-23628</t>
  </si>
  <si>
    <t>E-24125</t>
  </si>
  <si>
    <t>E-24131</t>
  </si>
  <si>
    <t>E-24147</t>
  </si>
  <si>
    <t>E-24608</t>
  </si>
  <si>
    <t>E-24692</t>
  </si>
  <si>
    <t>E-24701</t>
  </si>
  <si>
    <t>E-24717</t>
  </si>
  <si>
    <t>E-24723</t>
  </si>
  <si>
    <t>E-24739</t>
  </si>
  <si>
    <t>E-24745</t>
  </si>
  <si>
    <t>E-24751</t>
  </si>
  <si>
    <t>E-24767</t>
  </si>
  <si>
    <t>EA3203S40B</t>
  </si>
  <si>
    <t>EA4301F45B</t>
  </si>
  <si>
    <t>EA5600F53E</t>
  </si>
  <si>
    <t>EA6100P60E</t>
  </si>
  <si>
    <t>EB400MP</t>
  </si>
  <si>
    <t>BOTADOR P/EBH340U</t>
  </si>
  <si>
    <t>EB5300TH</t>
  </si>
  <si>
    <t>EB5300TH-SAMPLE</t>
  </si>
  <si>
    <t>DESMALEZADORA 4 TIEMPOS</t>
  </si>
  <si>
    <t>EB7650TH</t>
  </si>
  <si>
    <t>EB7660TH</t>
  </si>
  <si>
    <t>EBH250U</t>
  </si>
  <si>
    <t>EBH252L</t>
  </si>
  <si>
    <t>EBH340U</t>
  </si>
  <si>
    <t>EF1550RH</t>
  </si>
  <si>
    <t>EG2250A</t>
  </si>
  <si>
    <t>EG302A</t>
  </si>
  <si>
    <t>EG382A</t>
  </si>
  <si>
    <t>EH6000W</t>
  </si>
  <si>
    <t>EK7651H</t>
  </si>
  <si>
    <t>EK7651HX1</t>
  </si>
  <si>
    <t>EK8100WS</t>
  </si>
  <si>
    <t>EM2500U</t>
  </si>
  <si>
    <t>EM3400U</t>
  </si>
  <si>
    <t>EM4340L</t>
  </si>
  <si>
    <t>EM4350RH</t>
  </si>
  <si>
    <t>EM4350UH</t>
  </si>
  <si>
    <t>EM4351UH</t>
  </si>
  <si>
    <t>EN4950H</t>
  </si>
  <si>
    <t>EN4950H-SAMPLE</t>
  </si>
  <si>
    <t>PETROL POLE HEDGE TRIMMER</t>
  </si>
  <si>
    <t>EN4951SH</t>
  </si>
  <si>
    <t>EN5950SH</t>
  </si>
  <si>
    <t>EN5950SH-SAMPLE</t>
  </si>
  <si>
    <t>PETROL POLE HEDGE  TRIMMER</t>
  </si>
  <si>
    <t>EPEG302A-382A</t>
  </si>
  <si>
    <t>ENCHUFE P/GENERADORES EG302-EG382A</t>
  </si>
  <si>
    <t>ER2600L</t>
  </si>
  <si>
    <t>EVH2000</t>
  </si>
  <si>
    <t>EW3050H</t>
  </si>
  <si>
    <t>EX2650LH</t>
  </si>
  <si>
    <t>EX2650LHM</t>
  </si>
  <si>
    <t>EY2650H25H</t>
  </si>
  <si>
    <t>FN001GZ</t>
  </si>
  <si>
    <t>FN001GZ-SAMPLE</t>
  </si>
  <si>
    <t>FS2200</t>
  </si>
  <si>
    <t>FS2500</t>
  </si>
  <si>
    <t>FS2700</t>
  </si>
  <si>
    <t>FS4000</t>
  </si>
  <si>
    <t>FS4200</t>
  </si>
  <si>
    <t>FS6300</t>
  </si>
  <si>
    <t>GA015GM101</t>
  </si>
  <si>
    <t>GA015GZ</t>
  </si>
  <si>
    <t>GA015GZ-SAMPLE</t>
  </si>
  <si>
    <t>ANGLE GRINDER</t>
  </si>
  <si>
    <t>GA028GM201</t>
  </si>
  <si>
    <t>GA028GZ</t>
  </si>
  <si>
    <t>GA028GZ-SAMPLE</t>
  </si>
  <si>
    <t>GA037GZ</t>
  </si>
  <si>
    <t>GA037GZ-SAMPLE</t>
  </si>
  <si>
    <t>GA038GZ</t>
  </si>
  <si>
    <t>GA038GZ-SAMPLE</t>
  </si>
  <si>
    <t>GA043GM201</t>
  </si>
  <si>
    <t>POR CONFIRMAR</t>
  </si>
  <si>
    <t>GA043GM202</t>
  </si>
  <si>
    <t>ESMERIL ANGULAR 4-1/2" X-LOCK XGT 40VMAX (PALETA) / VEL. VAR / BL-F.E.-AFT-XPT-AWS / BL4040(X2) + DC40RA</t>
  </si>
  <si>
    <t>GA043GZ-SAMPLE</t>
  </si>
  <si>
    <t>GA043GZ01</t>
  </si>
  <si>
    <t>GA046GM201</t>
  </si>
  <si>
    <t>GA046GM202</t>
  </si>
  <si>
    <t>GA046GZ-SAMPLE</t>
  </si>
  <si>
    <t>GA046GZ01</t>
  </si>
  <si>
    <t>GA049GZ</t>
  </si>
  <si>
    <t>GA049GZ-SAMPLE</t>
  </si>
  <si>
    <t>GA4530</t>
  </si>
  <si>
    <t>GA4530R</t>
  </si>
  <si>
    <t>GA4534</t>
  </si>
  <si>
    <t>GA4540</t>
  </si>
  <si>
    <t>GA4540C</t>
  </si>
  <si>
    <t>GA4540R</t>
  </si>
  <si>
    <t>GA4540R HALF</t>
  </si>
  <si>
    <t>GA4541C</t>
  </si>
  <si>
    <t>GA4541R</t>
  </si>
  <si>
    <t>GA4550</t>
  </si>
  <si>
    <t>GA4550 - SAMPLE</t>
  </si>
  <si>
    <t>GA4550R</t>
  </si>
  <si>
    <t>GA4550R-SAMPLE</t>
  </si>
  <si>
    <t>GA4551R-SAMPLE</t>
  </si>
  <si>
    <t>GA4590-SAMPLE</t>
  </si>
  <si>
    <t>GA4590X01</t>
  </si>
  <si>
    <t>GA4592</t>
  </si>
  <si>
    <t>GA4592-SAMPLE</t>
  </si>
  <si>
    <t>GA4592X02</t>
  </si>
  <si>
    <t>GA4593-SAMPLE</t>
  </si>
  <si>
    <t>GA4593X03</t>
  </si>
  <si>
    <t>GA4595-SAMPLE</t>
  </si>
  <si>
    <t>GA4595X02</t>
  </si>
  <si>
    <t>GA5020</t>
  </si>
  <si>
    <t>GA5020C</t>
  </si>
  <si>
    <t>GA5021C</t>
  </si>
  <si>
    <t>GA5080</t>
  </si>
  <si>
    <t>GA5080-SAMPLE</t>
  </si>
  <si>
    <t>GA5100</t>
  </si>
  <si>
    <t>GA7020</t>
  </si>
  <si>
    <t>GA7030</t>
  </si>
  <si>
    <t>GA7040S</t>
  </si>
  <si>
    <t>GA7050</t>
  </si>
  <si>
    <t>GA7050R01</t>
  </si>
  <si>
    <t>GA7060</t>
  </si>
  <si>
    <t>GA7060-SAMPLE</t>
  </si>
  <si>
    <t>GA7060R</t>
  </si>
  <si>
    <t>GA7061R</t>
  </si>
  <si>
    <t>GA7062</t>
  </si>
  <si>
    <t>GA7063R</t>
  </si>
  <si>
    <t>GA7070</t>
  </si>
  <si>
    <t>GA7070-SAMPLE</t>
  </si>
  <si>
    <t>180MM ANGLE GRINDER</t>
  </si>
  <si>
    <t>GA7082</t>
  </si>
  <si>
    <t>GA7082-SAMPLE</t>
  </si>
  <si>
    <t>GA7090</t>
  </si>
  <si>
    <t>GA7090-SAMPLE</t>
  </si>
  <si>
    <t>GA9020</t>
  </si>
  <si>
    <t>GA9030</t>
  </si>
  <si>
    <t>GA9040S</t>
  </si>
  <si>
    <t>GA9050</t>
  </si>
  <si>
    <t>GA9060</t>
  </si>
  <si>
    <t>GA9060-SAMPLE</t>
  </si>
  <si>
    <t>GA9061R</t>
  </si>
  <si>
    <t>GA9062</t>
  </si>
  <si>
    <t>GA9063R</t>
  </si>
  <si>
    <t>GA9070</t>
  </si>
  <si>
    <t>GA9070-SAMPLE</t>
  </si>
  <si>
    <t>230MM ANGLE GRINDER</t>
  </si>
  <si>
    <t>GA9082</t>
  </si>
  <si>
    <t>GA9082-SAMPLE</t>
  </si>
  <si>
    <t>GA9090</t>
  </si>
  <si>
    <t>GA9090-SAMPLE</t>
  </si>
  <si>
    <t>GB00000042</t>
  </si>
  <si>
    <t>GB602</t>
  </si>
  <si>
    <t>GB801</t>
  </si>
  <si>
    <t>GD0600</t>
  </si>
  <si>
    <t>GD0603</t>
  </si>
  <si>
    <t>GD0800C</t>
  </si>
  <si>
    <t>GD0801C</t>
  </si>
  <si>
    <t>GD0810C</t>
  </si>
  <si>
    <t>GM00001441</t>
  </si>
  <si>
    <t>CARGADOR DE BATERIA PARA CASACA</t>
  </si>
  <si>
    <t>GM00002073</t>
  </si>
  <si>
    <t>TRIPOD</t>
  </si>
  <si>
    <t>GN420CLSE</t>
  </si>
  <si>
    <t>CLAVADORA PARA CONCRETO INALAMBRICA A GAS Y BATERIA 7.2 V</t>
  </si>
  <si>
    <t>GS5000</t>
  </si>
  <si>
    <t>GS6000</t>
  </si>
  <si>
    <t>GV5010</t>
  </si>
  <si>
    <t>GV7000</t>
  </si>
  <si>
    <t>HB350</t>
  </si>
  <si>
    <t>HB350-SAMPLE</t>
  </si>
  <si>
    <t>MAGNETIC DRILL</t>
  </si>
  <si>
    <t>HB500</t>
  </si>
  <si>
    <t>HG5012K</t>
  </si>
  <si>
    <t>HG5030K</t>
  </si>
  <si>
    <t>HG6020</t>
  </si>
  <si>
    <t>HG6530V</t>
  </si>
  <si>
    <t>HG6530VK</t>
  </si>
  <si>
    <t>HM001GZ</t>
  </si>
  <si>
    <t>HM001GZ-SAMPLE</t>
  </si>
  <si>
    <t>HM002GZ03</t>
  </si>
  <si>
    <t>HM002GZ03-SAMPLE</t>
  </si>
  <si>
    <t>HM004GZ</t>
  </si>
  <si>
    <t>HM004GZ02</t>
  </si>
  <si>
    <t>HM004GZ02-SAMPLE</t>
  </si>
  <si>
    <t>HM0810</t>
  </si>
  <si>
    <t>HM0810T</t>
  </si>
  <si>
    <t>HM0870C</t>
  </si>
  <si>
    <t>HM0871C</t>
  </si>
  <si>
    <t>HM1101C</t>
  </si>
  <si>
    <t>HM1111C</t>
  </si>
  <si>
    <t>HM1201</t>
  </si>
  <si>
    <t>HM1203C</t>
  </si>
  <si>
    <t>HM1205C</t>
  </si>
  <si>
    <t>MARTILLO DEMOLEDOR SDS-MAX 1510W (950-1900RPM)</t>
  </si>
  <si>
    <t>HM1213C</t>
  </si>
  <si>
    <t>HM1214C</t>
  </si>
  <si>
    <t>HM1307CB</t>
  </si>
  <si>
    <t>HM1317C</t>
  </si>
  <si>
    <t>HM1317CB</t>
  </si>
  <si>
    <t>HM1512</t>
  </si>
  <si>
    <t>HM1512X1-SAMPLE</t>
  </si>
  <si>
    <t>HM1802</t>
  </si>
  <si>
    <t>HM1810</t>
  </si>
  <si>
    <t>HM1812</t>
  </si>
  <si>
    <t>HP001GM201</t>
  </si>
  <si>
    <t>HP001GZ</t>
  </si>
  <si>
    <t>HP002GZ</t>
  </si>
  <si>
    <t>HP002GZ-SAMPLE</t>
  </si>
  <si>
    <t>DRIVER DRILL</t>
  </si>
  <si>
    <t>HP0300</t>
  </si>
  <si>
    <t>HP0300-SAMPLE</t>
  </si>
  <si>
    <t>HP1630K</t>
  </si>
  <si>
    <t>HP1630SP1A</t>
  </si>
  <si>
    <t>HP1630X100</t>
  </si>
  <si>
    <t>HP1631K</t>
  </si>
  <si>
    <t>HP1640</t>
  </si>
  <si>
    <t>HP1641K</t>
  </si>
  <si>
    <t>HP2050F</t>
  </si>
  <si>
    <t>HP2050FH</t>
  </si>
  <si>
    <t>HP2050H</t>
  </si>
  <si>
    <t>HP2070F</t>
  </si>
  <si>
    <t>HP2070FX</t>
  </si>
  <si>
    <t>HP330DX100</t>
  </si>
  <si>
    <t>HP331DWAE</t>
  </si>
  <si>
    <t>HP331DWAX1</t>
  </si>
  <si>
    <t>HP331DZ</t>
  </si>
  <si>
    <t>HP332DWAE</t>
  </si>
  <si>
    <t>HP332DZ</t>
  </si>
  <si>
    <t>HP333DSAE</t>
  </si>
  <si>
    <t>HP333DSAP1</t>
  </si>
  <si>
    <t>HP333DSMJ</t>
  </si>
  <si>
    <t>HP333DWYE</t>
  </si>
  <si>
    <t>HP333DWYX3</t>
  </si>
  <si>
    <t>HP333DYX3B</t>
  </si>
  <si>
    <t>HP333DZ</t>
  </si>
  <si>
    <t>HP457DWE</t>
  </si>
  <si>
    <t>HP457DX100</t>
  </si>
  <si>
    <t>HP457DZ</t>
  </si>
  <si>
    <t>HP488D006</t>
  </si>
  <si>
    <t>HP488DWAE</t>
  </si>
  <si>
    <t>HP488DZ</t>
  </si>
  <si>
    <t>HAMMER DRIVER DRILLL</t>
  </si>
  <si>
    <t>HP488DZ-SAMPLE</t>
  </si>
  <si>
    <t>HR001GM102</t>
  </si>
  <si>
    <t>HR001GZ</t>
  </si>
  <si>
    <t>HR001GZ-SAMPLE</t>
  </si>
  <si>
    <t>COMBINATION HAMMER</t>
  </si>
  <si>
    <t>HR003GM201</t>
  </si>
  <si>
    <t>HR003GZ</t>
  </si>
  <si>
    <t>HR003GZ-SAMPLE</t>
  </si>
  <si>
    <t>HR005GM201</t>
  </si>
  <si>
    <t>HR005GZ</t>
  </si>
  <si>
    <t>HR005GZ-SAMPLE</t>
  </si>
  <si>
    <t>HR006GZ</t>
  </si>
  <si>
    <t>HR006GZ-SAMPLE</t>
  </si>
  <si>
    <t>HR007GM201</t>
  </si>
  <si>
    <t>HR007GZ</t>
  </si>
  <si>
    <t>HR007GZ-SAMPLE</t>
  </si>
  <si>
    <t>28MM ROTATY HAMMER</t>
  </si>
  <si>
    <t>HR008GZ</t>
  </si>
  <si>
    <t>HR008GZ-SAMPLE</t>
  </si>
  <si>
    <t>30MM ROTARY HAMMER</t>
  </si>
  <si>
    <t>HR010GZ</t>
  </si>
  <si>
    <t>HR010GZ-SAMPLE</t>
  </si>
  <si>
    <t>20MM COMBINATION HAMMER</t>
  </si>
  <si>
    <t>HR140DSAJ</t>
  </si>
  <si>
    <t>HR140DWAE1</t>
  </si>
  <si>
    <t>HR140DZ</t>
  </si>
  <si>
    <t>HR166DWAE1</t>
  </si>
  <si>
    <t>HR166DWAX1</t>
  </si>
  <si>
    <t>ROTOMARTILLO 16MM SDS-PLUS</t>
  </si>
  <si>
    <t>HR166DZ</t>
  </si>
  <si>
    <t>HR1830</t>
  </si>
  <si>
    <t>HR1840</t>
  </si>
  <si>
    <t>HR1841F</t>
  </si>
  <si>
    <t>HR2230</t>
  </si>
  <si>
    <t>HR2320T-SAMPLE</t>
  </si>
  <si>
    <t>23MM COMBINATION HAMMER</t>
  </si>
  <si>
    <t>HR2470</t>
  </si>
  <si>
    <t>HR2600</t>
  </si>
  <si>
    <t>HR2601</t>
  </si>
  <si>
    <t>HR2610</t>
  </si>
  <si>
    <t>HR2610T</t>
  </si>
  <si>
    <t>HR2611FT</t>
  </si>
  <si>
    <t>HR2630</t>
  </si>
  <si>
    <t>HR2630-SAMPLE</t>
  </si>
  <si>
    <t>26MM COMBINATION HAMMER</t>
  </si>
  <si>
    <t>HR2630J</t>
  </si>
  <si>
    <t>HR2630X10</t>
  </si>
  <si>
    <t>HR2631F</t>
  </si>
  <si>
    <t>HR2631F-SAMPLE</t>
  </si>
  <si>
    <t>HR2631FT</t>
  </si>
  <si>
    <t>MARTILLO PERFORADOR SDS-PLUS 800W / 2.4 J. / 26MM / 3 FUNC / 3.1KG  / AVT / LUZ LED / CHUCK</t>
  </si>
  <si>
    <t>HR2631FT-SAMPLE</t>
  </si>
  <si>
    <t>HR2641</t>
  </si>
  <si>
    <t>HR2641-SAMPLE</t>
  </si>
  <si>
    <t>HR2652</t>
  </si>
  <si>
    <t>HR2810</t>
  </si>
  <si>
    <t>HR2810T</t>
  </si>
  <si>
    <t>HR3011FCWJ</t>
  </si>
  <si>
    <t>HR3011FCWJ-SAMPLE</t>
  </si>
  <si>
    <t>HR3210C</t>
  </si>
  <si>
    <t>HR4003C</t>
  </si>
  <si>
    <t>HR4011C</t>
  </si>
  <si>
    <t>HR4013C</t>
  </si>
  <si>
    <t>HR5202C</t>
  </si>
  <si>
    <t>HR5211C</t>
  </si>
  <si>
    <t>HR5212C</t>
  </si>
  <si>
    <t>HS003GM201</t>
  </si>
  <si>
    <t>HS003GZ</t>
  </si>
  <si>
    <t>HS003GZ-SAMPLE</t>
  </si>
  <si>
    <t>SIERRA CIRCULAR  185 MM</t>
  </si>
  <si>
    <t>HS004GZ</t>
  </si>
  <si>
    <t>HS004GZ-SAMPLE</t>
  </si>
  <si>
    <t>SIERRA CIRCULAR 190 MM</t>
  </si>
  <si>
    <t>HS009GT201</t>
  </si>
  <si>
    <t>HS009GZ</t>
  </si>
  <si>
    <t>HS009GZ-SAMPLE</t>
  </si>
  <si>
    <t>SIERRA CIRCULAR 235 MM</t>
  </si>
  <si>
    <t>HS012GZ</t>
  </si>
  <si>
    <t>HS012GZ-SAMPLE</t>
  </si>
  <si>
    <t>165MM CIRCULAR SAW</t>
  </si>
  <si>
    <t>HS013GZ-SAMPLE</t>
  </si>
  <si>
    <t>415MM CIRCULAR SAW</t>
  </si>
  <si>
    <t>HS0600</t>
  </si>
  <si>
    <t>HS0600-SAMPLE</t>
  </si>
  <si>
    <t>HS300DWEW</t>
  </si>
  <si>
    <t>HS300DZW</t>
  </si>
  <si>
    <t>HS301DSAE</t>
  </si>
  <si>
    <t>HS301DZ</t>
  </si>
  <si>
    <t>HS6600-SAMPLE</t>
  </si>
  <si>
    <t>HS7010K</t>
  </si>
  <si>
    <t>HS7101</t>
  </si>
  <si>
    <t>HS7600</t>
  </si>
  <si>
    <t>HW001GZ</t>
  </si>
  <si>
    <t>HW001GZ-SAMPLE</t>
  </si>
  <si>
    <t>HIGH PRESSURE WASHER</t>
  </si>
  <si>
    <t>HW101</t>
  </si>
  <si>
    <t>HW1200</t>
  </si>
  <si>
    <t>HW1300</t>
  </si>
  <si>
    <t>I500UD32L0540</t>
  </si>
  <si>
    <t>BROCA MINERIA 5 CORTES 32X540 MM</t>
  </si>
  <si>
    <t>I500UD32L0920</t>
  </si>
  <si>
    <t>BROCA MINERIA 5 CORTES 32X920 MM</t>
  </si>
  <si>
    <t>I500UD32L1300</t>
  </si>
  <si>
    <t>BROCA MINERIA 5 CORTES 32X1300 MM</t>
  </si>
  <si>
    <t>JM00000219</t>
  </si>
  <si>
    <t>JUEGO DE SOPORTE PARA SIERRA INGLETEADORA P/WST06/DEBWST06/DEAWST06/WST07/DEAWST07</t>
  </si>
  <si>
    <t>JM00000674</t>
  </si>
  <si>
    <t>CARRO TRANSPORTE PARA MARTILLO DEMOLEDOR</t>
  </si>
  <si>
    <t>JM21080294</t>
  </si>
  <si>
    <t>SIERRA CINTA 6</t>
  </si>
  <si>
    <t>JM21080295</t>
  </si>
  <si>
    <t>SIERRA CINTA 13</t>
  </si>
  <si>
    <t>JM21080296</t>
  </si>
  <si>
    <t>SIERRA CINTA 16</t>
  </si>
  <si>
    <t>JM21080297</t>
  </si>
  <si>
    <t>JM27000098</t>
  </si>
  <si>
    <t>JM27000300</t>
  </si>
  <si>
    <t>MESA P/SIERRA DE BANCO P/MLT100</t>
  </si>
  <si>
    <t>JN3200</t>
  </si>
  <si>
    <t>JN3201</t>
  </si>
  <si>
    <t>JR001GM201</t>
  </si>
  <si>
    <t>JR001GZ</t>
  </si>
  <si>
    <t>JR001GZ-SAMPLE</t>
  </si>
  <si>
    <t>JR002GZ</t>
  </si>
  <si>
    <t>JR002GZ-SAMPLE</t>
  </si>
  <si>
    <t>JR002G CORDLESS RECIPRO SAW</t>
  </si>
  <si>
    <t>JR100DWE</t>
  </si>
  <si>
    <t>JR103DSYE</t>
  </si>
  <si>
    <t>JR103DWAE</t>
  </si>
  <si>
    <t>JR103DWAX6</t>
  </si>
  <si>
    <t>JR103DZ</t>
  </si>
  <si>
    <t>JR105DZ</t>
  </si>
  <si>
    <t>JR3050T</t>
  </si>
  <si>
    <t>JR3051TK</t>
  </si>
  <si>
    <t>JR3051TK-SAMPLE</t>
  </si>
  <si>
    <t>RECIPRO SAW</t>
  </si>
  <si>
    <t>JR3061T</t>
  </si>
  <si>
    <t>JR3061T-SAMPLE</t>
  </si>
  <si>
    <t>SIERRA SABLE ELECT.</t>
  </si>
  <si>
    <t>JR3070CT</t>
  </si>
  <si>
    <t>JS1600</t>
  </si>
  <si>
    <t>JS1602</t>
  </si>
  <si>
    <t>JS3200</t>
  </si>
  <si>
    <t>JS3201</t>
  </si>
  <si>
    <t>JV001GM201</t>
  </si>
  <si>
    <t>JV001GZ</t>
  </si>
  <si>
    <t>JV001GZ-SAMPLE</t>
  </si>
  <si>
    <t>CORDLESS JIGSAW</t>
  </si>
  <si>
    <t>JV002GZ</t>
  </si>
  <si>
    <t>JV002GZ-SAMPLE</t>
  </si>
  <si>
    <t>JV0600K</t>
  </si>
  <si>
    <t>JV100DWE</t>
  </si>
  <si>
    <t>JV100DZW</t>
  </si>
  <si>
    <t>JV101DZ</t>
  </si>
  <si>
    <t>JV102DSAJ</t>
  </si>
  <si>
    <t>JV102DZ</t>
  </si>
  <si>
    <t>JV102DZ-SAMPLE</t>
  </si>
  <si>
    <t>SIERRA CALADORA INALAMBRICA</t>
  </si>
  <si>
    <t>JV103DZ</t>
  </si>
  <si>
    <t>JV183DWE</t>
  </si>
  <si>
    <t>JV183DZ</t>
  </si>
  <si>
    <t>KP001GZ</t>
  </si>
  <si>
    <t>KP001GZ-SAMPLE</t>
  </si>
  <si>
    <t>82MM CORDLESS PLANER</t>
  </si>
  <si>
    <t>KP0800</t>
  </si>
  <si>
    <t>KP0800X</t>
  </si>
  <si>
    <t>KP0810C</t>
  </si>
  <si>
    <t>KR0700H</t>
  </si>
  <si>
    <t>KT001GZ</t>
  </si>
  <si>
    <t>KT001GZ-SAMPLE</t>
  </si>
  <si>
    <t>LB1200F</t>
  </si>
  <si>
    <t>LC1230</t>
  </si>
  <si>
    <t>LCT203</t>
  </si>
  <si>
    <t>KIT ATORNILLADORES DF030D + TD090D</t>
  </si>
  <si>
    <t>LCT204W</t>
  </si>
  <si>
    <t>LCT303XW</t>
  </si>
  <si>
    <t>LD030P</t>
  </si>
  <si>
    <t>LD050P</t>
  </si>
  <si>
    <t>LD080P</t>
  </si>
  <si>
    <t>LD080P1</t>
  </si>
  <si>
    <t>LD080PI</t>
  </si>
  <si>
    <t>LF1000</t>
  </si>
  <si>
    <t>LH1201FL</t>
  </si>
  <si>
    <t>LM001CZ-SAMPLE</t>
  </si>
  <si>
    <t>LM001JM101</t>
  </si>
  <si>
    <t>LM001JM101-SAMPLE</t>
  </si>
  <si>
    <t>LM002GZ</t>
  </si>
  <si>
    <t>LM002GZ-SAMPLE</t>
  </si>
  <si>
    <t>LM002JM101</t>
  </si>
  <si>
    <t>LM002JM101-SAMPL</t>
  </si>
  <si>
    <t>LM004GZ</t>
  </si>
  <si>
    <t>LM004GZ-SAMPLE</t>
  </si>
  <si>
    <t>LM004JZ</t>
  </si>
  <si>
    <t>CORTACESPED 64V  530MM (21") 70L / ACERO C/TRACCIÓN/ XPT-BL-SNL / DESCARGA POSTERIOR (SIN BATERIA/CARGADOR)</t>
  </si>
  <si>
    <t>LM004JZ-SAMPLE</t>
  </si>
  <si>
    <t>LS003GZ</t>
  </si>
  <si>
    <t>SLIDE COMPOUND SAW</t>
  </si>
  <si>
    <t>LS003GZ-SAMPLE</t>
  </si>
  <si>
    <t>LS004GZ</t>
  </si>
  <si>
    <t>LS004GZ-SAMPLE</t>
  </si>
  <si>
    <t>LS0815FL</t>
  </si>
  <si>
    <t>LS1016</t>
  </si>
  <si>
    <t>LS1017L</t>
  </si>
  <si>
    <t>LS1018L</t>
  </si>
  <si>
    <t>LS1019</t>
  </si>
  <si>
    <t>LS1040</t>
  </si>
  <si>
    <t>LS1040F</t>
  </si>
  <si>
    <t>LS1110F</t>
  </si>
  <si>
    <t>LS1219</t>
  </si>
  <si>
    <t>LS1219L</t>
  </si>
  <si>
    <t>LS1221</t>
  </si>
  <si>
    <t>LW1400-SAMPLE</t>
  </si>
  <si>
    <t>LW1400X</t>
  </si>
  <si>
    <t>LW1401</t>
  </si>
  <si>
    <t>LW1401-SAMPLE</t>
  </si>
  <si>
    <t>LW1401X</t>
  </si>
  <si>
    <t>LX00000001</t>
  </si>
  <si>
    <t>LX00000002</t>
  </si>
  <si>
    <t>LX00000003</t>
  </si>
  <si>
    <t>LX00000004</t>
  </si>
  <si>
    <t>M0400BC</t>
  </si>
  <si>
    <t>M0400GC</t>
  </si>
  <si>
    <t>M0600G</t>
  </si>
  <si>
    <t>M0801B</t>
  </si>
  <si>
    <t>M0801KB</t>
  </si>
  <si>
    <t>M0801KG</t>
  </si>
  <si>
    <t>M0901G</t>
  </si>
  <si>
    <t>M0920B</t>
  </si>
  <si>
    <t>M0920G</t>
  </si>
  <si>
    <t>M0921B</t>
  </si>
  <si>
    <t>M0921G</t>
  </si>
  <si>
    <t>M1100KB</t>
  </si>
  <si>
    <t>M1902B</t>
  </si>
  <si>
    <t>M1902G</t>
  </si>
  <si>
    <t>M1902G-SAMPLE</t>
  </si>
  <si>
    <t>CEPILLO 82MM MAKITA MT</t>
  </si>
  <si>
    <t>M2300B</t>
  </si>
  <si>
    <t>M2300G</t>
  </si>
  <si>
    <t>M2400G</t>
  </si>
  <si>
    <t>M2401B</t>
  </si>
  <si>
    <t>M2401G</t>
  </si>
  <si>
    <t>M2401G-SAMPLE</t>
  </si>
  <si>
    <t>M3600B</t>
  </si>
  <si>
    <t>M3600G</t>
  </si>
  <si>
    <t>M3601B</t>
  </si>
  <si>
    <t>M3601G</t>
  </si>
  <si>
    <t>M3700B</t>
  </si>
  <si>
    <t>M3700G</t>
  </si>
  <si>
    <t>M4000B</t>
  </si>
  <si>
    <t>M4000G</t>
  </si>
  <si>
    <t>M4001B</t>
  </si>
  <si>
    <t>M4301B</t>
  </si>
  <si>
    <t>M4301G</t>
  </si>
  <si>
    <t>SIERRA CALADORA 450W. 0-3100 CPM CAP.CORTE 65MM. 1.9KG. MT</t>
  </si>
  <si>
    <t>M4302B</t>
  </si>
  <si>
    <t>M4302G</t>
  </si>
  <si>
    <t>M4500KB</t>
  </si>
  <si>
    <t>M4500KG</t>
  </si>
  <si>
    <t>M5801B</t>
  </si>
  <si>
    <t>M5801G</t>
  </si>
  <si>
    <t>M5802G</t>
  </si>
  <si>
    <t>M6001G</t>
  </si>
  <si>
    <t>M6002B</t>
  </si>
  <si>
    <t>M6201B</t>
  </si>
  <si>
    <t>M6201G</t>
  </si>
  <si>
    <t>M6501B</t>
  </si>
  <si>
    <t>M6501G</t>
  </si>
  <si>
    <t>M6600XB</t>
  </si>
  <si>
    <t>M6600XG</t>
  </si>
  <si>
    <t>M8100KB</t>
  </si>
  <si>
    <t>M8100KG</t>
  </si>
  <si>
    <t>M8600B</t>
  </si>
  <si>
    <t>M8600G</t>
  </si>
  <si>
    <t>M8700G</t>
  </si>
  <si>
    <t>M8701B</t>
  </si>
  <si>
    <t>M8701G</t>
  </si>
  <si>
    <t>M8701ZG-SAMPLE</t>
  </si>
  <si>
    <t>M9000B</t>
  </si>
  <si>
    <t>M9001B</t>
  </si>
  <si>
    <t>M9002B</t>
  </si>
  <si>
    <t>M9002G</t>
  </si>
  <si>
    <t>M9100B</t>
  </si>
  <si>
    <t>M9100G</t>
  </si>
  <si>
    <t>M9200B</t>
  </si>
  <si>
    <t>M9200G</t>
  </si>
  <si>
    <t>M9201B</t>
  </si>
  <si>
    <t>M9201G</t>
  </si>
  <si>
    <t>M9203G</t>
  </si>
  <si>
    <t>M9204B</t>
  </si>
  <si>
    <t>M9204G</t>
  </si>
  <si>
    <t>M9400B</t>
  </si>
  <si>
    <t>M9400G</t>
  </si>
  <si>
    <t>M9507B</t>
  </si>
  <si>
    <t>M9507G</t>
  </si>
  <si>
    <t>M9510B</t>
  </si>
  <si>
    <t>M9510G</t>
  </si>
  <si>
    <t>M9510G-SAMPLE</t>
  </si>
  <si>
    <t>ESMERIL ANGULAR 115MM</t>
  </si>
  <si>
    <t>M9800B</t>
  </si>
  <si>
    <t>M9800BKX2</t>
  </si>
  <si>
    <t>M9800BX1</t>
  </si>
  <si>
    <t>M9800G</t>
  </si>
  <si>
    <t>MAC5200</t>
  </si>
  <si>
    <t>COMPRESOR DE AIRE 3 HP - 19.8 L</t>
  </si>
  <si>
    <t>MASK001</t>
  </si>
  <si>
    <t>MASCARILLA DE TELLA</t>
  </si>
  <si>
    <t>MGA90B</t>
  </si>
  <si>
    <t>MHP131K</t>
  </si>
  <si>
    <t>MHP132X100</t>
  </si>
  <si>
    <t>ML0007G-SAMPLE</t>
  </si>
  <si>
    <t>ML001G-SAMPLE</t>
  </si>
  <si>
    <t>ML002G</t>
  </si>
  <si>
    <t>ML002G-SAMPLE</t>
  </si>
  <si>
    <t>ML003G</t>
  </si>
  <si>
    <t>ML003G-SAMPLE</t>
  </si>
  <si>
    <t>ML005G</t>
  </si>
  <si>
    <t>ML005G-SAMPLE</t>
  </si>
  <si>
    <t>ML006G</t>
  </si>
  <si>
    <t>ML006G-SAMPLE</t>
  </si>
  <si>
    <t>ML007G</t>
  </si>
  <si>
    <t>ML009G</t>
  </si>
  <si>
    <t>ML009G-SAMPLE</t>
  </si>
  <si>
    <t>ML010G</t>
  </si>
  <si>
    <t>ML010G-SAMPLE</t>
  </si>
  <si>
    <t>CORDLESS AREA WORKLIGHT</t>
  </si>
  <si>
    <t>ML011G</t>
  </si>
  <si>
    <t>LINTERNA DE MANO XGT 40VMAX / HASTA 300 LÚMENES / 01 PUERTO USB / SIN BATERÍAS</t>
  </si>
  <si>
    <t>ML011G-SAMPLE</t>
  </si>
  <si>
    <t>ML012G</t>
  </si>
  <si>
    <t>CORDLESS BAR LIGHT FOR DAMMY</t>
  </si>
  <si>
    <t>ML012G-SAMPLE</t>
  </si>
  <si>
    <t>ML102</t>
  </si>
  <si>
    <t>ML103</t>
  </si>
  <si>
    <t>ML103-SAMPLE</t>
  </si>
  <si>
    <t>LINTERNA M ML103 BATERIA</t>
  </si>
  <si>
    <t>ML104</t>
  </si>
  <si>
    <t>ML105</t>
  </si>
  <si>
    <t>ML106</t>
  </si>
  <si>
    <t>ML107-SAMPLE</t>
  </si>
  <si>
    <t>ML120</t>
  </si>
  <si>
    <t>MLS100</t>
  </si>
  <si>
    <t>MLT100</t>
  </si>
  <si>
    <t>MP001GZ</t>
  </si>
  <si>
    <t>MP001GZ-SAMPLE</t>
  </si>
  <si>
    <t>MP100DZ</t>
  </si>
  <si>
    <t>MQ0012</t>
  </si>
  <si>
    <t>MALETA INSTRUMENTO/MEDICION</t>
  </si>
  <si>
    <t>MR002GZ</t>
  </si>
  <si>
    <t>MR006GZ-SAMPLE</t>
  </si>
  <si>
    <t>MR010GZ-SAMPLE</t>
  </si>
  <si>
    <t>MR052</t>
  </si>
  <si>
    <t>MT60</t>
  </si>
  <si>
    <t>MT90B</t>
  </si>
  <si>
    <t>MTK0003B</t>
  </si>
  <si>
    <t>MTK0005B</t>
  </si>
  <si>
    <t>MUX60DZ</t>
  </si>
  <si>
    <t>CORTADOR MULTIUSO INALAMBRICA S/BATERIA</t>
  </si>
  <si>
    <t>MW001GZ</t>
  </si>
  <si>
    <t>MW001GZ-SAMPLE</t>
  </si>
  <si>
    <t>CORDLESS MICROWAVE OVEN</t>
  </si>
  <si>
    <t>N5900B</t>
  </si>
  <si>
    <t>P-00088</t>
  </si>
  <si>
    <t>LIJA DE BANDA 30X533MM GR.40X5PCS P-00088</t>
  </si>
  <si>
    <t>P-00094</t>
  </si>
  <si>
    <t>LIJA DE BANDA 30X533MM GR.60X5PCS P-00094</t>
  </si>
  <si>
    <t>P-00103</t>
  </si>
  <si>
    <t>LIJA DE BANDA 30X533MM GR.80X5PCS P-00103</t>
  </si>
  <si>
    <t>P-00119</t>
  </si>
  <si>
    <t>LIJA DE BANDA 30X533MM GR.100X5PCS</t>
  </si>
  <si>
    <t>P-00125</t>
  </si>
  <si>
    <t>LIJA DE BANDA 30X533MM GR.120X5PCS P-36712</t>
  </si>
  <si>
    <t>P-00131</t>
  </si>
  <si>
    <t>LIJA DE BANDA 30X533MM GR.150X5PCS P-00131</t>
  </si>
  <si>
    <t>P-04472</t>
  </si>
  <si>
    <t>P-04488</t>
  </si>
  <si>
    <t>P-04494</t>
  </si>
  <si>
    <t>P-17354</t>
  </si>
  <si>
    <t>P-22012</t>
  </si>
  <si>
    <t>MEZCLADOR RK120 P/UT120</t>
  </si>
  <si>
    <t>P-22028</t>
  </si>
  <si>
    <t>MEZCLADOR WK120 P/UT120</t>
  </si>
  <si>
    <t>P-24876</t>
  </si>
  <si>
    <t>P-29290</t>
  </si>
  <si>
    <t>P-29359</t>
  </si>
  <si>
    <t>P-29371</t>
  </si>
  <si>
    <t>P-29511</t>
  </si>
  <si>
    <t>P-35601</t>
  </si>
  <si>
    <t>P-36675</t>
  </si>
  <si>
    <t>LIJA DE BANDA 30X533MM GR.40X5PCS</t>
  </si>
  <si>
    <t>P-36681</t>
  </si>
  <si>
    <t>LIJA DE BANDA 30X533MM GR.60X5PCS</t>
  </si>
  <si>
    <t>P-36697</t>
  </si>
  <si>
    <t>LIJA DE BANDA 30X533MM GR.80X5PCS</t>
  </si>
  <si>
    <t>P-36712</t>
  </si>
  <si>
    <t>LIJA DE BANDA 30X533MM GR.120X5PCS</t>
  </si>
  <si>
    <t>P-36728</t>
  </si>
  <si>
    <t>LIJA DE BANDA 30X533MM GR.150X5PCS</t>
  </si>
  <si>
    <t>P-36734</t>
  </si>
  <si>
    <t>LIJA DE BANDA 30X533MM GR.240X5PCS</t>
  </si>
  <si>
    <t>P-39431</t>
  </si>
  <si>
    <t>LIJA DE BANDA 9X533MM GR.40X25PCS</t>
  </si>
  <si>
    <t>P-39447</t>
  </si>
  <si>
    <t>LIJA DE BANDA 9X533MM GR.60X25PCS</t>
  </si>
  <si>
    <t>P-39453</t>
  </si>
  <si>
    <t>LIJA DE BANDA 9X533MM GR.80X25PCS</t>
  </si>
  <si>
    <t>P-39469</t>
  </si>
  <si>
    <t>LIJA DE BANDA 9X533MM GR.100X25PCS</t>
  </si>
  <si>
    <t>P-39475</t>
  </si>
  <si>
    <t>LIJA DE BANDA 9X533MM GR.120X25PCS</t>
  </si>
  <si>
    <t>P-43256</t>
  </si>
  <si>
    <t>LIJA DE BANDA 9X533MM GR.40X5PCS</t>
  </si>
  <si>
    <t>P-43262</t>
  </si>
  <si>
    <t>LIJA DE BANDA 9X533MM GR.60X5PCS</t>
  </si>
  <si>
    <t>P-43278</t>
  </si>
  <si>
    <t>LIJA DE BANDA 9X533MM GR.80X5PCS</t>
  </si>
  <si>
    <t>P-43284</t>
  </si>
  <si>
    <t>LIJA DE BANDA 9X533MM GR.100X5PCS</t>
  </si>
  <si>
    <t>P-43290</t>
  </si>
  <si>
    <t>LIJA DE BANDA 9X533MM GR.120X5PCS</t>
  </si>
  <si>
    <t>P-43309</t>
  </si>
  <si>
    <t>LIJA DE BANDA 9X533MM GR.150X5PCS</t>
  </si>
  <si>
    <t>P-43315</t>
  </si>
  <si>
    <t>LIJA DE BANDA 9X533MM GR.240X5PCS</t>
  </si>
  <si>
    <t>P-44149</t>
  </si>
  <si>
    <t>P-46953</t>
  </si>
  <si>
    <t>P-53914</t>
  </si>
  <si>
    <t>P-53920</t>
  </si>
  <si>
    <t>P-53936</t>
  </si>
  <si>
    <t>P-53942</t>
  </si>
  <si>
    <t>P-77730</t>
  </si>
  <si>
    <t>P-77855</t>
  </si>
  <si>
    <t>P-78031</t>
  </si>
  <si>
    <t>BROCA SDS-MAX   32 X 450 X 370MM.ZENTRO PUNTO</t>
  </si>
  <si>
    <t>P-78047</t>
  </si>
  <si>
    <t>BROCA SDS-MAX   32 X 450 X 570MM.ZENTRO PUNTO( P-17354)</t>
  </si>
  <si>
    <t>P-78053</t>
  </si>
  <si>
    <t>BROCA SDS-MAX   32 X 800 X 920MM.ZENTRO PUNTO</t>
  </si>
  <si>
    <t>P-78069</t>
  </si>
  <si>
    <t>P-78558</t>
  </si>
  <si>
    <t>BROCA SDS-MAX   30 X 600 X 720MM.ZENTRO PUNTO</t>
  </si>
  <si>
    <t>P-90320</t>
  </si>
  <si>
    <t>P-90358</t>
  </si>
  <si>
    <t>MALETIN DE ACCESORIOS COMBINADO 60PCS</t>
  </si>
  <si>
    <t>P0054</t>
  </si>
  <si>
    <t>PB002GZ</t>
  </si>
  <si>
    <t>PB002GZ-SAMPLE</t>
  </si>
  <si>
    <t>CORDLESS PORTABLE BAND SAW</t>
  </si>
  <si>
    <t>PC5000C</t>
  </si>
  <si>
    <t>PC5001C</t>
  </si>
  <si>
    <t>PC5010C</t>
  </si>
  <si>
    <t>PDC1200A01</t>
  </si>
  <si>
    <t>PDC1200A02</t>
  </si>
  <si>
    <t>PDC1500A01</t>
  </si>
  <si>
    <t>PDC1500A01-SAMPLE</t>
  </si>
  <si>
    <t>PE00000001</t>
  </si>
  <si>
    <t>PE3450H</t>
  </si>
  <si>
    <t>PF0300</t>
  </si>
  <si>
    <t>PF0410</t>
  </si>
  <si>
    <t>PF0800</t>
  </si>
  <si>
    <t>PF1010</t>
  </si>
  <si>
    <t>PF400MP</t>
  </si>
  <si>
    <t>PF400MP-SAMPLE</t>
  </si>
  <si>
    <t>PUMP ATTACHMENT</t>
  </si>
  <si>
    <t>PG6550H</t>
  </si>
  <si>
    <t>CORTADORA DE CESPED A COMBUSTION</t>
  </si>
  <si>
    <t>PILOT L</t>
  </si>
  <si>
    <t>PILOT LARGO</t>
  </si>
  <si>
    <t>PILOTL</t>
  </si>
  <si>
    <t>GUIA PILOTO DE 2""(50MM) PARA BROCA (WELDON)</t>
  </si>
  <si>
    <t>PILOTS</t>
  </si>
  <si>
    <t>GUIA PILOTO DE 1""(25MM) PARA BROCA (WELDON)</t>
  </si>
  <si>
    <t>PJ7000</t>
  </si>
  <si>
    <t>PK5011C</t>
  </si>
  <si>
    <t>PLM4120</t>
  </si>
  <si>
    <t>PLM4627N</t>
  </si>
  <si>
    <t>PLM4628N</t>
  </si>
  <si>
    <t>PLM5113N</t>
  </si>
  <si>
    <t>PLM5113N2</t>
  </si>
  <si>
    <t>PLM5600N2</t>
  </si>
  <si>
    <t>PM001GZ</t>
  </si>
  <si>
    <t>PM001GZ-SAMPLE</t>
  </si>
  <si>
    <t>BACKPACK MIST BLOWER</t>
  </si>
  <si>
    <t>PM7650H</t>
  </si>
  <si>
    <t>PO5000C</t>
  </si>
  <si>
    <t>PP001GZK-SAMPLE</t>
  </si>
  <si>
    <t>CORDLESS HOLE PUNCHER</t>
  </si>
  <si>
    <t>PP317</t>
  </si>
  <si>
    <t>EXHIBIDOR PARA CORTADORES ANULARES</t>
  </si>
  <si>
    <t>PT001GZ</t>
  </si>
  <si>
    <t>PT001GZ-SAMPLE</t>
  </si>
  <si>
    <t>CORDLESS PIN NAILER</t>
  </si>
  <si>
    <t>PT354DZ-SAMPLE</t>
  </si>
  <si>
    <t>CLAVADORA INALAMBRICO</t>
  </si>
  <si>
    <t>PV001GZ</t>
  </si>
  <si>
    <t>PV001GZ-SAMPLE</t>
  </si>
  <si>
    <t>180MM CORDLESS POLISHER</t>
  </si>
  <si>
    <t>PW5001C</t>
  </si>
  <si>
    <t>RBC412U</t>
  </si>
  <si>
    <t>RBC414U</t>
  </si>
  <si>
    <t>RBL500</t>
  </si>
  <si>
    <t>RP001GZ</t>
  </si>
  <si>
    <t>RP0900</t>
  </si>
  <si>
    <t>RP0900X3</t>
  </si>
  <si>
    <t>RP1801</t>
  </si>
  <si>
    <t>RP2301FC</t>
  </si>
  <si>
    <t>RP2301FC02</t>
  </si>
  <si>
    <t>RS001GM101</t>
  </si>
  <si>
    <t>SIERRA CIRCULAR 7-1/4" 40V XGT / CAP CORTE 65 MM (2-9/16") / XPT-BL-ADT/BL4040 (X1) + DC40RA(1)</t>
  </si>
  <si>
    <t>RS001GZ</t>
  </si>
  <si>
    <t>RS001GZ-SAMPLE</t>
  </si>
  <si>
    <t>185MM REAR HANDLE SAW</t>
  </si>
  <si>
    <t>RS002GZ-SAMPLE</t>
  </si>
  <si>
    <t>RT001GM203</t>
  </si>
  <si>
    <t>RECORTADORA XGT 40V 1/4"-3/8"/ BL-AWS-XPT/ 10.000-31.000 RPM./BL4040(X2)+DC40RA+MAKPACK</t>
  </si>
  <si>
    <t>RT001GM213</t>
  </si>
  <si>
    <t>RT001GZ08</t>
  </si>
  <si>
    <t>RECORTADORA XGT 40V 1/4"-3/8"/ BL-AWS-XPT/ 10.000-31.000 RPM./ SIN BATERÍAS + MAKPACK</t>
  </si>
  <si>
    <t>RT001GZ26</t>
  </si>
  <si>
    <t>RT001GZ26-SAMPLE</t>
  </si>
  <si>
    <t>CORDLESS TRIMMER</t>
  </si>
  <si>
    <t>RT0700C</t>
  </si>
  <si>
    <t>RT0700CW1J</t>
  </si>
  <si>
    <t>RT0700CX2</t>
  </si>
  <si>
    <t>RT0700CX3</t>
  </si>
  <si>
    <t>SA5040C</t>
  </si>
  <si>
    <t>SA7000C</t>
  </si>
  <si>
    <t>SC00000142</t>
  </si>
  <si>
    <t>ACEITE</t>
  </si>
  <si>
    <t>SC001GZK-SAMPLE</t>
  </si>
  <si>
    <t>CORDLESS STEEL ROD CUTTER</t>
  </si>
  <si>
    <t>SC103DZ</t>
  </si>
  <si>
    <t>SC103DZ - SAMPLE</t>
  </si>
  <si>
    <t>CORDLESS THREADED ROD CUTTER</t>
  </si>
  <si>
    <t>SD100DZ</t>
  </si>
  <si>
    <t>SD100DZ-SAMPLE</t>
  </si>
  <si>
    <t>CORTADORA DE DRYWALL 12V. 0-6000 CPM CAP. CORTE 25MM. 1.6 KG. LXT S/BATERIA</t>
  </si>
  <si>
    <t>SG1251J</t>
  </si>
  <si>
    <t>SH00000034</t>
  </si>
  <si>
    <t>SH00000060</t>
  </si>
  <si>
    <t>SH00000063</t>
  </si>
  <si>
    <t>SH00000064</t>
  </si>
  <si>
    <t>SH00000065</t>
  </si>
  <si>
    <t>SH00000213</t>
  </si>
  <si>
    <t>SH00000240</t>
  </si>
  <si>
    <t>SJ401</t>
  </si>
  <si>
    <t>SK102Z</t>
  </si>
  <si>
    <t>SK103PZ</t>
  </si>
  <si>
    <t>SK104</t>
  </si>
  <si>
    <t>SK104-SAMPLE</t>
  </si>
  <si>
    <t>SK104Z</t>
  </si>
  <si>
    <t>SK105DZ</t>
  </si>
  <si>
    <t>SK106GDZ</t>
  </si>
  <si>
    <t>SK209GDZ</t>
  </si>
  <si>
    <t>SK312GDZ</t>
  </si>
  <si>
    <t>SK40GD</t>
  </si>
  <si>
    <t>SK40GD-SAMPLE</t>
  </si>
  <si>
    <t>SK700GD</t>
  </si>
  <si>
    <t>SK700GD-SAMPLE</t>
  </si>
  <si>
    <t>RECHARGEBLE MULTI LINE LASESR</t>
  </si>
  <si>
    <t>SKR200Z</t>
  </si>
  <si>
    <t>SP001GZ</t>
  </si>
  <si>
    <t>SP001GZ-SAMPLE</t>
  </si>
  <si>
    <t>SP6000</t>
  </si>
  <si>
    <t>ST113DZ</t>
  </si>
  <si>
    <t>ST113DZ-SAMPLE</t>
  </si>
  <si>
    <t>STEX122385</t>
  </si>
  <si>
    <t>GUIA DE CORTE P/3620</t>
  </si>
  <si>
    <t>STEXBML360</t>
  </si>
  <si>
    <t>LUZ FLUORESCENTE RECARGABLE P/ BML360</t>
  </si>
  <si>
    <t>STEXBML800</t>
  </si>
  <si>
    <t>LINTERNA RECARGABLE ML240</t>
  </si>
  <si>
    <t>STEXML187</t>
  </si>
  <si>
    <t>LINTERNA RECARGABLE</t>
  </si>
  <si>
    <t>T-01862</t>
  </si>
  <si>
    <t>T-01878</t>
  </si>
  <si>
    <t>T-01884</t>
  </si>
  <si>
    <t>T-01890</t>
  </si>
  <si>
    <t>T-01909</t>
  </si>
  <si>
    <t>T-01915</t>
  </si>
  <si>
    <t>T-01921</t>
  </si>
  <si>
    <t>T-01937</t>
  </si>
  <si>
    <t>TORNILLO P/ PE4350H</t>
  </si>
  <si>
    <t>T-01943</t>
  </si>
  <si>
    <t>T-01959</t>
  </si>
  <si>
    <t>T-01965</t>
  </si>
  <si>
    <t>T-01971</t>
  </si>
  <si>
    <t>ADAPTADOR DE PUERTO PARA BROCAS  P/ PE4350H</t>
  </si>
  <si>
    <t>T-02375</t>
  </si>
  <si>
    <t>T-02381</t>
  </si>
  <si>
    <t>T-02397</t>
  </si>
  <si>
    <t>T-02406</t>
  </si>
  <si>
    <t>T-02412</t>
  </si>
  <si>
    <t>T-02428</t>
  </si>
  <si>
    <t>T-02440</t>
  </si>
  <si>
    <t>ANTEOJO ECO LINE AMARILLO AF</t>
  </si>
  <si>
    <t>T-02521</t>
  </si>
  <si>
    <t>KIT MASCARA PARA CORTE (LIBUS) )(SOPORT CON ARNES Y MALLA)</t>
  </si>
  <si>
    <t>T-02668</t>
  </si>
  <si>
    <t>WHITE FOAM PAD ACC</t>
  </si>
  <si>
    <t>T-02674</t>
  </si>
  <si>
    <t>ORANGE FOAM PAD ACC</t>
  </si>
  <si>
    <t>T000002-A</t>
  </si>
  <si>
    <t>TB131</t>
  </si>
  <si>
    <t>TD00000001</t>
  </si>
  <si>
    <t>TOOL BAG FOR OVERSEAS</t>
  </si>
  <si>
    <t>TD00000002</t>
  </si>
  <si>
    <t>STRAP FOR OVERSEAS</t>
  </si>
  <si>
    <t>TD00000110</t>
  </si>
  <si>
    <t>TD00000111</t>
  </si>
  <si>
    <t>TD00000112</t>
  </si>
  <si>
    <t>CABLE ADAPTADOR PARA CASACA</t>
  </si>
  <si>
    <t>TD001GM201</t>
  </si>
  <si>
    <t>TD001GZ</t>
  </si>
  <si>
    <t>TD001GZ-SAMPLE</t>
  </si>
  <si>
    <t>TD002GZ01</t>
  </si>
  <si>
    <t>TD002GZ01-SAMPLE</t>
  </si>
  <si>
    <t>TD003GZ</t>
  </si>
  <si>
    <t>TD003GZ-SAMPLE</t>
  </si>
  <si>
    <t>TD0100</t>
  </si>
  <si>
    <t>TD0101</t>
  </si>
  <si>
    <t>TD022DSE</t>
  </si>
  <si>
    <t>TD090DWEW</t>
  </si>
  <si>
    <t>TD110DWAE</t>
  </si>
  <si>
    <t>TD110DZ</t>
  </si>
  <si>
    <t>TD111DSAE</t>
  </si>
  <si>
    <t>TD111DZ</t>
  </si>
  <si>
    <t>TD111DZ-SAMPLE</t>
  </si>
  <si>
    <t>TD112DMZ-SAMPLE</t>
  </si>
  <si>
    <t>TD127DWE</t>
  </si>
  <si>
    <t>TD127DZ</t>
  </si>
  <si>
    <t>ATORNILLADOR DE IMPACTO INALAMBRICO 18 V</t>
  </si>
  <si>
    <t>TE00000691</t>
  </si>
  <si>
    <t>TK0LM4001F</t>
  </si>
  <si>
    <t>TRIPODE 1800</t>
  </si>
  <si>
    <t>TL064DZ</t>
  </si>
  <si>
    <t>TL064DZ-SAMPLE</t>
  </si>
  <si>
    <t>ATORNILLADOR ANGULAR DE IMPACTO INALAMBRICO</t>
  </si>
  <si>
    <t>TL065DZ</t>
  </si>
  <si>
    <t>TM001GZ</t>
  </si>
  <si>
    <t>TM3000C</t>
  </si>
  <si>
    <t>TM3000CX1</t>
  </si>
  <si>
    <t>TM3010CK</t>
  </si>
  <si>
    <t>TM30DWYEX1</t>
  </si>
  <si>
    <t>TM30DZ</t>
  </si>
  <si>
    <t>TM30DZ-SAMPLE</t>
  </si>
  <si>
    <t>MULTITOOL INALAMBRICA S/BATERIA</t>
  </si>
  <si>
    <t>TR00000002</t>
  </si>
  <si>
    <t>CARRO MAKPAC</t>
  </si>
  <si>
    <t>TW001GM201</t>
  </si>
  <si>
    <t>TW001GZ</t>
  </si>
  <si>
    <t>LLAVE DE IMPACTO 3/4"" XGT 40VMAX / 4 VEL. / 1800NM / BL-XPT/SIN BATERÍAS</t>
  </si>
  <si>
    <t>TW001GZ-SAMPLE</t>
  </si>
  <si>
    <t>CORDLESS IMPACT WRENCH</t>
  </si>
  <si>
    <t>TW005GD201</t>
  </si>
  <si>
    <t>TW005GZ</t>
  </si>
  <si>
    <t>TW005GZ-SAMPLE</t>
  </si>
  <si>
    <t>CORDLESS IMPACT WRENCH.</t>
  </si>
  <si>
    <t>TW007GM201</t>
  </si>
  <si>
    <t>TW007GZ</t>
  </si>
  <si>
    <t>TW007GZ-SAMPLE</t>
  </si>
  <si>
    <t>TW008GZ</t>
  </si>
  <si>
    <t>TW008GZ-SAMPLE</t>
  </si>
  <si>
    <t>TW009GZ</t>
  </si>
  <si>
    <t>TW010GT201</t>
  </si>
  <si>
    <t>TW010GZ</t>
  </si>
  <si>
    <t>TW0350</t>
  </si>
  <si>
    <t>TW060DSAE</t>
  </si>
  <si>
    <t>TW060DSME</t>
  </si>
  <si>
    <t>TW060DZ</t>
  </si>
  <si>
    <t>TW1000</t>
  </si>
  <si>
    <t>TW100DWE</t>
  </si>
  <si>
    <t>TW140DSAEX</t>
  </si>
  <si>
    <t>TW140DWAE</t>
  </si>
  <si>
    <t>TW140DZ</t>
  </si>
  <si>
    <t>TW140DZ-SAMPLE</t>
  </si>
  <si>
    <t>LLAVE DE IMPACTO INALAMBRICA</t>
  </si>
  <si>
    <t>TW141DSAE</t>
  </si>
  <si>
    <t>TW141DSME</t>
  </si>
  <si>
    <t>TW141DZ</t>
  </si>
  <si>
    <t>TW141DZ-SAMPLE</t>
  </si>
  <si>
    <t>TW160DZ</t>
  </si>
  <si>
    <t>TW161DSMJ</t>
  </si>
  <si>
    <t>TW161DZ</t>
  </si>
  <si>
    <t>TW161DZ-SAMPLE</t>
  </si>
  <si>
    <t>TW202DZ</t>
  </si>
  <si>
    <t>LLAVE DE IMPACTO 1/2"" 18VMAX G BATTERY /VEL. VAR. / 200NM / BL-XPT/SIN BATERÍAS</t>
  </si>
  <si>
    <t>TW202DZ-SAMPLE</t>
  </si>
  <si>
    <t>UA004GZ01</t>
  </si>
  <si>
    <t>UA004GZ01-SAMPLE</t>
  </si>
  <si>
    <t>UB001CZ</t>
  </si>
  <si>
    <t>UB001CZ-SAMPLE</t>
  </si>
  <si>
    <t>UB001GZ</t>
  </si>
  <si>
    <t>UB001GZ-SAMPLE</t>
  </si>
  <si>
    <t>UB002CZ</t>
  </si>
  <si>
    <t>UB002CZ-SAMPLE</t>
  </si>
  <si>
    <t>BACKPACK BLOWER</t>
  </si>
  <si>
    <t>UB003CZ-SAMPLE</t>
  </si>
  <si>
    <t>BATTERY POWERED BLOWER</t>
  </si>
  <si>
    <t>UB004CZ</t>
  </si>
  <si>
    <t>UB004CZ-SAMPLE</t>
  </si>
  <si>
    <t>UB100DZ-SAMPLE</t>
  </si>
  <si>
    <t>SOPLADORA</t>
  </si>
  <si>
    <t>UB101DZ</t>
  </si>
  <si>
    <t>SOPLADORA INALAMBRICA CXT</t>
  </si>
  <si>
    <t>UB1101</t>
  </si>
  <si>
    <t>UB1103</t>
  </si>
  <si>
    <t>UC004GM102</t>
  </si>
  <si>
    <t>UC004GZ01</t>
  </si>
  <si>
    <t>UC004GZ01-SAMPLE</t>
  </si>
  <si>
    <t>UC016GZ02</t>
  </si>
  <si>
    <t>UC016GZ02-SAMPLE</t>
  </si>
  <si>
    <t>UC021GZ</t>
  </si>
  <si>
    <t>UC021GZ-SAMPLE</t>
  </si>
  <si>
    <t>300MM CORDLESS CHAINSAW</t>
  </si>
  <si>
    <t>UC029GZ01-SAMPLE</t>
  </si>
  <si>
    <t>150MM PRUNING SAW</t>
  </si>
  <si>
    <t>UC250DW</t>
  </si>
  <si>
    <t>UC4020A</t>
  </si>
  <si>
    <t>UC4041A</t>
  </si>
  <si>
    <t>UC4551A</t>
  </si>
  <si>
    <t>UH006GZ-SAMPLE</t>
  </si>
  <si>
    <t>600MM HEDGE TRIMMER</t>
  </si>
  <si>
    <t>UH007GZ-SAMPLE</t>
  </si>
  <si>
    <t>750MM HEDGE TRIMMER</t>
  </si>
  <si>
    <t>UH009GZ</t>
  </si>
  <si>
    <t>UH201DZ</t>
  </si>
  <si>
    <t>UH201DZ-SAMPLE</t>
  </si>
  <si>
    <t>UH353DSME</t>
  </si>
  <si>
    <t>UH353DZ</t>
  </si>
  <si>
    <t>UH5261</t>
  </si>
  <si>
    <t>UH550DWB</t>
  </si>
  <si>
    <t>UK360DZ</t>
  </si>
  <si>
    <t>UM600DZ</t>
  </si>
  <si>
    <t>UM600DZ-SAMPLE</t>
  </si>
  <si>
    <t>CORTADOR DE CESPED A BATERIA</t>
  </si>
  <si>
    <t>UM603DZ</t>
  </si>
  <si>
    <t>UM603DZ-SAMPLE</t>
  </si>
  <si>
    <t>UN001GZ</t>
  </si>
  <si>
    <t>UP100DZ</t>
  </si>
  <si>
    <t>UP100DZ-SAMPLE</t>
  </si>
  <si>
    <t>UR002GZ</t>
  </si>
  <si>
    <t>UR002GZ-SAMPLE</t>
  </si>
  <si>
    <t>UR006GM101</t>
  </si>
  <si>
    <t>UR006GZ02</t>
  </si>
  <si>
    <t>UR006GZ02-SAMPLE</t>
  </si>
  <si>
    <t>UR012GZ02</t>
  </si>
  <si>
    <t>UR012GZ02-SAMPLE</t>
  </si>
  <si>
    <t>UR013GZ03</t>
  </si>
  <si>
    <t>UR013GZ03-SAMPLE</t>
  </si>
  <si>
    <t>UR016GZ</t>
  </si>
  <si>
    <t>UR016GZ-SAMPLE</t>
  </si>
  <si>
    <t>UR100DWAE</t>
  </si>
  <si>
    <t>UR100DZ</t>
  </si>
  <si>
    <t>UR100DZ-SAMPLE</t>
  </si>
  <si>
    <t>UR101CZ</t>
  </si>
  <si>
    <t>UR101CZ-SAMPLE</t>
  </si>
  <si>
    <t>US1-1/16X1</t>
  </si>
  <si>
    <t>US1-1/16X2</t>
  </si>
  <si>
    <t>US1-1/2X1</t>
  </si>
  <si>
    <t>US1-1/2X2</t>
  </si>
  <si>
    <t>US1-1/4X1</t>
  </si>
  <si>
    <t>US1-1/4X2</t>
  </si>
  <si>
    <t>US1-1/8X1</t>
  </si>
  <si>
    <t>US1-11/16X1</t>
  </si>
  <si>
    <t>US1-13/16X1</t>
  </si>
  <si>
    <t>BROCA ANULAR ENCASTRE WELDON   13/16 X 1</t>
  </si>
  <si>
    <t>US1-15/16X1</t>
  </si>
  <si>
    <t>US1-3/16X1</t>
  </si>
  <si>
    <t>BROCA ANULAR ENCASTRE WELDON   1-3/16X1</t>
  </si>
  <si>
    <t>US1-3/16X2</t>
  </si>
  <si>
    <t>US1-3/4X1</t>
  </si>
  <si>
    <t>US1-3/8X1</t>
  </si>
  <si>
    <t>US1-5/16X1</t>
  </si>
  <si>
    <t>US1-5/8X1</t>
  </si>
  <si>
    <t>US1-7/16X1</t>
  </si>
  <si>
    <t>US1-7/8X1</t>
  </si>
  <si>
    <t>US1-9/16X1</t>
  </si>
  <si>
    <t>US1/2X1</t>
  </si>
  <si>
    <t>US1/2X2</t>
  </si>
  <si>
    <t>US11/16X1</t>
  </si>
  <si>
    <t>US13/16X1</t>
  </si>
  <si>
    <t>US15/16X1</t>
  </si>
  <si>
    <t>US1X1</t>
  </si>
  <si>
    <t>US2X1</t>
  </si>
  <si>
    <t>US3/4X1</t>
  </si>
  <si>
    <t>US3/4X2</t>
  </si>
  <si>
    <t>US5/8X1</t>
  </si>
  <si>
    <t>US7/16X1</t>
  </si>
  <si>
    <t>US7/8X1</t>
  </si>
  <si>
    <t>US7/8X2</t>
  </si>
  <si>
    <t>US9/16X1</t>
  </si>
  <si>
    <t>UT001GZ</t>
  </si>
  <si>
    <t>UT001GZ-SAMPLE</t>
  </si>
  <si>
    <t>CORDLESS MIXER</t>
  </si>
  <si>
    <t>UT002GZ</t>
  </si>
  <si>
    <t>UT002GZ-SAMPLE</t>
  </si>
  <si>
    <t>UT140</t>
  </si>
  <si>
    <t>UT1400</t>
  </si>
  <si>
    <t>UT160</t>
  </si>
  <si>
    <t>UT1600</t>
  </si>
  <si>
    <t>UV001GZ</t>
  </si>
  <si>
    <t>UV001GZ-SAMPLE</t>
  </si>
  <si>
    <t>380MM SCARIFIER</t>
  </si>
  <si>
    <t>UX01GZ</t>
  </si>
  <si>
    <t>UX01GZ-SAMPLE</t>
  </si>
  <si>
    <t>VC001GLZ</t>
  </si>
  <si>
    <t>VC003GLZ</t>
  </si>
  <si>
    <t>VC003GLZ-SAMPLE</t>
  </si>
  <si>
    <t>VC004GLZ01</t>
  </si>
  <si>
    <t>VC004GLZ01-SAMPLE</t>
  </si>
  <si>
    <t>VC007GLZ05</t>
  </si>
  <si>
    <t>VC007GLZ05-SAMPLE</t>
  </si>
  <si>
    <t>ASPIRADORA XGT</t>
  </si>
  <si>
    <t>VC008GZ</t>
  </si>
  <si>
    <t>VC008GZ-SAMPLE</t>
  </si>
  <si>
    <t>ASPIRADORA INALAMBRICA DE MOCHILA 40V XGT</t>
  </si>
  <si>
    <t>VC009GZ</t>
  </si>
  <si>
    <t>VC009GZ-SAMPLE</t>
  </si>
  <si>
    <t>VC010GZ</t>
  </si>
  <si>
    <t>VC010GZ-SAMPLE</t>
  </si>
  <si>
    <t>VC011GZ</t>
  </si>
  <si>
    <t>VC011GZ-SAMPLE</t>
  </si>
  <si>
    <t>VC012GZ</t>
  </si>
  <si>
    <t>VC012GZ-SAMPLE</t>
  </si>
  <si>
    <t>VC1310LX1</t>
  </si>
  <si>
    <t>VC2211M</t>
  </si>
  <si>
    <t>VC2510LX1</t>
  </si>
  <si>
    <t>VC3210LX1</t>
  </si>
  <si>
    <t>VC3211H</t>
  </si>
  <si>
    <t>VC3211M</t>
  </si>
  <si>
    <t>VR001GZ</t>
  </si>
  <si>
    <t>VR001GZ-SAMPLE</t>
  </si>
  <si>
    <t>CONCRETE VIBRATOR</t>
  </si>
  <si>
    <t>VR003CZ-SAMPLE</t>
  </si>
  <si>
    <t>CORDLESS CONCRETE VIBRATOR</t>
  </si>
  <si>
    <t>VR004CZ-SAMPLE</t>
  </si>
  <si>
    <t>VR1000</t>
  </si>
  <si>
    <t>VS001GZ</t>
  </si>
  <si>
    <t>VS001GZ-SAMPLE</t>
  </si>
  <si>
    <t>CORDLESS VACUUM SWEEPER</t>
  </si>
  <si>
    <t>WL00000058</t>
  </si>
  <si>
    <t>AC ADAPTER</t>
  </si>
  <si>
    <t>WR100DSM</t>
  </si>
  <si>
    <t>WR100DZ</t>
  </si>
  <si>
    <t>WR100DZ-SAMLE</t>
  </si>
  <si>
    <t>WT001GZ</t>
  </si>
  <si>
    <t>WT001GZ-SAMPLE</t>
  </si>
  <si>
    <t>Z74152-0</t>
  </si>
  <si>
    <t>DUMMY DE BATERIA</t>
  </si>
  <si>
    <t>Z87705-SAMPLE</t>
  </si>
  <si>
    <t>ROTARY SCISSORS ATTACH SET E.</t>
  </si>
  <si>
    <t>BO003CGZ-SAMPLE</t>
  </si>
  <si>
    <t>RANDOM ORBIT SANDER</t>
  </si>
  <si>
    <t>DRT52Z-SAMPLE</t>
  </si>
  <si>
    <t>RP001GZ-SAMPLE</t>
  </si>
  <si>
    <t>CORDLESS ROUTER</t>
  </si>
  <si>
    <t>E-03040</t>
  </si>
  <si>
    <t>1914R6-0</t>
  </si>
  <si>
    <t>1914R8-6</t>
  </si>
  <si>
    <t>1915D7-6</t>
  </si>
  <si>
    <t>1915D8-4</t>
  </si>
  <si>
    <t>CE003GZ01-SAMPLE</t>
  </si>
  <si>
    <t>230MM POWER CUTTER</t>
  </si>
  <si>
    <t>UN001GZ-SAMPLE</t>
  </si>
  <si>
    <t>1914E7-7</t>
  </si>
  <si>
    <t>BS001GZ</t>
  </si>
  <si>
    <t>DGA518RTE</t>
  </si>
  <si>
    <t>DGA518Z</t>
  </si>
  <si>
    <t>DHP453Y002</t>
  </si>
  <si>
    <t>DTD173Z</t>
  </si>
  <si>
    <t>DUC101RF</t>
  </si>
  <si>
    <t>SIERRA DE PODA  4" 18V LXT / BL / INC. PORTALIMA + LIMA + BATERÍA/CARGADOR</t>
  </si>
  <si>
    <t>1915E5-7</t>
  </si>
  <si>
    <t>TD004GZ-SAMPLE</t>
  </si>
  <si>
    <t>MR014GZ-SAMPLE</t>
  </si>
  <si>
    <t>CORDLESS JOB SITE SPEAKER</t>
  </si>
  <si>
    <t>DUC101RF01</t>
  </si>
  <si>
    <t>D-80553</t>
  </si>
  <si>
    <t>D-80597</t>
  </si>
  <si>
    <t>D-80606</t>
  </si>
  <si>
    <t>D-80612</t>
  </si>
  <si>
    <t>D-80634</t>
  </si>
  <si>
    <t>E-24913</t>
  </si>
  <si>
    <t>FLAP DISC FOR HEAVY DUTY</t>
  </si>
  <si>
    <t>DHW180Z01-SAMPLE</t>
  </si>
  <si>
    <t>NYLON 2.4 MM (4 HOJAS) 15 M P/URR016 - UR101C</t>
  </si>
  <si>
    <t>GRATA DE COPA RIZADA 100MM. X M14 X 0.3</t>
  </si>
  <si>
    <t>BROCA SDS PLUS CORTADOR DE VARILLAS 1/2" X 12"</t>
  </si>
  <si>
    <t>BROCA SDS PLUS CORTADOR DE VARILLAS 5/8" X 12"</t>
  </si>
  <si>
    <t>DACO MAGNETICO HEXAGONAL 1/4"  8 X 50MM</t>
  </si>
  <si>
    <t>DACO MAGNETICO HEXAGONAL 1/4"  10 X 50MM</t>
  </si>
  <si>
    <t>DISCO DIAMANTADO SEGMENTADO 355MM (14")</t>
  </si>
  <si>
    <t>TM001GZ-SAMPLE</t>
  </si>
  <si>
    <t>CORDLESS MULTITOOL</t>
  </si>
  <si>
    <t>1914X3-8</t>
  </si>
  <si>
    <t>HS013GZ</t>
  </si>
  <si>
    <t>DBN900ZK</t>
  </si>
  <si>
    <t>TW002GM201</t>
  </si>
  <si>
    <t>TW002GZ</t>
  </si>
  <si>
    <t>BO007CGZ</t>
  </si>
  <si>
    <t>DK0178G204</t>
  </si>
  <si>
    <t>DUV320Z</t>
  </si>
  <si>
    <t>UC029GZ01</t>
  </si>
  <si>
    <t>VC2510L</t>
  </si>
  <si>
    <t>VC3210L</t>
  </si>
  <si>
    <t>BATERIA 12VMAX CXT 5.0AH -  BL1050B</t>
  </si>
  <si>
    <t>MANGO ANTIVIBRACION PARA ESMERIL 7" Y 9"</t>
  </si>
  <si>
    <t>DISCO ABRA CORTE INOX ULTRA DELGADO 4 1/2" X 1/32" (115X0.8MM) (Z60V) ALTO RENDIMIENTO</t>
  </si>
  <si>
    <t>GUARDA PARA SOLAQUEO 7" 180MM.</t>
  </si>
  <si>
    <t>D-79924</t>
  </si>
  <si>
    <t>D-79930</t>
  </si>
  <si>
    <t>D-79946</t>
  </si>
  <si>
    <t>DTC301ZK-SAMPLE</t>
  </si>
  <si>
    <t>DTD173Z-SAMPLE</t>
  </si>
  <si>
    <t>Z74155-0</t>
  </si>
  <si>
    <t>DISPLAY BATTERY BL4040F FOR ZZY</t>
  </si>
  <si>
    <t>DUA200Z01-SAMPLE</t>
  </si>
  <si>
    <t>1915C1-1</t>
  </si>
  <si>
    <t>DISCO DIAMANTADO SEGMENTADO 4-1/2" (115MM)</t>
  </si>
  <si>
    <t>DISCO DE SIERRA PARA MADERA 10" X 1" (255 X 25.4 X 3.2MM) 40 DIENTES</t>
  </si>
  <si>
    <t>TD004GZ</t>
  </si>
  <si>
    <t>D-80494</t>
  </si>
  <si>
    <t>D-80503</t>
  </si>
  <si>
    <t>D-80525</t>
  </si>
  <si>
    <t>D-80531</t>
  </si>
  <si>
    <t>1914U3-7</t>
  </si>
  <si>
    <t>RUEDA ABRASIVA PARA ESMERIL RECTO (GRANO A24P) 125X19X12.7 MM.</t>
  </si>
  <si>
    <t>B-38716</t>
  </si>
  <si>
    <t>BS001GZ-SAMPLE</t>
  </si>
  <si>
    <t>FRESA RECTA 2F C/RODAMIENTO VAS. 1/4" *D 1/2" * L. UTIL 1" * L. TOTAL 2-1/2"</t>
  </si>
  <si>
    <t>D-21048</t>
  </si>
  <si>
    <t>D-45777</t>
  </si>
  <si>
    <t>D-69602</t>
  </si>
  <si>
    <t>D-69711</t>
  </si>
  <si>
    <t>ESCOBILLA COPA 50MM PELO 0.3MM ONDULADA HEX 1/4 (P/ TALADRO) - METAL</t>
  </si>
  <si>
    <t>ESCOBILLA PLANA 50MM PELO ONDULADO 0.3MM (P/ TALADRO) - METAL</t>
  </si>
  <si>
    <t>ESCOBILLA ACABADO  24MM PELO ONDULADO 0.3MM (P/ TALADRO) - METAL</t>
  </si>
  <si>
    <t>DISCO DE SIERRA PARA ALUMINIO (10-15/64"" X 1") (260X30MM) 81 D EFFICUT</t>
  </si>
  <si>
    <t>DISCO ABRASIVO P/ALBAÑILERIA 14" (355X4.3X25.4 MM.) (5 PCS)</t>
  </si>
  <si>
    <t>638579-7</t>
  </si>
  <si>
    <t>BATERIA 18V LXT 1.3AH - BL1815 - GRANEL</t>
  </si>
  <si>
    <t>TW002GZ-SAMPLE</t>
  </si>
  <si>
    <t>ZM00000216</t>
  </si>
  <si>
    <t>ZM00000217</t>
  </si>
  <si>
    <t>ZM00000218</t>
  </si>
  <si>
    <t>ZM00000219</t>
  </si>
  <si>
    <t>ZM00000220</t>
  </si>
  <si>
    <t>ZM00000221</t>
  </si>
  <si>
    <t>ZM00000222</t>
  </si>
  <si>
    <t>ZM00000223</t>
  </si>
  <si>
    <t>ZM00000224</t>
  </si>
  <si>
    <t>ZM00000225</t>
  </si>
  <si>
    <t>ZM00000226</t>
  </si>
  <si>
    <t>ZM00000227</t>
  </si>
  <si>
    <t>ZM00000228</t>
  </si>
  <si>
    <t>1915L5-6</t>
  </si>
  <si>
    <t>1915L6-4</t>
  </si>
  <si>
    <t>1915L9-8</t>
  </si>
  <si>
    <t>1915P0-4</t>
  </si>
  <si>
    <t>1915P2-0</t>
  </si>
  <si>
    <t>D-80313</t>
  </si>
  <si>
    <t>D-80329</t>
  </si>
  <si>
    <t>D-80335</t>
  </si>
  <si>
    <t>D-80341</t>
  </si>
  <si>
    <t>HR2670-SAMPLE</t>
  </si>
  <si>
    <t>COMBINATION HAMMER 26 MM.</t>
  </si>
  <si>
    <t>D-80008</t>
  </si>
  <si>
    <t>D-80014</t>
  </si>
  <si>
    <t>D-80020</t>
  </si>
  <si>
    <t>D-80036</t>
  </si>
  <si>
    <t>E-24832</t>
  </si>
  <si>
    <t>""MANGO TIPO ""D"" P/ HM1100C"</t>
  </si>
  <si>
    <t>""SAW CHAIN 10"" 1/4"" DUC254"</t>
  </si>
  <si>
    <t>""BOQUILLA CONO 1/4 "" P/ GD0800C-GD0810C"</t>
  </si>
  <si>
    <t>""DADO EXTERIOR 1"" P/6924N"</t>
  </si>
  <si>
    <t>""DADO EXTERIOR 7/8"" P/6924N"</t>
  </si>
  <si>
    <t>""CADENA 9-7/8"" P/ DCS230T"</t>
  </si>
  <si>
    <t>""DADO INTERIOR 7/8"" P/6924N"</t>
  </si>
  <si>
    <t>""DADO INTERIOR 1"" P/6924N"</t>
  </si>
  <si>
    <t>""SPROCKET 1/4"" DUC254"</t>
  </si>
  <si>
    <t>""SPROCKET 3/8"" DUA301"</t>
  </si>
  <si>
    <t>""ESPADA 12"""</t>
  </si>
  <si>
    <t>""ESPADA 16"" P/DCS34 - DCS341 - DCS400"</t>
  </si>
  <si>
    <t>""ESPADA 20"" DCS6400 - DCS7300 - DCS7900"</t>
  </si>
  <si>
    <t>""CADENA 15"" P/ DCS6400 - DCS7300"</t>
  </si>
  <si>
    <t>""CADENA 20"" P/ DCS6400 - DCS7300 - DCS7900"</t>
  </si>
  <si>
    <t>""CADENA 24"" P/DCS7300 - DCS7900 - DCS7901"</t>
  </si>
  <si>
    <t>""BROCA SDS-PLUS (4PLUS) 3/4 X 8"""</t>
  </si>
  <si>
    <t>""BROCA SDS-PLUS (4PLUS) 3/4 X 12"""</t>
  </si>
  <si>
    <t>""BROCA SDS-PLUS (4PLUS) 3/4 X 18"""</t>
  </si>
  <si>
    <t>""BROCA SDS-PLUS (4PLUS) 7/8 X 8"""</t>
  </si>
  <si>
    <t>""BROCA SDS-PLUS (4PLUS) 7/8 X 12"""</t>
  </si>
  <si>
    <t>""BROCA SDS-PLUS (4PLUS) 7/8 X 18"""</t>
  </si>
  <si>
    <t>""BROCA SDS-PLUS (4PLUS) 1 X 10"""</t>
  </si>
  <si>
    <t>""BROCA SDS-PLUS (4PLUS) 1 X 18"""</t>
  </si>
  <si>
    <t>""BROCA SDS-PLUS (4PLUS) 5/32X4 1/4"""</t>
  </si>
  <si>
    <t>""BROCA SDS-PLUS (4PLUS) 5/32X6 1/4"""</t>
  </si>
  <si>
    <t>""BROCA SDS-PLUS (4PLUS) 3/16X4 1/4"""</t>
  </si>
  <si>
    <t>""BROCA SDS-PLUS (4PLUS) 3/16X8 1/4"""</t>
  </si>
  <si>
    <t>""BROCA SDS-PLUS (4PLUS) 7/32X6 1/4"""</t>
  </si>
  <si>
    <t>""BROCA SDS-PLUS (4PLUS) 1/4X4 1/4"""</t>
  </si>
  <si>
    <t>""BROCA SDS-PLUS (4PLUS) 1/4X6 1/4"""</t>
  </si>
  <si>
    <t>""BROCA SDS-PLUS (4PLUS) 1/4X8 1/4"""</t>
  </si>
  <si>
    <t>""BROCA SDS-PLUS (4PLUS) 1/4X11"""</t>
  </si>
  <si>
    <t>""BROCA SDS-PLUS (4PLUS) 5/16 X 6 1/4"""</t>
  </si>
  <si>
    <t>""BROCA SDS-PLUS (4PLUS) 5/16 X 12"""</t>
  </si>
  <si>
    <t>""BROCA SDS-PLUS (4PLUS) 3/8 X 6/ 1/4"""</t>
  </si>
  <si>
    <t>""BROCA SDS-PLUS (4PLUS) 3/8 X12 1/4"""</t>
  </si>
  <si>
    <t>""BROCA SDS-PLUS (4PLUS) 3/8 X 24"""</t>
  </si>
  <si>
    <t>""BROCA SDS-PLUS (4PLUS) 7/16X6 1/4"""</t>
  </si>
  <si>
    <t>""BROCA SDS-PLUS (4PLUS) 7/16X12 1/4"""</t>
  </si>
  <si>
    <t>""BROCA SDS-PLUS (4PLUS) 1/2X6 1/4"""</t>
  </si>
  <si>
    <t>""BROCA SDS-PLUS (4PLUS) 1/2X12 1/4"""</t>
  </si>
  <si>
    <t>""BROCA SDS-PLUS (4PLUS) 1/2X18"""</t>
  </si>
  <si>
    <t>""BROCA SDS-PLUS (4PLUS) 1/2X24"""</t>
  </si>
  <si>
    <t>""BROCA SDS-PLUS (4PLUS) 9/16X6 1/4"""</t>
  </si>
  <si>
    <t>""BROCA SDS-PLUS (4PLUS) 9/16X12 1/4"""</t>
  </si>
  <si>
    <t>""BROCA SDS-PLUS (4PLUS) 5/8 X 8"""</t>
  </si>
  <si>
    <t>""BROCA SDS-PLUS (4PLUS) 5/8 X 12"""</t>
  </si>
  <si>
    <t>""BROCA SDS-PLUS (4PLUS) 5/8 X 18"""</t>
  </si>
  <si>
    <t>""BROCA SDS-PLUS (4PLUS) 5/8 X 24"""</t>
  </si>
  <si>
    <t>""BOQUILLA CONO ""3/8""  P/3620"</t>
  </si>
  <si>
    <t>""BOQUILLA CONO 1/2"" P/ 3612BR-3612"</t>
  </si>
  <si>
    <t>""BOQUILLA CONO 1/4"" P/ 906H - GD0600"</t>
  </si>
  <si>
    <t>""BOQUILLA CONO 1/8"" P/906"</t>
  </si>
  <si>
    <t>""PINZA RECTA 1/4"" P/ 3612-3612BR"</t>
  </si>
  <si>
    <t>""PINZA RECTA 3/8"" P/3612-3612BR"</t>
  </si>
  <si>
    <t>""DESTORNILLADOR TORX 27 TIPO ""T"" DOBLE PUNTA LARGO"</t>
  </si>
  <si>
    <t>""CALIBRADOR CADENA 1/4"""</t>
  </si>
  <si>
    <t>""ROLLO CADENA 3/8"" .058"""</t>
  </si>
  <si>
    <t>""CADENA ROLLO 404"" 063"""</t>
  </si>
  <si>
    <t>""T.C.T.SAW BLADE 10""40TX25.4"</t>
  </si>
  <si>
    <t>""ADAPTADOR MACHO (IMPACT GOLD) 3/8""X 56MM TIPO CARDAN (0-15°) PARA DADOS"</t>
  </si>
  <si>
    <t>""ADAPTADOR MACHO (IMPACT GOLD) 1/2""X 56MM TIPO CARDAN (0-15°) PARA DADOS"</t>
  </si>
  <si>
    <t>""HOLLOW SOCKET 9/16"" LENGTH 3"""</t>
  </si>
  <si>
    <t>""HOLLOW SOCKET 9/16"" LENGTH 6"""</t>
  </si>
  <si>
    <t>""HOLLOW SOCKET 9/16"" LENGTH 12"""</t>
  </si>
  <si>
    <t>""HOLLOW SOCKET 9/16"" LENGTH 24"""</t>
  </si>
  <si>
    <t>""HOLLOW SOCKET 3/4"" LENGTH 3"""</t>
  </si>
  <si>
    <t>""HOLLOW SOCKET 3/4"" LENGTH 6"""</t>
  </si>
  <si>
    <t>""HOLLOW SOCKET 3/4"" LENGTH 12"""</t>
  </si>
  <si>
    <t>""HOLLOW SOCKET 3/4"" LENGTH 18"""</t>
  </si>
  <si>
    <t>""HOLLOW SOCKET 3/4"" LENGTH 24"""</t>
  </si>
  <si>
    <t>""DISCO DE CORTE PARA ACERO INOXIDABLE 14"""</t>
  </si>
  <si>
    <t>""DADO PARA VARILLAS ROSCADAS DE 3/8""  ENCASTRE 1/4"""</t>
  </si>
  <si>
    <t>""DADO PARA VARILLAS ROSCADAS DE 1/2""  ENCASTRE 1/4"""</t>
  </si>
  <si>
    <t>""RUEDA ABRASIVA PARA ESMERIL DE BANCO 8"" GC 120H"</t>
  </si>
  <si>
    <t>""DISCO ABRASIVO DESBASTE 4-1/2"" (115X7.2X22.23MM)"</t>
  </si>
  <si>
    <t>""FRESA AMORTAJAR 2 FILOS 1/2"""</t>
  </si>
  <si>
    <t>""FRESA CONCAVA 2 FILOS 1/2 "" *3"</t>
  </si>
  <si>
    <t>""FRESA RECTA C.R  VAS 1/4"" * D 1/4"" * L. UTIL 1/2"" * L. TOTAL 2-1/4"""</t>
  </si>
  <si>
    <t>""SET DE BROCAS PARA METAL  CONCRETO Y MADERA ( 3/16""  1/4""  5/16"") POR CADA UNO"</t>
  </si>
  <si>
    <t>""BROCA PLANO 3/8"" X 6"" ENCASTRE HEXAGONAL 1/4"""</t>
  </si>
  <si>
    <t>""BROCA PLANO 1/2"" X 6"" ENCASTRE HEXAGONAL 1/4"""</t>
  </si>
  <si>
    <t>""BROCA PLANO 5/8"" X 6"" ENCASTRE HEXAGONAL 1/4"""</t>
  </si>
  <si>
    <t>""SET DE BROCAS PARA METAL HSS (3/6""  1/4""  5/16"") Y MADERA (1/4""  5/16"")"</t>
  </si>
  <si>
    <t>""DISCO ABRASIVO PARA DESBASTE DE METAL 7"" X 1/4"" X 7/8"""</t>
  </si>
  <si>
    <t>""DISCO DIAMANTADO SEGMENTADO 230 (9"")X22.23MM"</t>
  </si>
  <si>
    <t>""DISCO 10"" P/ LF1000"</t>
  </si>
  <si>
    <t>""FRESA VAST.1/4"" RECTA CANAL 5/32""-1F.SIN RODAJE.ALTURA FILO 1/2"""</t>
  </si>
  <si>
    <t>""FRESA RECTA DE 1F  VAS. 1/4""  D 3/16"" * L. UTIL 1/2"" * L. TOTAL 1-7/8"""</t>
  </si>
  <si>
    <t>""FRESA RECTA DE 1F  VAS. 1/4""  D 1/4"" * L. UTIL 3/4"" * L. TOTAL 2"""</t>
  </si>
  <si>
    <t>""FRESA VAST.1/4"" RECTA CANAL 3/8 ""-2F.SIN RODAJE.ALTURA FILO 1"""</t>
  </si>
  <si>
    <t>""FRESA RECTA  VAS.1/2""  D 5/16"" * L. UTIL 1"" * L. TOTAL 2-3/4"""</t>
  </si>
  <si>
    <t>""FRESA RECTA  VAS. 1/2""  D 1/2"" * L. UTIL 1-3/4"" * L. TOTAL 2-7/8"""</t>
  </si>
  <si>
    <t>""FRESA RECTA 3F C.R  VAS 1/2"" * D 1/2"" * L. UTIL 1-1/2"" * L. TOTAL 3-19/32"""</t>
  </si>
  <si>
    <t>""FRESA EN V(90°)  VAS. 1/2"" * D. 1/2"" * L. UTIL 1/2"" * L. TOTAL 2-1/8"""</t>
  </si>
  <si>
    <t>""FRESA EN V(90°)  VAS. 1/2"" * D. 3/4"" * L. UTIL 5/8"" * L. TOTAL 2-1/4"""</t>
  </si>
  <si>
    <t>""FRESA MEDIA CAÑA C  VAS 1/4"" * D 3/8"" * L UTIL 3/8"" * L. TOTAL 1-5/8"" * R 3/16"""</t>
  </si>
  <si>
    <t>""FRESA MEDIA CAÑA C  VAS 1/2"" * D 3/4"" * L UTIL 1/2"" * L. TOTAL 2"" * R 3/8"""</t>
  </si>
  <si>
    <t>""FRESA MEDIA CAÑA C  VAS 1/2"" * D 1"" * L UTIL 5/8"" * L. TOTAL 2-1/4"" * R 1/2"""</t>
  </si>
  <si>
    <t>""FRESA COLA DE MILANO C.R (9°)  VAS 1/4"" * D 3/8"" * L UTIL 3/8"" * L. TOTAL 1-9/16"""</t>
  </si>
  <si>
    <t>""FRESA VAST.1/4"" PARA PANEL PUERTA  1/2"" 2F-ALTURA 3/8"""</t>
  </si>
  <si>
    <t>""FRESA VAST.1/4"" REBOR.LAMIN.1/4""-2F.CON RODAJE.{BOLEADORA}"</t>
  </si>
  <si>
    <t>""FRESA MOLDURA EN C  C.R.  VAS 1/4"" * D 1-1/8"" * L.UTIL 9/16"" * L. TOTAL 2-1/4 * R 5/16"""</t>
  </si>
  <si>
    <t>""FRESA MOLDURA EN CT C.R. VAS 1/4"" * D 3/4"" * L. UTIL 3/8""  L. TOTAL 2-1/32"" * R 1/8"""</t>
  </si>
  <si>
    <t>""FRESA MOLDURA EN CT C.R.  VAS. 1/2"" * D 2"" * L. UTIL 1"" * L. TOTAL 2-61/64"""</t>
  </si>
  <si>
    <t>""FRESA EN V(45°) C.R.  VAS. 1/2"" * D. 1-3/4"" * L. UTIL 29/32"" * L. TOTAL 2-11/16"""</t>
  </si>
  <si>
    <t>""FRESA EN V(45°) C.R.  VAS. 1/2"" * D. 2"" * L. UTIL 1-1/16"" * L. TOTAL 2-13/16"""</t>
  </si>
  <si>
    <t>""FRESA CONCAVA ESPECIAL C.R  VAS 1/4"" * D 1"" * L UTIL 1/2"" * L. TOTAL 2-3/16"" * R 3/16"""</t>
  </si>
  <si>
    <t>""FRESA MOLDURA ESPECIAL C.R  VAS. 1/2"" * D 1-3/4"" * L.UTIL 1-1/8"" * L. TOTAL 3-1/8"""</t>
  </si>
  <si>
    <t>""DISCO SIERRA 6-1/2"" X 40 DIENTES MADERA  EJE 2"</t>
  </si>
  <si>
    <t>""JUEGO DE FRESAS ENCASTRE 1/4""  6PCS"</t>
  </si>
  <si>
    <t>""JUEGO DE FRESAS ENCASTRE 1/4""  12PCS"</t>
  </si>
  <si>
    <t>""DISCO DIAMANTADO SEG. MULTI. 4-1/2""X7/8"""</t>
  </si>
  <si>
    <t>""DISCO DIAMANTADO SEG. MULTI. 7""X7/8"""</t>
  </si>
  <si>
    <t>""DISCO DIAMANTADO SEG. MULTI. 9""X7/8"""</t>
  </si>
  <si>
    <t>""FRESA VAST.1/2"" RECTIFICADO FORMICA 1/4""-2F.CON RODAJE.ALTURA FILO 2"""</t>
  </si>
  <si>
    <t>""ADAPTADOR PARA DADOS DE IMPACTO 1/4"""</t>
  </si>
  <si>
    <t>""DISCO FLAP ANGULAR INOX 5""   ZNGR36 ESTANDAR - XLOCK **"</t>
  </si>
  <si>
    <t>""TALADRO ATORNILLADOR 1/2"" LXT 18V / 2 VEL. / 70-36 NM / BL-XPT / SIN BATERÍAS"</t>
  </si>
  <si>
    <t>""TALADRO PERCUTOR INALAMBRICO 1/2"" 18V. S/BATERIA"</t>
  </si>
  <si>
    <t>""ELECTRO SIERRA INALAMBRICA 18X2 14"" S/BATERIA"</t>
  </si>
  <si>
    <t>""DISCO DIAMANTADO DE 230MM DE 9"""</t>
  </si>
  <si>
    <t>""ADAPTADOR MACHO (IMPACT PREMIER) 1/2""""X 56MM TIPO CARDAN (0-15°) PARA DADOS"</t>
  </si>
  <si>
    <t>""ESMERIL ANGULAR 4 1/2"" 1900W."</t>
  </si>
  <si>
    <t>""ESMERIL ANGULAR 150MM 6"""</t>
  </si>
  <si>
    <t>""ESMERIL ANGUAR 7"""</t>
  </si>
  <si>
    <t>""ESMERIL ANGUAR 9"""</t>
  </si>
  <si>
    <t>""GRATA T/COPA TRENZADA REFOR. 85MM (M14 O 5/8"")"</t>
  </si>
  <si>
    <t>""GRATA T/COPA TRENZADA 75MM (M14 O 5/8"")"</t>
  </si>
  <si>
    <t>""GRATA T/CONICA TRENZADA 95MM (M14 O 5/8"")"</t>
  </si>
  <si>
    <t>""SET 4 FRESAS (1/4""  3/8""  3/4"" 1-1/4"")"</t>
  </si>
  <si>
    <t>""EXTENSION PARA BROCA BARRENA 15"" P/ PE4350H"</t>
  </si>
  <si>
    <t>""TORNILLO 3"" P/ PE4350H"</t>
  </si>
  <si>
    <t>""AFILADORES 4""  P/ PE4350H"</t>
  </si>
  <si>
    <t>""AFILADORES 6""  P/ PE4350H"</t>
  </si>
  <si>
    <t>""AFILADORES 8""  P/ PE4350H"</t>
  </si>
  <si>
    <t>""TIJERA DE PODAR 12"" M"</t>
  </si>
  <si>
    <t>""ELECTRO SIERRA 16"" - 1800 W"</t>
  </si>
  <si>
    <t>""BROCA ANULAR ENCASTRE WELDON   M2 1-16"" X 1 """</t>
  </si>
  <si>
    <t>""BROCA ANULAR ENCASTRE WELDON   1/16"" X 2 """</t>
  </si>
  <si>
    <t>""BROCA ANULAR ENCASTRE WELDON   1 1/2"" X 1"""</t>
  </si>
  <si>
    <t>""BROCA ANULAR ENCASTRE WELDON   1 1/2"" X 2"""</t>
  </si>
  <si>
    <t>""BROCA ANULAR ENCASTRE WELDON   1 1/4"" X 1"""</t>
  </si>
  <si>
    <t>""BROCA ANULAR ENCASTRE WELDON   M2 1-1/4"" X 2"""</t>
  </si>
  <si>
    <t>""BROCA ANULAR ENCASTRE WELDON   1-1/8"" X 1"""</t>
  </si>
  <si>
    <t>""BROCA ANULAR ENCASTRE WELDON   1-11/16"" X 1"""</t>
  </si>
  <si>
    <t>""BROCA ANULAR ENCASTRE WELDON   1 15/16""X1"""</t>
  </si>
  <si>
    <t>""BROCA ANULAR ENCASTRE WELDON   M2 13/16"" X 2"""</t>
  </si>
  <si>
    <t>""BROCA ANULAR ENCASTRE WELDON   1-3/4""X1"""</t>
  </si>
  <si>
    <t>""BROCA ANULAR ENCASTRE WELDON   1 3/8""X1"""</t>
  </si>
  <si>
    <t>""BROCA ANULAR ENCASTRE WELDON   1 5/16X1"""</t>
  </si>
  <si>
    <t>""BROCA ANULAR ENCASTRE WELDON   1 5/8""X1"""</t>
  </si>
  <si>
    <t>""BROCA ANULAR ENCASTRE WELDON   1 7/16""X1"""</t>
  </si>
  <si>
    <t>""BROCA ANULAR ENCASTRE WELDON   1 7/8""X1"""</t>
  </si>
  <si>
    <t>""BROCA ANULAR ENCASTRE WELDON   1 9/16""X1"""</t>
  </si>
  <si>
    <t>""BROCA ANULAR ENCASTRE WELDON   1/2""X1"""</t>
  </si>
  <si>
    <t>""BROCA ANULAR ENCASTRE WELDON   1/2""X2"""</t>
  </si>
  <si>
    <t>""BROCA ANULAR ENCASTRE WELDON   M2 11/16""X1"""</t>
  </si>
  <si>
    <t>""BROCA ANULAR ENCASTRE WELDON   M2 13/16""X1"""</t>
  </si>
  <si>
    <t>""BROCA ANULAR ENCASTRE WELDON   15/16""X1"""</t>
  </si>
  <si>
    <t>""BROCA ANULAR ENCASTRE WELDON   1""X1"""</t>
  </si>
  <si>
    <t>""BROCA ANULAR ENCASTRE WELDON   2""X1"""</t>
  </si>
  <si>
    <t>""BROCA ANULAR ENCASTRE WELDON   3/4""X1"""</t>
  </si>
  <si>
    <t>""BROCA ANULAR ENCASTRE WELDON   3/4""X2"""</t>
  </si>
  <si>
    <t>""BROCA ANULAR ENCASTRE WELDON   M2 5/8""X1"""</t>
  </si>
  <si>
    <t>""BROCA ANULAR ENCASTRE WELDON   7/16""X1"""</t>
  </si>
  <si>
    <t>""BROCA ANULAR ENCASTRE WELDON   7/8""X1"""</t>
  </si>
  <si>
    <t>""BROCA ANULAR ENCASTRE WELDON   7/8""X2"""</t>
  </si>
  <si>
    <t>""BROCA ANULAR ENCASTRE WELDON   M2 9/16""X1"""</t>
  </si>
  <si>
    <t>TW010GZ-SAMPLE</t>
  </si>
  <si>
    <t>1914S4-1</t>
  </si>
  <si>
    <t>1914S5-9</t>
  </si>
  <si>
    <t>1914S6-7</t>
  </si>
  <si>
    <t>1914S7-5</t>
  </si>
  <si>
    <t>1914S8-3</t>
  </si>
  <si>
    <t>1914S9-1</t>
  </si>
  <si>
    <t>1914T0-6</t>
  </si>
  <si>
    <t>1914T1-4</t>
  </si>
  <si>
    <t>1914T2-2</t>
  </si>
  <si>
    <t>1914T3-0</t>
  </si>
  <si>
    <t>PS001GZ</t>
  </si>
  <si>
    <t>CORDLESS POLISHER SCRUBBER</t>
  </si>
  <si>
    <t>PS001GZ-SAMPLE</t>
  </si>
  <si>
    <t>UH008GZ</t>
  </si>
  <si>
    <t>DHP482RFE</t>
  </si>
  <si>
    <t>UB002GZ</t>
  </si>
  <si>
    <t>DK0176G205</t>
  </si>
  <si>
    <t>632M83-6</t>
  </si>
  <si>
    <t>632U33-9</t>
  </si>
  <si>
    <t>DBN900ZK-SAMPLE</t>
  </si>
  <si>
    <t>90MM CORDLESS FRAMING NAILER</t>
  </si>
  <si>
    <t>CL004GZ-SAMPLE</t>
  </si>
  <si>
    <t>DBN601Z</t>
  </si>
  <si>
    <t>64MM CORDLESS FINISH NAILER</t>
  </si>
  <si>
    <t>DBN601Z-SAMPLE</t>
  </si>
  <si>
    <t>DHP490WV-SAMPLE</t>
  </si>
  <si>
    <t>DUV320Z-SAMPLE</t>
  </si>
  <si>
    <t>GA055GZ-SAMPLE</t>
  </si>
  <si>
    <t>125MM FLAT HEAD GRINDER</t>
  </si>
  <si>
    <t>GA056GZ-SAMPLE</t>
  </si>
  <si>
    <t>GP001GZ01-SAMPLE</t>
  </si>
  <si>
    <t>CORDLESS GREASE GUN</t>
  </si>
  <si>
    <t>D-80662</t>
  </si>
  <si>
    <t>D-80678</t>
  </si>
  <si>
    <t>D-80684</t>
  </si>
  <si>
    <t>D-80690</t>
  </si>
  <si>
    <t>D-80709</t>
  </si>
  <si>
    <t>D-80715</t>
  </si>
  <si>
    <t>1914Y6-9</t>
  </si>
  <si>
    <t>1914Y7-7</t>
  </si>
  <si>
    <t>D-80721</t>
  </si>
  <si>
    <t>D-80737</t>
  </si>
  <si>
    <t>D-80743</t>
  </si>
  <si>
    <t>D-80759</t>
  </si>
  <si>
    <t>D-80765</t>
  </si>
  <si>
    <t>D-80771</t>
  </si>
  <si>
    <t>D-80787</t>
  </si>
  <si>
    <t>D-80793</t>
  </si>
  <si>
    <t>D-80802</t>
  </si>
  <si>
    <t>D-80818</t>
  </si>
  <si>
    <t>D-80830</t>
  </si>
  <si>
    <t>D-80852</t>
  </si>
  <si>
    <t>D-80868</t>
  </si>
  <si>
    <t>D-80874</t>
  </si>
  <si>
    <t>D-80896</t>
  </si>
  <si>
    <t>E-25052</t>
  </si>
  <si>
    <t>YA00001316</t>
  </si>
  <si>
    <t>YA00001317</t>
  </si>
  <si>
    <t>BO007CGZ-SAMPLE</t>
  </si>
  <si>
    <t>POWERED ORBITAL SANDER</t>
  </si>
  <si>
    <t>103155000</t>
  </si>
  <si>
    <t>103155100</t>
  </si>
  <si>
    <t>2704</t>
  </si>
  <si>
    <t>2712</t>
  </si>
  <si>
    <t>3709</t>
  </si>
  <si>
    <t>384224503</t>
  </si>
  <si>
    <t>394369600</t>
  </si>
  <si>
    <t>394369610</t>
  </si>
  <si>
    <t>4131</t>
  </si>
  <si>
    <t>4329</t>
  </si>
  <si>
    <t>4403</t>
  </si>
  <si>
    <t>442030611</t>
  </si>
  <si>
    <t>442040661</t>
  </si>
  <si>
    <t>442045661</t>
  </si>
  <si>
    <t>445038631</t>
  </si>
  <si>
    <t>445038651</t>
  </si>
  <si>
    <t>445045631</t>
  </si>
  <si>
    <t>445045661</t>
  </si>
  <si>
    <t>445050655</t>
  </si>
  <si>
    <t>445060451</t>
  </si>
  <si>
    <t>445060555</t>
  </si>
  <si>
    <t>445070455</t>
  </si>
  <si>
    <t>445074452</t>
  </si>
  <si>
    <t>445084422</t>
  </si>
  <si>
    <t>511492801</t>
  </si>
  <si>
    <t>512484772</t>
  </si>
  <si>
    <t>522103700</t>
  </si>
  <si>
    <t>523093664</t>
  </si>
  <si>
    <t>523093672</t>
  </si>
  <si>
    <t>528099660</t>
  </si>
  <si>
    <t>528099672</t>
  </si>
  <si>
    <t>528099680</t>
  </si>
  <si>
    <t>528099684</t>
  </si>
  <si>
    <t>528099694</t>
  </si>
  <si>
    <t>528099696</t>
  </si>
  <si>
    <t>528099756</t>
  </si>
  <si>
    <t>528099801</t>
  </si>
  <si>
    <t>531291656</t>
  </si>
  <si>
    <t>531492646</t>
  </si>
  <si>
    <t>531492652</t>
  </si>
  <si>
    <t>531492662</t>
  </si>
  <si>
    <t>574796060</t>
  </si>
  <si>
    <t>6016</t>
  </si>
  <si>
    <t>6407</t>
  </si>
  <si>
    <t>6413</t>
  </si>
  <si>
    <t>671001451</t>
  </si>
  <si>
    <t>671002532</t>
  </si>
  <si>
    <t>671002552</t>
  </si>
  <si>
    <t>671144401</t>
  </si>
  <si>
    <t>6805200000</t>
  </si>
  <si>
    <t>6906</t>
  </si>
  <si>
    <t>6908031000</t>
  </si>
  <si>
    <t>6949001000</t>
  </si>
  <si>
    <t>6958028000</t>
  </si>
  <si>
    <t>6958029000</t>
  </si>
  <si>
    <t>9031</t>
  </si>
  <si>
    <t>9032</t>
  </si>
  <si>
    <t>9046</t>
  </si>
  <si>
    <t>9105</t>
  </si>
  <si>
    <t>9403</t>
  </si>
  <si>
    <t>940905200</t>
  </si>
  <si>
    <t>941713161</t>
  </si>
  <si>
    <t>941719133</t>
  </si>
  <si>
    <t>944500860</t>
  </si>
  <si>
    <t>944500862</t>
  </si>
  <si>
    <t>944500910</t>
  </si>
  <si>
    <t>950233210</t>
  </si>
  <si>
    <t>953003040</t>
  </si>
  <si>
    <t>953003060</t>
  </si>
  <si>
    <t>953003090</t>
  </si>
  <si>
    <t>953003110</t>
  </si>
  <si>
    <t>953004010</t>
  </si>
  <si>
    <t>953009000</t>
  </si>
  <si>
    <t>953030010</t>
  </si>
  <si>
    <t>953030030</t>
  </si>
  <si>
    <t>953030040</t>
  </si>
  <si>
    <t>953100090</t>
  </si>
  <si>
    <t>957099801</t>
  </si>
  <si>
    <t>957107801</t>
  </si>
  <si>
    <t>957341010</t>
  </si>
  <si>
    <t>957415060</t>
  </si>
  <si>
    <t>957492656</t>
  </si>
  <si>
    <t>957696064</t>
  </si>
  <si>
    <t>965603040</t>
  </si>
  <si>
    <t>966244024</t>
  </si>
  <si>
    <t>9741</t>
  </si>
  <si>
    <t>980008606</t>
  </si>
  <si>
    <t>980008607</t>
  </si>
  <si>
    <t>980008610</t>
  </si>
  <si>
    <t>988000005</t>
  </si>
  <si>
    <t>988000606</t>
  </si>
  <si>
    <t>988000710</t>
  </si>
  <si>
    <t>988001011</t>
  </si>
  <si>
    <t>988048405</t>
  </si>
  <si>
    <t>988050210</t>
  </si>
  <si>
    <t>988050213</t>
  </si>
  <si>
    <t>988394110</t>
  </si>
  <si>
    <t>988959634</t>
  </si>
  <si>
    <t>9910</t>
  </si>
  <si>
    <t>9911</t>
  </si>
  <si>
    <t>1915C8-7</t>
  </si>
  <si>
    <t>191T86-6</t>
  </si>
  <si>
    <t>191T90-5</t>
  </si>
  <si>
    <t>B-38722</t>
  </si>
  <si>
    <t>B-38744</t>
  </si>
  <si>
    <t>B-39154</t>
  </si>
  <si>
    <t>D-36049</t>
  </si>
  <si>
    <t>D-69674</t>
  </si>
  <si>
    <t>GA029GM201</t>
  </si>
  <si>
    <t>CL004GD101</t>
  </si>
  <si>
    <t>D-81723</t>
  </si>
  <si>
    <t>D-81898</t>
  </si>
  <si>
    <t>DTC104ZK-SAMPLE</t>
  </si>
  <si>
    <t>DADO TUBULAR PARA LLAVE DE IMPACTO DE 1" CR-MO SQ DRIVE STANDARD 41MM</t>
  </si>
  <si>
    <t>DADO CORTO PARA LLAVE DE IMPACTO DE 1" CR-MO SQ DRIVE STANDARD 42MM</t>
  </si>
  <si>
    <t>DADO TUBULAR PARA LLAVE DE IMPACTO DE 1" CR-MO SQ DRIVE STANDARD 30MM</t>
  </si>
  <si>
    <t>DADO TUBULAR PARA LLAVE DE IMPACTO DE 1" CR-MO SQ DRIVE STANDARD 32MM</t>
  </si>
  <si>
    <t>DADO TUBULAR PARA LLAVE DE IMPACTO DE 1" CR-MO SQ DRIVE STANDARD 33MM</t>
  </si>
  <si>
    <t>DADO TUBULAR PARA LLAVE DE IMPACTO DE 1" CR-MO SQ DRIVE STANDARD 34MM</t>
  </si>
  <si>
    <t>DADO TUBULAR PARA LLAVE DE IMPACTO DE 1" CR-MO SQ DRIVE STANDARD 36MM</t>
  </si>
  <si>
    <t>DADO TUBULAR PARA LLAVE DE IMPACTO DE 1" CR-MO SQ DRIVE STANDARD 38MM</t>
  </si>
  <si>
    <t>DADO TUBULAR PARA LLAVE DE IMPACTO DE 1" CR-MO SQ DRIVE STANDARD 40MM</t>
  </si>
  <si>
    <t>DADO TUBULAR PARA LLAVE DE IMPACTO DE 1" CR-MO SQ DRIVE STANDARD 44MM</t>
  </si>
  <si>
    <t>GP001GM101</t>
  </si>
  <si>
    <t>GP001GZ01</t>
  </si>
  <si>
    <t>D-29284</t>
  </si>
  <si>
    <t>D-69191</t>
  </si>
  <si>
    <t>191k37-5</t>
  </si>
  <si>
    <t>198457-8</t>
  </si>
  <si>
    <t>KIT DE AFILADO DE CADENA / VARIOS</t>
  </si>
  <si>
    <t>D-82018</t>
  </si>
  <si>
    <t>D-82030</t>
  </si>
  <si>
    <t>D-82046</t>
  </si>
  <si>
    <t>E-25096</t>
  </si>
  <si>
    <t>E-25323</t>
  </si>
  <si>
    <t>E-25339</t>
  </si>
  <si>
    <t>E-25351</t>
  </si>
  <si>
    <t>E-25367</t>
  </si>
  <si>
    <t>E-25373</t>
  </si>
  <si>
    <t>SKR001Z-SAMPLE</t>
  </si>
  <si>
    <t>RECHARGEABLE ROTARY LASER</t>
  </si>
  <si>
    <t>Morado</t>
  </si>
  <si>
    <t>Azul</t>
  </si>
  <si>
    <t>De 1 a 10 und</t>
  </si>
  <si>
    <t>De 11 a 50 und</t>
  </si>
  <si>
    <t>De 51 a 100 und</t>
  </si>
  <si>
    <t>De 101 a más und</t>
  </si>
  <si>
    <t>BASE CIRCULAR PARA LIJADORA EXCENTRICA 5  , 8 HUECOS VELCRO MAKITA</t>
  </si>
  <si>
    <t>ESTUCHE DE CARGADOR XGT 8 PUERTOS CASE BCC01 TIPO MAKPACK MAKITA</t>
  </si>
  <si>
    <t>DISCO DIAMANTADO PARA CONCRETO 105MMX20MM DE DIAMETRO MAKITA</t>
  </si>
  <si>
    <t>BROCA DIAMANTADA PARA ESMERIL ANGULAR MEDIDA 5MM EJE M14 PARA MARMOL, PORCELANATO</t>
  </si>
  <si>
    <t>BROCA DIAMANTADA PARA ESMERIL ANGULAR MEDIDA 6MM EJE M14 PARA MARMOL, PORCELANATO</t>
  </si>
  <si>
    <t>HOJA PARA SIERRA SABLE PARA METAL FLEXIBLE BIMETAL 18TPI LARGO 150MM 2 PIEZAS</t>
  </si>
  <si>
    <t>HOJA PARA SIERRA SABLE PARA METAL BASIC FLEXIBLE BIMETAL 18TPI LARGO 225MM 2 PIEZAS</t>
  </si>
  <si>
    <t>HOJA PARA SIERRA SABLE PARA METAL BASIC FLEXIBLE BIMETAL 18TPI LARGO 150MM 2 PIEZAS</t>
  </si>
  <si>
    <t>HOJA PARA SIERRA SABLE PARA METAL BASIC FLEXIBLE BIMETAL 25TPI LARGO 225MM 2 PIEZAS</t>
  </si>
  <si>
    <t>SET DE DADO PUNTA TORX IMPACT BLACK MEDIDAS T30, T40, T45, T 50, T55, T60, T70 MAKITA</t>
  </si>
  <si>
    <t>PORTA PUNTA IMPACT 152MM ENCASTRE RAPIDO VASTAGO HEXAGONAL MZ</t>
  </si>
  <si>
    <t>PORTA PUNTA IMPACT 304MM ENCASTRE RAPIDO VASTAGO HEXAGONAL MZ</t>
  </si>
  <si>
    <t>D-82133</t>
  </si>
  <si>
    <t>E-25482</t>
  </si>
  <si>
    <t>E-25507</t>
  </si>
  <si>
    <t>E-25513</t>
  </si>
  <si>
    <t>E-25529</t>
  </si>
  <si>
    <t>E-25535</t>
  </si>
  <si>
    <t>E-25541</t>
  </si>
  <si>
    <t>E-25557</t>
  </si>
  <si>
    <t>E-25563</t>
  </si>
  <si>
    <t>E-25585</t>
  </si>
  <si>
    <t>E-25591</t>
  </si>
  <si>
    <t>E-25600</t>
  </si>
  <si>
    <t>E-25616</t>
  </si>
  <si>
    <t>127825-8</t>
  </si>
  <si>
    <t>162635-6</t>
  </si>
  <si>
    <t>1912Y6-7</t>
  </si>
  <si>
    <t>1915N0-0</t>
  </si>
  <si>
    <t>1915N1-8</t>
  </si>
  <si>
    <t>GALVANIZED TIE WIRE SET</t>
  </si>
  <si>
    <t>198383-1</t>
  </si>
  <si>
    <t>198919-6</t>
  </si>
  <si>
    <t>199827-4</t>
  </si>
  <si>
    <t>422449-8</t>
  </si>
  <si>
    <t>DST630Z</t>
  </si>
  <si>
    <t>38MM DC NARROW CROWN STAPLER</t>
  </si>
  <si>
    <t>DST630Z-SAMPLE</t>
  </si>
  <si>
    <t>DTW1005Z</t>
  </si>
  <si>
    <t>DTW1005Z-SAMPLE</t>
  </si>
  <si>
    <t>MR014GZ</t>
  </si>
  <si>
    <t>TR001GZ</t>
  </si>
  <si>
    <t>CORDLESS REBAR TYING TOOL</t>
  </si>
  <si>
    <t>TR001GZ-SAMPLE</t>
  </si>
  <si>
    <t>TW011GM201</t>
  </si>
  <si>
    <t>TW011GZ</t>
  </si>
  <si>
    <t>TW011GZ-SAMPLE</t>
  </si>
  <si>
    <t>DGP180Z</t>
  </si>
  <si>
    <t>D-81125</t>
  </si>
  <si>
    <t>127083-6</t>
  </si>
  <si>
    <t>1915G6-9</t>
  </si>
  <si>
    <t>1915R3-2</t>
  </si>
  <si>
    <t>1915T3-6</t>
  </si>
  <si>
    <t>1915T4-4</t>
  </si>
  <si>
    <t>E-25993</t>
  </si>
  <si>
    <t>E-26004</t>
  </si>
  <si>
    <t>E-26048</t>
  </si>
  <si>
    <t>E-26054</t>
  </si>
  <si>
    <t>E-26060</t>
  </si>
  <si>
    <t>GD001GZ-SAMPLE</t>
  </si>
  <si>
    <t>CORDLESS DIE GRINDER</t>
  </si>
  <si>
    <t>GD002GZ-SAMPLE</t>
  </si>
  <si>
    <t>UB002GZ-SAMPLE</t>
  </si>
  <si>
    <t>D-82105</t>
  </si>
  <si>
    <t>D-82111</t>
  </si>
  <si>
    <t>D-82127</t>
  </si>
  <si>
    <t>D-82149</t>
  </si>
  <si>
    <t>1916B3-6</t>
  </si>
  <si>
    <t>DJV186Z-SAMPLE</t>
  </si>
  <si>
    <t>DTL300Z-SAMPLE</t>
  </si>
  <si>
    <t>ANGLE IMPACT WRENCH</t>
  </si>
  <si>
    <t>TW009GZ-SAMPLE</t>
  </si>
  <si>
    <t>UC030GZ-SAMPLE</t>
  </si>
  <si>
    <t>VC013GLZ-SAMPLE</t>
  </si>
  <si>
    <t>E-24826</t>
  </si>
  <si>
    <t>VC013GLZ</t>
  </si>
  <si>
    <t>Z74153-0</t>
  </si>
  <si>
    <t>DISPLAY BATTERY BL4080F</t>
  </si>
  <si>
    <t>Z74154-0</t>
  </si>
  <si>
    <t>DISPLAY BATTERY BL4050F</t>
  </si>
  <si>
    <t>E-22296</t>
  </si>
  <si>
    <t>PROMOCIONES</t>
  </si>
  <si>
    <t>1913K4-9</t>
  </si>
  <si>
    <t>PR00000251</t>
  </si>
  <si>
    <t>PR00000255</t>
  </si>
  <si>
    <t>PR00000260</t>
  </si>
  <si>
    <t>SPRAY WAND P/DUS158</t>
  </si>
  <si>
    <t>DUP181Z-SAMPLE</t>
  </si>
  <si>
    <t>GB00000185</t>
  </si>
  <si>
    <t>HG001GZ-SAMPLE</t>
  </si>
  <si>
    <t>1915F4-6</t>
  </si>
  <si>
    <t>UB403MP</t>
  </si>
  <si>
    <t>UB403MP-SAMPLE</t>
  </si>
  <si>
    <t>BLOWER ATTACHMENT</t>
  </si>
  <si>
    <t>D-81022</t>
  </si>
  <si>
    <t>D-81038</t>
  </si>
  <si>
    <t>D-81050</t>
  </si>
  <si>
    <t>D-81103</t>
  </si>
  <si>
    <t>D-81212</t>
  </si>
  <si>
    <t>D-81496</t>
  </si>
  <si>
    <t>D-81533</t>
  </si>
  <si>
    <t>D-81583</t>
  </si>
  <si>
    <t>D-81848</t>
  </si>
  <si>
    <t>D-81935</t>
  </si>
  <si>
    <t>DJV186Z</t>
  </si>
  <si>
    <t>1915H4-0</t>
  </si>
  <si>
    <t>1915J2-8</t>
  </si>
  <si>
    <t>E-27492</t>
  </si>
  <si>
    <t>1915Y9-9</t>
  </si>
  <si>
    <t>GUIDE BAR 20 SET</t>
  </si>
  <si>
    <t>1916A3-9</t>
  </si>
  <si>
    <t>SAW CHAIN 20 SET</t>
  </si>
  <si>
    <t>1916A5-5</t>
  </si>
  <si>
    <t>1916F4-2</t>
  </si>
  <si>
    <t>1916M8-3</t>
  </si>
  <si>
    <t>SHEAR BLADE U/L SET</t>
  </si>
  <si>
    <t>1916U8-9</t>
  </si>
  <si>
    <t>D-41595</t>
  </si>
  <si>
    <t>1916V6-0</t>
  </si>
  <si>
    <t>FLEXIBLE HOSE 1200 SET / DGP180</t>
  </si>
  <si>
    <t>E-26369</t>
  </si>
  <si>
    <t>E-26490</t>
  </si>
  <si>
    <t>E-26559</t>
  </si>
  <si>
    <t>VARA DE ROCIO VARIABLE /HW001G</t>
  </si>
  <si>
    <t>LIMPIADOR INALÁMBRICO</t>
  </si>
  <si>
    <t>1914G5-5</t>
  </si>
  <si>
    <t>HR2670</t>
  </si>
  <si>
    <t>D-72001(x200) + D-72001(x50)</t>
  </si>
  <si>
    <t>B-10730-5(x150) + B-10730-5(x50)</t>
  </si>
  <si>
    <t>B-10730-5(x300) + B-10730-5(x100)</t>
  </si>
  <si>
    <t>CARRO TRANSPORTE A BATERÍA 18VX2 INCLUYE TOLVA 200L / 300 KG 18VX2 LXT BL XPT (SIN BATERIA/CARGADOR)</t>
  </si>
  <si>
    <t>DHP490WVEX</t>
  </si>
  <si>
    <t>DHP490WVX</t>
  </si>
  <si>
    <t>GA056GZ</t>
  </si>
  <si>
    <t>GD002GZ</t>
  </si>
  <si>
    <t>UC030GZ</t>
  </si>
  <si>
    <t>Column5</t>
  </si>
  <si>
    <t>Column6</t>
  </si>
  <si>
    <t>DLM330Z-3.0</t>
  </si>
  <si>
    <t>DLM330Z(x1) + 632G12-3(x1) + 630718-5(x1)</t>
  </si>
  <si>
    <t>OPELXT MG LISTA 2</t>
  </si>
  <si>
    <t>DLM330Z-6.0</t>
  </si>
  <si>
    <t>DLM330Z(x1) + 632F69-8(x1) + 630718-5(x1)</t>
  </si>
  <si>
    <t>DUR192LSF-3.0</t>
  </si>
  <si>
    <t>DUR192LSF(x1)</t>
  </si>
  <si>
    <t>DUC101RF01-3.0</t>
  </si>
  <si>
    <t>DUC101RF01(x1)</t>
  </si>
  <si>
    <t>DUC101Z01-6.0</t>
  </si>
  <si>
    <t>DUC101Z01(x1) + 632F69-8(x1) + 630718-5(x1)</t>
  </si>
  <si>
    <t>DUC254Z-3.0</t>
  </si>
  <si>
    <t>DUC254Z(x1) + 632G12-3(x1) + 630718-5(x1)</t>
  </si>
  <si>
    <t>DUC254Z-6.0</t>
  </si>
  <si>
    <t>DUC254Z(x1) + 632F69-8(x1) + 630718-5(x1)</t>
  </si>
  <si>
    <t>DUC407ZX3-3.0</t>
  </si>
  <si>
    <t>DUC407ZX3(x1) + 632G12-3(x1) + 630718-5(x1)</t>
  </si>
  <si>
    <t>DUC407ZX3-6.0</t>
  </si>
  <si>
    <t>DUC407ZX3(x1) + 632F69-8(x1) + 630718-5(x1)</t>
  </si>
  <si>
    <t>DUH606Z-3.0</t>
  </si>
  <si>
    <t>DUH606Z(x1) + 632G12-3(x1) + 630718-5(x1)</t>
  </si>
  <si>
    <t>DUH606Z-6.0</t>
  </si>
  <si>
    <t>DUH606Z(x1) + 632F69-8(x1) + 630718-5(x1)</t>
  </si>
  <si>
    <t>DUN461WZ-3.0</t>
  </si>
  <si>
    <t>DUN461WZ(x1) + 632G12-3(x1) + 630718-5(x1)</t>
  </si>
  <si>
    <t>DUN461WZ-6.0</t>
  </si>
  <si>
    <t>DUN461WZ(x1) + 632F69-8(x1) + 630718-5(x1)</t>
  </si>
  <si>
    <t>DUN500WZ-3.0</t>
  </si>
  <si>
    <t>DUN500WZ(x1) + 632G12-3(x1) + 630718-5(x1)</t>
  </si>
  <si>
    <t>DUN500WZ-6.0</t>
  </si>
  <si>
    <t>DUN500WZ(x1) + 632F69-8(x1) + 630718-5(x1)</t>
  </si>
  <si>
    <t>DUB184Z-3.0</t>
  </si>
  <si>
    <t>DUB184Z(x1) + 632G12-3(x1) + 630718-5(x1)</t>
  </si>
  <si>
    <t>DUB184Z-6.0</t>
  </si>
  <si>
    <t>DUB184Z(x1) + 632F69-8(x1) + 630718-5(x1)</t>
  </si>
  <si>
    <t>DUB187Z-3.0</t>
  </si>
  <si>
    <t>DUB187Z(x1) + 632G12-3(x1) + 630718-5(x1)</t>
  </si>
  <si>
    <t>DUB187Z-6.0</t>
  </si>
  <si>
    <t>DUB187Z(x1) + 632F69-8(x1) + 630718-5(x1)</t>
  </si>
  <si>
    <t>DUB363ZV-5.0</t>
  </si>
  <si>
    <t>DUB363ZV(x1) + 632F15-1(x2) + 196933-6(x1)</t>
  </si>
  <si>
    <t>DUB363ZV-6.0</t>
  </si>
  <si>
    <t>DUB363ZV(x1) + 632F69-8(x2) + 196933-6(x1)</t>
  </si>
  <si>
    <t>DUS054Z-3.0</t>
  </si>
  <si>
    <t>DUS054Z(x1) + 632G12-3(x1) + 630718-5(x1)</t>
  </si>
  <si>
    <t>DUS054Z-6.0</t>
  </si>
  <si>
    <t>DUS054Z(x1) + 632F69-8(x1) + 630718-5(x1)</t>
  </si>
  <si>
    <t>DUS158Z-3.0</t>
  </si>
  <si>
    <t>DUS158Z(x1) + 632G12-3(x1) + 630718-5(x1)</t>
  </si>
  <si>
    <t>DUS158Z-6.0</t>
  </si>
  <si>
    <t>DUS158Z(x1) + 632F69-8(x1) + 630718-5(x1)</t>
  </si>
  <si>
    <t>DUX18Z-3.0</t>
  </si>
  <si>
    <t>DUX18Z(x1) + 632G12-3(x1) + 630718-5(x1)</t>
  </si>
  <si>
    <t>DUX18Z-6.0</t>
  </si>
  <si>
    <t>DUX18Z(x1) + 632F69-8(x1) + 630718-5(x1)</t>
  </si>
  <si>
    <t>DUA200Z01-3.0</t>
  </si>
  <si>
    <t>DUA200Z01(x1) + 632G12-3(x1) + 630718-5(x1)</t>
  </si>
  <si>
    <t>DUA200Z01-6.0</t>
  </si>
  <si>
    <t>DUA200Z01(x1) + 632F69-8(x1) + 630718-5(x1)</t>
  </si>
  <si>
    <t>DUM604Z-3.0</t>
  </si>
  <si>
    <t>DUM604Z(x1) + 632G12-3(x1) + 630718-5(x1)</t>
  </si>
  <si>
    <t>DUM604Z-6.0</t>
  </si>
  <si>
    <t>DUM604Z(x1) + 632F69-8(x1) + 630718-5(x1)</t>
  </si>
  <si>
    <t>DUP180Z-3.0</t>
  </si>
  <si>
    <t>DUP180Z(x1) + 632G12-3(x1) + 630718-5(x1)</t>
  </si>
  <si>
    <t>DUP180Z-6.0</t>
  </si>
  <si>
    <t>DUP180Z(x1) + 632F69-8(x1) + 630718-5(x1)</t>
  </si>
  <si>
    <t>DUP362Z-3.0</t>
  </si>
  <si>
    <t>DUP362Z(x1) + 632G12-3(x2) + 196933-6(x1)</t>
  </si>
  <si>
    <t>DUP362Z-6.0</t>
  </si>
  <si>
    <t>DUP362Z(x1) + 632F69-8(x2) + 196933-6(x1)</t>
  </si>
  <si>
    <t>DHW180Z01-3.0</t>
  </si>
  <si>
    <t>DHW180Z01(x1) + 632G12-3(x1) + 630718-5(x1)</t>
  </si>
  <si>
    <t>DHW180Z01-6.0</t>
  </si>
  <si>
    <t>DHW180Z01(x1) + 632F69-8(x1) + 630718-5(x1)</t>
  </si>
  <si>
    <t>DHW080ZK-5.0</t>
  </si>
  <si>
    <t>DHW080ZK(x1) + 632F15-1(x2) + 196933-6(x1)</t>
  </si>
  <si>
    <t>DHW080ZK-6.0</t>
  </si>
  <si>
    <t>DHW080ZK(x1) + 632F69-8(x2) + 196933-6(x1)</t>
  </si>
  <si>
    <t>DCU180Z-5.0-R</t>
  </si>
  <si>
    <t>DCU180Z(x1) + 199116-7(x1) + 632F15-1(x2) + 196933-6(x1)</t>
  </si>
  <si>
    <t>DCU180Z(x1) + 198494-2(x1) + 632F15-1(x2) + 196933-6(x1)</t>
  </si>
  <si>
    <t>DCU180Z-6.0-R</t>
  </si>
  <si>
    <t>DCU180Z(x1) + 199116-7(x1) + 632F69-8(x2) + 196933-6(x1)</t>
  </si>
  <si>
    <t>DCU180Z-6.0-B</t>
  </si>
  <si>
    <t>DCU180Z(x1) + 198494-2(x1) + 632F69-8(x2) + 196933-6(x1)</t>
  </si>
  <si>
    <t>DCU601Z-5.0</t>
  </si>
  <si>
    <t>DCU601Z(x1) + 632F15-1(x2) + 196933-6(x1)</t>
  </si>
  <si>
    <t>DCU601Z-6.0</t>
  </si>
  <si>
    <t>DCU601Z(x1) + 632F69-8(x2) + 196933-6(x1)</t>
  </si>
  <si>
    <t>DCU602Z-5.0</t>
  </si>
  <si>
    <t>DCU602Z(x1) + 632F15-1(x2) + 196933-6(x1)</t>
  </si>
  <si>
    <t>DCU602Z-6.0</t>
  </si>
  <si>
    <t>DCU602Z(x1) + 632F69-8(x2) + 196933-6(x1)</t>
  </si>
  <si>
    <t>DCU603Z-5.0</t>
  </si>
  <si>
    <t>DCU603Z(x1) + 632F15-1(x2) + 196933-6(x1)</t>
  </si>
  <si>
    <t>DCU603Z-6.0</t>
  </si>
  <si>
    <t>DCU603Z(x1) + 632F69-8(x2) + 196933-6(x1)</t>
  </si>
  <si>
    <t>DCU604Z-5.0</t>
  </si>
  <si>
    <t>DCU604Z(x1) + 632F15-1(x2) + 196933-6(x1)</t>
  </si>
  <si>
    <t>DCU604Z-6.0</t>
  </si>
  <si>
    <t>DCU604Z(x1) + 632F69-8(x2) + 196933-6(x1)</t>
  </si>
  <si>
    <t>DCU605Z-5.0</t>
  </si>
  <si>
    <t>DCU605Z(x1) + 632F15-1(x2) + 196933-6(x1)</t>
  </si>
  <si>
    <t>DCU605Z-6.0</t>
  </si>
  <si>
    <t>DCU605Z(x1) + 632F69-8(x2) + 196933-6(x1)</t>
  </si>
  <si>
    <t>DUV320Z-3.0</t>
  </si>
  <si>
    <t>DUV320Z(x1) + 632G12-3(x1) + 630718-5(x1)</t>
  </si>
  <si>
    <t>DUV320Z-6.0</t>
  </si>
  <si>
    <t>DUV320Z(x1) + 632F69-8(x1) + 630718-5(x1)</t>
  </si>
  <si>
    <t>CL117FDX1-B</t>
  </si>
  <si>
    <t>CL117FDX1(x1)</t>
  </si>
  <si>
    <t>BIRUMEN LISTA 2</t>
  </si>
  <si>
    <t>CL117FDX4-B</t>
  </si>
  <si>
    <t>CL117FDX4(x1)</t>
  </si>
  <si>
    <t>CL117FDX7-B</t>
  </si>
  <si>
    <t>CL117FDX7(x1)</t>
  </si>
  <si>
    <t>CL108FDZW-2.0</t>
  </si>
  <si>
    <t>CL108FDZW(x1) + 632F59-1(x1) + 630996-7(x1)</t>
  </si>
  <si>
    <t>DCL181FZW-3.0</t>
  </si>
  <si>
    <t>DCL181FZW(x1) + 632G12-3(x1) + 630718-5(x1)</t>
  </si>
  <si>
    <t>DCL181FZW-6.0</t>
  </si>
  <si>
    <t>DCL181FZW(x1) + 632F69-8(x1) + 630718-5(x1)</t>
  </si>
  <si>
    <t>DCL283FZB-3.0</t>
  </si>
  <si>
    <t>DCL283FZB(x1) + 632G12-3(x1) + 630718-5(x1)</t>
  </si>
  <si>
    <t>DCL283FZB-6.0</t>
  </si>
  <si>
    <t>DCL283FZB(x1) + 632F69-8(x1) + 630718-5(x1)</t>
  </si>
  <si>
    <t>DCL283FZW-3.0</t>
  </si>
  <si>
    <t>DCL283FZW(x1) + 632G12-3(x1) + 630718-5(x1)</t>
  </si>
  <si>
    <t>DCL283FZW-6.0</t>
  </si>
  <si>
    <t>DCL283FZW(x1) + 632F69-8(x1) + 630718-5(x1)</t>
  </si>
  <si>
    <t>DCL286FZB-3.0</t>
  </si>
  <si>
    <t>DCL286FZB(x1) + 632G12-3(x1) + 630718-5(x1)</t>
  </si>
  <si>
    <t>DCL286FZB-6.0</t>
  </si>
  <si>
    <t>DCL286FZB(x1) + 632F69-8(x1) + 630718-5(x1)</t>
  </si>
  <si>
    <t>DCL286FZW-3.0</t>
  </si>
  <si>
    <t>DCL286FZW(x1) + 632G12-3(x1) + 630718-5(x1)</t>
  </si>
  <si>
    <t>DCL286FZW-6.0</t>
  </si>
  <si>
    <t>DCL286FZW(x1) + 632F69-8(x1) + 630718-5(x1)</t>
  </si>
  <si>
    <t>CL003GZ04-2.5</t>
  </si>
  <si>
    <t>CL003GZ04(x1) + 632N82-4(x1) + 630B63-0(x1)</t>
  </si>
  <si>
    <t>CL003GZ04-4.0</t>
  </si>
  <si>
    <t>CL003GZ04(x1) + 632N72-7(x1) + 630B63-0(x1)</t>
  </si>
  <si>
    <t>CL003GZ10-2.5</t>
  </si>
  <si>
    <t>CL003GZ10(x1) + 632N82-4(x1) + 630B63-0(x1)</t>
  </si>
  <si>
    <t>CL003GZ10-4.0</t>
  </si>
  <si>
    <t>CL003GZ10(x1) + 632N72-7(x1) + 630B63-0(x1)</t>
  </si>
  <si>
    <t>CL001GZ04-2.5</t>
  </si>
  <si>
    <t>CL001GZ04(x1) + 632N82-4(x1) + 630B63-0(x1)</t>
  </si>
  <si>
    <t>CL001GZ04-4.0</t>
  </si>
  <si>
    <t>CL001GZ04(x1) + 632N72-7(x1) + 630B63-0(x1)</t>
  </si>
  <si>
    <t>CL004GD101-B</t>
  </si>
  <si>
    <t>CL004GD101(x1)</t>
  </si>
  <si>
    <t>VC008GZ-5.0</t>
  </si>
  <si>
    <t>VC008GZ(x1) + 632R45-4(x1) + 630B63-0(x1)</t>
  </si>
  <si>
    <t>VC008GZ-8.0</t>
  </si>
  <si>
    <t>VC008GZ(x1) + 632S90-5(x1) + 630B63-0(x1)</t>
  </si>
  <si>
    <t>VC009GZ-5.0</t>
  </si>
  <si>
    <t>VC009GZ(x1) + 632R45-4(x1) + 630B63-0(x1)</t>
  </si>
  <si>
    <t>VC009GZ-8.0</t>
  </si>
  <si>
    <t>VC009GZ(x1) + 632S90-5(x1) + 630B63-0(x1)</t>
  </si>
  <si>
    <t>VC011GZ-5.0</t>
  </si>
  <si>
    <t>VC011GZ(x1) + 632R45-4(x1) + 630B63-0(x1)</t>
  </si>
  <si>
    <t>VC011GZ-8.0</t>
  </si>
  <si>
    <t>VC011GZ(x1) + 632S90-5(x1) + 630B63-0(x1)</t>
  </si>
  <si>
    <t>VC012GZ-5.0</t>
  </si>
  <si>
    <t>VC012GZ(x1) + 632R45-4(x1) + 630B63-0(x1)</t>
  </si>
  <si>
    <t>VC012GZ-8.0</t>
  </si>
  <si>
    <t>VC012GZ(x1) + 632S90-5(x1) + 630B63-0(x1)</t>
  </si>
  <si>
    <t>DVC660Z-6.0</t>
  </si>
  <si>
    <t>DVC660Z(x1) + 632F69-8(x2) + 196933-6(x1)</t>
  </si>
  <si>
    <t>DCL184Z-3.0</t>
  </si>
  <si>
    <t>DCL184Z(x1) + 632G12-3(x1) + 630718-5(x1)</t>
  </si>
  <si>
    <t>DCL184Z-6.0</t>
  </si>
  <si>
    <t>DCL184Z(x1) + 632F69-8(x1) + 630718-5(x1)</t>
  </si>
  <si>
    <t>DVC350Z-3.0</t>
  </si>
  <si>
    <t>DVC350Z(x1) + 632G12-3(x1) + 630718-5(x1)</t>
  </si>
  <si>
    <t>DVC350Z-6.0</t>
  </si>
  <si>
    <t>DVC350Z(x1) + 632F69-8(x1) + 630718-5(x1)</t>
  </si>
  <si>
    <t>DVC750LZ-5.0</t>
  </si>
  <si>
    <t>DVC750LZ(x1) + 632F15-1(x1) + 630718-5(x1)</t>
  </si>
  <si>
    <t>DVC750LZ-6.0</t>
  </si>
  <si>
    <t>DVC750LZ(x1) + 632F69-8(x1) + 630718-5(x1)</t>
  </si>
  <si>
    <t>VC001GLZ-5.0</t>
  </si>
  <si>
    <t>VC001GLZ(x1) + 632R45-4(x1) + 630C46-6(x1)</t>
  </si>
  <si>
    <t>VC001GLZ-8.0</t>
  </si>
  <si>
    <t>VC001GLZ(x1) + 632S90-5(x1) + 630C46-6(x1)</t>
  </si>
  <si>
    <t>VC003GLZ-5.0</t>
  </si>
  <si>
    <t>VC003GLZ(x1) + 632R45-4(x1) + 630C46-6(x1)</t>
  </si>
  <si>
    <t>VC003GLZ-8.0</t>
  </si>
  <si>
    <t>VC003GLZ(x1) + 632S90-5(x1) + 630C46-6(x1)</t>
  </si>
  <si>
    <t>VC004GLZ01-5.0</t>
  </si>
  <si>
    <t>VC004GLZ01(x1) + 632R45-4(x1) + 630C46-6(x1)</t>
  </si>
  <si>
    <t>VC004GLZ01-8.0</t>
  </si>
  <si>
    <t>VC004GLZ01(x1) + 632S90-5(x1) + 630C46-6(x1)</t>
  </si>
  <si>
    <t>VC007GLZ05-5.0</t>
  </si>
  <si>
    <t>VC007GLZ05(x1) + 632R45-4(x2) + 630C46-6(x1)</t>
  </si>
  <si>
    <t>VC007GLZ05-8.0</t>
  </si>
  <si>
    <t>VC007GLZ05(x1) + 632S90-5(x2) + 630C46-6(x1)</t>
  </si>
  <si>
    <t>DVC560Z-6.0</t>
  </si>
  <si>
    <t>DVC560Z(x1) + 632F69-8(x2) + 196933-6(x1)</t>
  </si>
  <si>
    <t>VC010GZ-5.0</t>
  </si>
  <si>
    <t>VC010GZ(x1) + 632R45-4(x1) + 630B63-0(x1)</t>
  </si>
  <si>
    <t>VC010GZ-8.0</t>
  </si>
  <si>
    <t>VC010GZ(x1) + 632S90-5(x1) + 630B63-0(x1)</t>
  </si>
  <si>
    <t>DRC200Z-6.0</t>
  </si>
  <si>
    <t>DRC200Z(x1) + 632F69-8(x2) + 196933-6(x1)</t>
  </si>
  <si>
    <t>DRC300Z-6.0</t>
  </si>
  <si>
    <t>DRC300Z(x1) + 632F69-8(x2) + 196933-6(x1)</t>
  </si>
  <si>
    <t>VS001GZ-5.0</t>
  </si>
  <si>
    <t>VS001GZ(x1) + 632R45-4(x2) + 630C46-6(x1)</t>
  </si>
  <si>
    <t>VS001GZ-8.0</t>
  </si>
  <si>
    <t>VS001GZ(x1) + 632S90-5(x2) + 630C46-6(x1)</t>
  </si>
  <si>
    <t>PS001GZ-4.0</t>
  </si>
  <si>
    <t>PS001GZ(x1) + 632N72-7(x1) + 630B63-0(x1)</t>
  </si>
  <si>
    <t>PS001GZ-4.0F</t>
  </si>
  <si>
    <t>PS001GZ(x1) + 632T21-0(x1) + 630B63-0(x1)</t>
  </si>
  <si>
    <t>LM004GZ-5.0</t>
  </si>
  <si>
    <t>LM004GZ(x1) + 632R45-4(x1) + 630B63-0(x1)</t>
  </si>
  <si>
    <t>XGT LISTA 2</t>
  </si>
  <si>
    <t>LM004GZ-8.0</t>
  </si>
  <si>
    <t>LM004GZ(x1) + 632S90-5(x1) + 630B63-0(x1)</t>
  </si>
  <si>
    <t>LM002GZ-5.0</t>
  </si>
  <si>
    <t>LM002GZ(x1) + 632R45-4(x2) + 630C46-6(x1)</t>
  </si>
  <si>
    <t>LM002GZ-8.0</t>
  </si>
  <si>
    <t>LM002GZ(x1) + 632S90-5(x2) + 630C46-6(x1)</t>
  </si>
  <si>
    <t>UR002GZ-5.0</t>
  </si>
  <si>
    <t>UR002GZ(x1) + 632R45-4(x1) + 630B63-0(x1)</t>
  </si>
  <si>
    <t>UR002GZ-8.0</t>
  </si>
  <si>
    <t>UR002GZ(x1) + 632S90-5(x1) + 630B63-0(x1)</t>
  </si>
  <si>
    <t>UR016GZ-5.0</t>
  </si>
  <si>
    <t>UR016GZ(x1) + 632R45-4(x1) + 630B63-0(x1)</t>
  </si>
  <si>
    <t>UR016GZ-8.0</t>
  </si>
  <si>
    <t>UR016GZ(x1) + 632S90-5(x1) + 630B63-0(x1)</t>
  </si>
  <si>
    <t>UR006GZ02-5.0</t>
  </si>
  <si>
    <t>UR006GZ02(x1) + 632R45-4(x1) + 630B63-0(x1)</t>
  </si>
  <si>
    <t>UR006GZ02-8.0</t>
  </si>
  <si>
    <t>UR006GZ02(x1) + 632S90-5(x1) + 630B63-0(x1)</t>
  </si>
  <si>
    <t>UR013GZ03-5.0</t>
  </si>
  <si>
    <t>UR013GZ03(x1) + 632R45-4(x1) + 630B63-0(x1)</t>
  </si>
  <si>
    <t>UR013GZ03-8.0</t>
  </si>
  <si>
    <t>UR013GZ03(x1) + 632S90-5(x1) + 630B63-0(x1)</t>
  </si>
  <si>
    <t>UR012GZ02-5.0</t>
  </si>
  <si>
    <t>UR012GZ02(x1) + 632R45-4(x2) + 630C46-6(x1)</t>
  </si>
  <si>
    <t>UR012GZ02-8.0</t>
  </si>
  <si>
    <t>UR012GZ02(x1) + 632S90-5(x2) + 630C46-6(x1)</t>
  </si>
  <si>
    <t>UC029GZ01-5.0</t>
  </si>
  <si>
    <t>UC029GZ01(x1) + 632R45-4(x1) + 630B63-0(x1)</t>
  </si>
  <si>
    <t>UC029GZ01-4.0F</t>
  </si>
  <si>
    <t>UC029GZ01(x1) + 632T21-0(x1) + 630B63-0(x1)</t>
  </si>
  <si>
    <t>UC021GZ-5.0</t>
  </si>
  <si>
    <t>UC021GZ(x1) + 632R45-4(x1) + 630B63-0(x1)</t>
  </si>
  <si>
    <t>UC021GZ-4.0F</t>
  </si>
  <si>
    <t>UC021GZ(x1) + 632T21-0(x1) + 630B63-0(x1)</t>
  </si>
  <si>
    <t>UC004GZ01-5.0</t>
  </si>
  <si>
    <t>UC004GZ01(x1) + 632R45-4(x1) + 630B63-0(x1)</t>
  </si>
  <si>
    <t>UC004GZ01-4.0F</t>
  </si>
  <si>
    <t>UC004GZ01(x1) + 632T21-0(x1) + 630B63-0(x1)</t>
  </si>
  <si>
    <t>UC016GZ02-5.0</t>
  </si>
  <si>
    <t>UC016GZ02(x1) + 632R45-4(x1) + 630B63-0(x1)</t>
  </si>
  <si>
    <t>UC016GZ02-8.0</t>
  </si>
  <si>
    <t>UC016GZ02(x1) + 632S90-5(x1) + 630B63-0(x1)</t>
  </si>
  <si>
    <t>UH008GZ-4.0</t>
  </si>
  <si>
    <t>UH008GZ(x1) + 632N72-7(x1) + 630B63-0(x1)</t>
  </si>
  <si>
    <t>UH008GZ-5.0</t>
  </si>
  <si>
    <t>UH008GZ(x1) + 632R45-4(x1) + 630B63-0(x1)</t>
  </si>
  <si>
    <t>UH008GZ-4.0F</t>
  </si>
  <si>
    <t>UH008GZ(x1) + 632T21-0(x1) + 630B63-0(x1)</t>
  </si>
  <si>
    <t>UH009GZ-4.0</t>
  </si>
  <si>
    <t>UH009GZ(x1) + 632N72-7(x1) + 630B63-0(x1)</t>
  </si>
  <si>
    <t>UH009GZ-5.0</t>
  </si>
  <si>
    <t>UH009GZ(x1) + 632R45-4(x1) + 630B63-0(x1)</t>
  </si>
  <si>
    <t>UH009GZ-4.0F</t>
  </si>
  <si>
    <t>UH009GZ(x1) + 632T21-0(x1) + 630B63-0(x1)</t>
  </si>
  <si>
    <t>UN001GZ-4.0</t>
  </si>
  <si>
    <t>UN001GZ(x1) + 632N72-7(x1) + 630B63-0(x1)</t>
  </si>
  <si>
    <t>UN001GZ-5.0</t>
  </si>
  <si>
    <t>UN001GZ(x1) + 632R45-4(x1) + 630B63-0(x1)</t>
  </si>
  <si>
    <t>UN001GZ-4.0F</t>
  </si>
  <si>
    <t>UN001GZ(x1) + 632T21-0(x1) + 630B63-0(x1)</t>
  </si>
  <si>
    <t>UB001GZ-5.0</t>
  </si>
  <si>
    <t>UB001GZ(x1) + 632R45-4(x1) + 630B63-0(x1)</t>
  </si>
  <si>
    <t>UB001GZ-8.0</t>
  </si>
  <si>
    <t>UB001GZ(x1) + 632S90-5(x1) + 630B63-0(x1)</t>
  </si>
  <si>
    <t>DG002GZ-5.0</t>
  </si>
  <si>
    <t>DG002GZ(x1) + 632R45-4(x1) + 630B63-0(x1)</t>
  </si>
  <si>
    <t>DG002GZ-8.0</t>
  </si>
  <si>
    <t>DG002GZ(x1) + 632S90-5(x1) + 630B63-0(x1)</t>
  </si>
  <si>
    <t>PM001GZ-8.0</t>
  </si>
  <si>
    <t>PM001GZ(x1) + 632S90-5(x2) + 630C46-6(x1)</t>
  </si>
  <si>
    <t>UX01GZ-5.0</t>
  </si>
  <si>
    <t>UX01GZ(x1) + 632R45-4(x1) + 630B63-0(x1)</t>
  </si>
  <si>
    <t>UX01GZ-8.0</t>
  </si>
  <si>
    <t>UX01GZ(x1) + 632S90-5(x1) + 630B63-0(x1)</t>
  </si>
  <si>
    <t>UA004GZ01-5.0</t>
  </si>
  <si>
    <t>UA004GZ01(x1) + 632R45-4(x1) + 630B63-0(x1)</t>
  </si>
  <si>
    <t>UA004GZ01-8.0</t>
  </si>
  <si>
    <t>UA004GZ01(x1) + 632S90-5(x1) + 630B63-0(x1)</t>
  </si>
  <si>
    <t>HW001GZ-5.0</t>
  </si>
  <si>
    <t>HW001GZ(x1) + 632R45-4(x2) + 630C46-6(x1)</t>
  </si>
  <si>
    <t>HW001GZ-8.0</t>
  </si>
  <si>
    <t>HW001GZ(x1) + 632S90-5(x2) + 630C46-6(x1)</t>
  </si>
  <si>
    <t>UV001GZ-5.0</t>
  </si>
  <si>
    <t>UV001GZ(x1) + 632R45-4(x2) + 630C46-6(x1)</t>
  </si>
  <si>
    <t>UV001GZ-8.0</t>
  </si>
  <si>
    <t>UV001GZ(x1) + 632S90-5(x2) + 630C46-6(x1)</t>
  </si>
  <si>
    <t>E-13611-50</t>
  </si>
  <si>
    <t>E-13611(x1)</t>
  </si>
  <si>
    <t>OPE ACC LISTA 2</t>
  </si>
  <si>
    <t>E-13633-80</t>
  </si>
  <si>
    <t>E-13633(x1)</t>
  </si>
  <si>
    <t>E-07294-100</t>
  </si>
  <si>
    <t>E-07294(x1)</t>
  </si>
  <si>
    <t>E-07303-150</t>
  </si>
  <si>
    <t>E-07303(x1)</t>
  </si>
  <si>
    <t>E-07319-200</t>
  </si>
  <si>
    <t>E-07319(x1)</t>
  </si>
  <si>
    <t>E-07325-X</t>
  </si>
  <si>
    <t>E-07325(x1)</t>
  </si>
  <si>
    <t>195922-8-OPE</t>
  </si>
  <si>
    <t>195922-8(x1)</t>
  </si>
  <si>
    <t>198761-5-OPE</t>
  </si>
  <si>
    <t>198761-5(x1)</t>
  </si>
  <si>
    <t>191M57-1-OPE</t>
  </si>
  <si>
    <t>191M57-1(x1)</t>
  </si>
  <si>
    <t>191N34-9-OPE</t>
  </si>
  <si>
    <t>191N34-9(x1)</t>
  </si>
  <si>
    <t>191N46-2-OPE</t>
  </si>
  <si>
    <t>191N46-2(x1)</t>
  </si>
  <si>
    <t>196751-2-OPE</t>
  </si>
  <si>
    <t>196751-2(x1)</t>
  </si>
  <si>
    <t>191F68-4-OPE</t>
  </si>
  <si>
    <t>191F68-4(x1)</t>
  </si>
  <si>
    <t>191P75-7-OPE</t>
  </si>
  <si>
    <t>191P75-7(x1)</t>
  </si>
  <si>
    <t>1912R9-2-OPE</t>
  </si>
  <si>
    <t>1912R9-2(x1)</t>
  </si>
  <si>
    <t>191T41-8-OPE</t>
  </si>
  <si>
    <t>191T41-8(x1)</t>
  </si>
  <si>
    <t>196341-1-OPE</t>
  </si>
  <si>
    <t>196341-1(x1)</t>
  </si>
  <si>
    <t>1912U0-1-OPE</t>
  </si>
  <si>
    <t>1912U0-1(x1)</t>
  </si>
  <si>
    <t>197742-6-OPE</t>
  </si>
  <si>
    <t>197742-6(x1)</t>
  </si>
  <si>
    <t>198061-3-OPE</t>
  </si>
  <si>
    <t>198061-3(x1)</t>
  </si>
  <si>
    <t>1912T2-0-OPE</t>
  </si>
  <si>
    <t>1912T2-0(x1)</t>
  </si>
  <si>
    <t>1913D1-6-OPE</t>
  </si>
  <si>
    <t>1913D1-6(x1)</t>
  </si>
  <si>
    <t>195707-2-OPE</t>
  </si>
  <si>
    <t>195707-2(x1)</t>
  </si>
  <si>
    <t>199186-6-OPE</t>
  </si>
  <si>
    <t>199186-6(x1)</t>
  </si>
  <si>
    <t>1913T9-2-OPE</t>
  </si>
  <si>
    <t>1913T9-2(x1)</t>
  </si>
  <si>
    <t>199324-0-OPE</t>
  </si>
  <si>
    <t>199324-0(x1)</t>
  </si>
  <si>
    <t>199345-2-OPE</t>
  </si>
  <si>
    <t>199345-2(x1)</t>
  </si>
  <si>
    <t>197163-2-OPE</t>
  </si>
  <si>
    <t>197163-2(x1)</t>
  </si>
  <si>
    <t>PF400MP-OPE</t>
  </si>
  <si>
    <t>PF400MP(x1)</t>
  </si>
  <si>
    <t>191E23-0-OPE</t>
  </si>
  <si>
    <t>191E23-0(x1)</t>
  </si>
  <si>
    <t>DCL181FZW-MP</t>
  </si>
  <si>
    <t>DCL181FZW(x1) + DHP487SF(x1)</t>
  </si>
  <si>
    <t>DCL181FZW-MP2</t>
  </si>
  <si>
    <t>DCL181FZW(x1) + DHP489RFJ(x1)</t>
  </si>
  <si>
    <t>DCL181FZW-MP3</t>
  </si>
  <si>
    <t>DCL181FZW(x1) + DGA458RTJ(x1)</t>
  </si>
  <si>
    <t>DCL181FZW-MP4</t>
  </si>
  <si>
    <t>DCL181FZW(x1) + DLX2283S(x1)</t>
  </si>
  <si>
    <t>CO-DTW1002RTJ-0725</t>
  </si>
  <si>
    <t>DTW1002RTJ(x1)+ A-96316(x1)+ E-16178(x2)</t>
  </si>
  <si>
    <t>PR-TW011GM201-0825</t>
  </si>
  <si>
    <t>TW011GM201(x1)</t>
  </si>
  <si>
    <t>CO-9557HPG-0825-100</t>
  </si>
  <si>
    <t>9557HPG(x10) + D-72001(x100)</t>
  </si>
  <si>
    <t>CO-9557HPG-0825-200</t>
  </si>
  <si>
    <t>9557HPG(x20) + D-72001(x200)</t>
  </si>
  <si>
    <t>CO-2012NB-0925</t>
  </si>
  <si>
    <t>2012NB(x1) + BO4556(x1)</t>
  </si>
  <si>
    <t>CO-GA7082-0925</t>
  </si>
  <si>
    <t>GA7082(x1) + D-80612(x2)</t>
  </si>
  <si>
    <t>PR-HG6530VK-0825</t>
  </si>
  <si>
    <t>HG6530VK(x3)</t>
  </si>
  <si>
    <t>CO-HG5030K-0725</t>
  </si>
  <si>
    <t>HG5030K(x2) + RP0900(x2)</t>
  </si>
  <si>
    <t>M3700B(x2) + D-49002(x2)</t>
  </si>
  <si>
    <t>CO-M4001B-0825</t>
  </si>
  <si>
    <t>M4001B(x2) + M0801B(x2)</t>
  </si>
  <si>
    <t>CO-M9204B-0925</t>
  </si>
  <si>
    <t>M9204B(x2) + M3600B(x2)</t>
  </si>
  <si>
    <t>CO-M9204B-0825</t>
  </si>
  <si>
    <t>M9204B(x2) + M3601B(x2)</t>
  </si>
  <si>
    <t>CO-D-34198-150-0625</t>
  </si>
  <si>
    <t>D-34198(x100) + D-34198(x50)</t>
  </si>
  <si>
    <t>CO-D-34198-300-0625</t>
  </si>
  <si>
    <t>D-34198(x250) + D-34198(x50)</t>
  </si>
  <si>
    <t>CO-D-34213-50-0625</t>
  </si>
  <si>
    <t>D-34213(x40) + D-34213(x10)</t>
  </si>
  <si>
    <t>CO-D-34213-250-0625</t>
  </si>
  <si>
    <t>D-34213(x200) + D-34213(x50)</t>
  </si>
  <si>
    <t>CO-D-34213-500-0625</t>
  </si>
  <si>
    <t>D-34213(x200) + D-34213(x300)</t>
  </si>
  <si>
    <t>CO-D-34213-800-0625</t>
  </si>
  <si>
    <t>D-34213(x500) + D-34213(x300)</t>
  </si>
  <si>
    <t>PR-D-05175-0625</t>
  </si>
  <si>
    <t>D-05175(x6)</t>
  </si>
  <si>
    <t>PR-D-30514-0625</t>
  </si>
  <si>
    <t>D-30514(x6)</t>
  </si>
  <si>
    <t>PR-E-12005-0625</t>
  </si>
  <si>
    <t>E-12005(x3)</t>
  </si>
  <si>
    <t>PR-E-25323-0625</t>
  </si>
  <si>
    <t>E-25323(x1)</t>
  </si>
  <si>
    <t>PR-E-25339-0625</t>
  </si>
  <si>
    <t>E-25339(x1)</t>
  </si>
  <si>
    <t>PR-D-07945-0925</t>
  </si>
  <si>
    <t>D-07945(x6)</t>
  </si>
  <si>
    <t>PR-D-79572-10-0625</t>
  </si>
  <si>
    <t>D-79572(x9) + D-79572(x1)</t>
  </si>
  <si>
    <t>PR-D-79572-40-0625</t>
  </si>
  <si>
    <t>D-79572(x30) + D-79572(x10)</t>
  </si>
  <si>
    <t>PR-D-79572-100-0625</t>
  </si>
  <si>
    <t>D-79572(x80) + D-79572(x20)</t>
  </si>
  <si>
    <t>PR-E-24913-0625</t>
  </si>
  <si>
    <t>E-24913(x1)</t>
  </si>
  <si>
    <t>PR-D-72001-100-0625</t>
  </si>
  <si>
    <t>D-72001(x90) + D-72001(x10)</t>
  </si>
  <si>
    <t>PR-D-72001-250-0625</t>
  </si>
  <si>
    <t>PR-D-72001-500-0625</t>
  </si>
  <si>
    <t>D-72001(x300) + D-72001(x200)</t>
  </si>
  <si>
    <t>PR-D-72001-1000-0625</t>
  </si>
  <si>
    <t>D-72001(x800) + D-72001(x200)</t>
  </si>
  <si>
    <t>PR-D-72001-1500-0625</t>
  </si>
  <si>
    <t>D-72001(x1300) + D-72001(x200)</t>
  </si>
  <si>
    <t>PR-D-72001-2000-0625</t>
  </si>
  <si>
    <t>D-72001(x1800) + D-72001(x200)</t>
  </si>
  <si>
    <t>PR-B-10730-5-300-0825</t>
  </si>
  <si>
    <t>B-10730-5(x50) + B-10730-5(x10)</t>
  </si>
  <si>
    <t>PR-B-10730-5-600-0825</t>
  </si>
  <si>
    <t>B-10730-5(x90) + B-10730-5(x30)</t>
  </si>
  <si>
    <t>PR-B-10730-5-1000-0825</t>
  </si>
  <si>
    <t>PR-B-10730-5-2000-0825</t>
  </si>
  <si>
    <t>PR-194041-7-7-0825</t>
  </si>
  <si>
    <t>194041-7(x6) + 194041-7(x1)</t>
  </si>
  <si>
    <t>PR-D-40200-10-0825</t>
  </si>
  <si>
    <t>D-40200(x9) + D-40200(x1)</t>
  </si>
  <si>
    <t>PR-D-44286-10-0825</t>
  </si>
  <si>
    <t>D-44286(x9) + D-44286(x1)</t>
  </si>
  <si>
    <t>PR-D-44286-20-0825</t>
  </si>
  <si>
    <t>D-44286(x18) + D-44286(x2)</t>
  </si>
  <si>
    <t>PR-D-44292-10-0825</t>
  </si>
  <si>
    <t>D-44292(x9) + D-44292(x1)</t>
  </si>
  <si>
    <t>PR-D-44292-20-0825</t>
  </si>
  <si>
    <t>D-44292(x18) + D-44292(x2)</t>
  </si>
  <si>
    <t>D-80597(x10) + D-80597(x10)</t>
  </si>
  <si>
    <t>D-80612(x10) + D-80612(x10)</t>
  </si>
  <si>
    <t>PR-B-29103-10-0825</t>
  </si>
  <si>
    <t>B-29103(x9) + B-29103(x1)</t>
  </si>
  <si>
    <t>PR-E-25351-1-0825</t>
  </si>
  <si>
    <t>E-25351(x1)</t>
  </si>
  <si>
    <t>PR-D-03414-0925</t>
  </si>
  <si>
    <t>D-03414(x4)</t>
  </si>
  <si>
    <t>PR-E-24125-0925</t>
  </si>
  <si>
    <t>E-24125(x4)</t>
  </si>
  <si>
    <t>PR-D-19180-0925</t>
  </si>
  <si>
    <t>D-19180(x2)</t>
  </si>
  <si>
    <t>PR-E-24826-0925</t>
  </si>
  <si>
    <t>E-24826(x2)</t>
  </si>
  <si>
    <t>PR-D-74887-0925</t>
  </si>
  <si>
    <t>D-74887(x2)</t>
  </si>
  <si>
    <t>PR-B-68498-0925</t>
  </si>
  <si>
    <t>B-68498(x6)</t>
  </si>
  <si>
    <t>161846-0</t>
  </si>
  <si>
    <t>GUIDE BAR 10 P/ DUC254</t>
  </si>
  <si>
    <t>ABRAZADERA TIPO PRENSA SARGENTO PARA GUIA Y REGLA 1913K5-7 PARA SIERRA DE INCISION SP600, DSP600, SP001</t>
  </si>
  <si>
    <t>1914X6-2</t>
  </si>
  <si>
    <t>SOPORTE GUIA REGLA CORTA PARA LJJADO DE METAL PARA LJJADORA DE BANDA BS001G</t>
  </si>
  <si>
    <t>BASE VELCRO CON AGUJEROS PARA LIJADORA BO007G</t>
  </si>
  <si>
    <t>1915F1-2</t>
  </si>
  <si>
    <t>BATERIA LXT BASIC 2.0 AMPERIOS BLB182</t>
  </si>
  <si>
    <t>1915M3-7</t>
  </si>
  <si>
    <t>1915N6-8</t>
  </si>
  <si>
    <t>1916C6-7</t>
  </si>
  <si>
    <t>1916J6-6</t>
  </si>
  <si>
    <t>1916K0-5</t>
  </si>
  <si>
    <t>1916N6-4</t>
  </si>
  <si>
    <t>1916S5-1</t>
  </si>
  <si>
    <t>1916S5-1-SAMPLE</t>
  </si>
  <si>
    <t>1916S7-7</t>
  </si>
  <si>
    <t>1916S7-7-SAMPLE</t>
  </si>
  <si>
    <t>1916T7-4</t>
  </si>
  <si>
    <t>1916T9-0</t>
  </si>
  <si>
    <t>ACCESORIO ANGULAR PARA PISTOLA DE ENGRASE PARA ENGRASADORA DGP180Z</t>
  </si>
  <si>
    <t>1916X3-0-SAMPLE</t>
  </si>
  <si>
    <t>SHEAR BLADE 500 SET</t>
  </si>
  <si>
    <t>MANDRIL DE 1/2" C/LLAVE (1/2"X20UNF)"</t>
  </si>
  <si>
    <t>197975-3</t>
  </si>
  <si>
    <t>PROTECTOR DE HERRAMIENTA DE SIERRA DE BANDA MODELOS XBP01, DPB181</t>
  </si>
  <si>
    <t>4132F1-7</t>
  </si>
  <si>
    <t>ETIQUETA DE INDICACIÓN</t>
  </si>
  <si>
    <t>821551-8</t>
  </si>
  <si>
    <t>ESMERIL ANGULAR 4.1/2" 1400W. 2.4KG. SECURITY SWITCH SJS"</t>
  </si>
  <si>
    <t>ADAPTADOR DE BATERIA PARA HERRAMIENTAS LXT CABLE DE 5.2 FT PARA ST421D</t>
  </si>
  <si>
    <t>SIERRA DE CALAR TIPO T PARA MADERA CORTE CURVO- RAPIDO LARGO 77MM (B-29)  16 TPI HCS 42MM UTIL (5 PCS)</t>
  </si>
  <si>
    <t>SIERRA DE CALAR TIPO T PARA MADERA CORTE CURVO- RAPIDO FINO LARGO 105MM (B-10)  9 TPI HCS 76MM UTIL (5 PCS)</t>
  </si>
  <si>
    <t>SIERRA DE CALAR TIPO T PARA MADERA CORTE CURVO- RAPIDO FINO LARGO 100MM (B-11)  9 TPI HCS 73MM UTIL (T101B) (5 PCS)</t>
  </si>
  <si>
    <t>SIERRA DE CALAR TIPO T PARA MADERA (BASICO) CORTE RECTO LARGO 105MM (B-13) HCS 8 TPI 70 MM. UTIL (T111C) (5 PCS)</t>
  </si>
  <si>
    <t>SIERRA DE CALAR TIPO T PARA MADERA BASICO CORTE RECTO LARGO 76MM (B-15) 12TPI HCS 50 MM UTIL (T119B) (5 PCS)</t>
  </si>
  <si>
    <t>SIERRA DE CALAR TIPO T PARA MADERA CORTE RECTO RAPIDO LARGO 105MM (B-16) 6 TPI HCS 75 MM. UTIL (T114D) (5 PCS)</t>
  </si>
  <si>
    <t>SIERRA DE CALAR TIPO T PARA MADERA (RAPIDO) CORTE RECTO LARGO 105MM (B-17) HCS 6 TPI 71 MM. (T244D) (5 PCS)</t>
  </si>
  <si>
    <t>SIERRA DE CALAR TIPO T PARA MADERA CORTE CURVO BASICO LARGO  77MM (B-18) 14TPI HCS 45 MM. UTIL (T119BO) (5 PCS)</t>
  </si>
  <si>
    <t>SIERRA DE CALAR TIPO T PARA MADERA CORTE RECTO RAPIDO FINO LARGO 90MM (B-19) 12TPI HCS 65 MM. UTIL (T101BR) (5 PCS)</t>
  </si>
  <si>
    <t>SIERRA DE CALAR TIPO T PARA PLASTICO Y ALUMINIO CORTE RECTO LARGO 100MM (B-21) 12 TPI HSS 73MM UTIL (T101A) (5 PCS)</t>
  </si>
  <si>
    <t>SIERRA DE CALAR TIPO T PARA METAL PLASTICO Y ALUMINIO CORTE RECTO LARGO 76MM (B-22) 24 TPI HSS 50MM UTIL (T118A) (5 PCS)</t>
  </si>
  <si>
    <t>SIERRA DE CALAR TIPO T PARA METAL (BASICO) CORTE RECTO LARGO (B-23) HSS 14TPI 50 MM. UTIL (T118B) (5 PCS)</t>
  </si>
  <si>
    <t>SIERRA DE CALAR TIPO T PARA METAL CORTE RECTO LARGO 76MM (BASICO) (B-24) HSS 32TPI 52 MM. UTIL (T118G) (5 PCS)</t>
  </si>
  <si>
    <t>SIERRA DE CALAR TIPO T PARA METAL CORTE RECTO LARGO 76MM (BASICO) (B-24) HSS 24TPI 52 MM. UTIL (T218A) (5 PCS)</t>
  </si>
  <si>
    <t>AMP18</t>
  </si>
  <si>
    <t>COMPROBADOR DE CORRIENTE LXT</t>
  </si>
  <si>
    <t>AMP40</t>
  </si>
  <si>
    <t>COMPROBADOR DE CORRIENTE XGT</t>
  </si>
  <si>
    <t>SIERRA DE CALAR TIPO T PARA METAL ACERO BASICO Y PLASTICO DURO LARGO 76MM (B-22) HSS 24 TPI 52 MM UTIL (2PC)</t>
  </si>
  <si>
    <t>SIERRA DE CALAR TIPO T PARA METAL ACERO BASICO Y PLASTICO DURO LARGO 76MM (B-23) HSS 14 TPI 51 MM UTIL (2PC)</t>
  </si>
  <si>
    <t>SIERRA DE CALAR TIPO T (3 PCS) SUPER EXPRESS (B-50  B-51  B-52) T234X, T123X, T345X</t>
  </si>
  <si>
    <t>SIERRA DE CALAR TIPO T PARA MADERA DURA (SUPER EXPRESS) CORTE RECTO LARGO 100MM (B-50) HCS  8-11 TPI 77 MM. UTIL (T234X) (5 PCS)</t>
  </si>
  <si>
    <t>SIERRA DE CALAR TIPO T PARA METAL (SUPER EXPRESS) CORTE RECTO LARGO 100MM (B-51) HSS 6-10 TPI 77 MM. UTIL (T123X) (5 PCS)</t>
  </si>
  <si>
    <t>SIERRA DE CALAR TIPO T UNIVERSAL BIMETAL (SUPER EXPRESS) CORTE RECTO LARGO 100MM (B-52) HSS 6-10 TPI 77 MM. UTIL (T345X) (5 PCS)</t>
  </si>
  <si>
    <t>SIERRA DE CALAR TIPO T PARA ALUMINIO CORTE RECTO LARGO 132MM (B-32) HSS 14 TPI 50 MM. UTIL (T318A) (5 PCS)</t>
  </si>
  <si>
    <t>SIERRA DE CALAR TIPO T PARA LAMINADOS CORTE CURVOS CON ACABADO LARGO 82MM (B-54) BIM 18TPI 59MM UTIL (T101AOF) (5PCS)</t>
  </si>
  <si>
    <t>CINCEL SDS-MAX  PALA ANCHA 4" 115 X 350MM. (TOP LINE)</t>
  </si>
  <si>
    <t>B-23494</t>
  </si>
  <si>
    <t>PUNTERAS PZ2 (3 PCS) LARGO 25 MM. (B-23494)</t>
  </si>
  <si>
    <t>DADO MAGNETICO 1/4" X 50 DIAMETRO 8MM.</t>
  </si>
  <si>
    <t>DADO MAGNETICO 1/4" X 50 DIAMETRO 10MM.</t>
  </si>
  <si>
    <t>B-38738</t>
  </si>
  <si>
    <t>DADO MAGNETICO 1/4"  X 50 DIAMETRO 13MM.</t>
  </si>
  <si>
    <t>DADO MAGNETICO 1/4" X 50 DIAMETRO 5.5MM.</t>
  </si>
  <si>
    <t>DADO MAGNETICO 1/4" X 50 DIAMETRO 6MM.</t>
  </si>
  <si>
    <t>DISCO DE SIERRA PARA MELAMINE TCT (10 X 1/8")  (260X30 MM.) 80 DIENTES</t>
  </si>
  <si>
    <t>DADO MAGNETICO 1/4" X 2-9/16" DIAMETRO  1/4"</t>
  </si>
  <si>
    <t>DADO MAGNETICO 1/4" X 2-9/16" DIAMETRO  5/16"</t>
  </si>
  <si>
    <t>DADO MAGNETICO 1/4" X 2-9/16" DIAMETRO  3/8"</t>
  </si>
  <si>
    <t>B-49909</t>
  </si>
  <si>
    <t>SCREW GUIDE BIT 26PCS/SET</t>
  </si>
  <si>
    <t>PORTA PUNTERA BIT ENCASTRE 1/4"</t>
  </si>
  <si>
    <t>B-55697</t>
  </si>
  <si>
    <t>BROCA SDS-PLUS 1/4" X 4" X 6" - DOS CORTES</t>
  </si>
  <si>
    <t>BROCA SDS-PLUS 3/8" X 4" X 6" - DOS CORTES</t>
  </si>
  <si>
    <t>BROCA SDS-PLUS 3/8" X 10" X 12" - DOS CORTES</t>
  </si>
  <si>
    <t>BROCA SDS-PLUS 1/2" X 10" X 12" - DOS CORTES</t>
  </si>
  <si>
    <t>BROCA SDS-PLUS 5/8" X 6" X 8" - DOS CORTES</t>
  </si>
  <si>
    <t>BROCA SDS-PLUS 5/8" X 10" X 12" DOS CORTES</t>
  </si>
  <si>
    <t>BROCA SDS-PLUS 3/4" X 6" X 8" - DOS CORTES</t>
  </si>
  <si>
    <t>BROCA SDS-PLUS 3/4" X 10" X 12" DOS CORTES</t>
  </si>
  <si>
    <t>BROCA SDS-PLUS 7/8" X 10" X 12" - DOS CORTES</t>
  </si>
  <si>
    <t>BROCA SDS-PLUS 1" X 8" X 10" - DOS CORTES</t>
  </si>
  <si>
    <t>BROCA SDS-PLUS 1" X 16" X 18" - DOS CORTES</t>
  </si>
  <si>
    <t>BROCA SDS-PLUS 1/4" X 4" X 6" - TRES CORTES</t>
  </si>
  <si>
    <t>BROCA SDS-PLUS 3/8" X 4" X 6" - TRES CORTES</t>
  </si>
  <si>
    <t>BROCA SDS-PLUS 3/8" X 10" X 12" - TRES CORTES</t>
  </si>
  <si>
    <t>BROCA SDS-PLUS 3/8" X 16" X 10" - TRES CORTES</t>
  </si>
  <si>
    <t>BROCA SDS-PLUS 1/2" X 4" X 6" - TRES CORTES</t>
  </si>
  <si>
    <t>BROCA SDS-PLUS 1/2" X 10" X 12" - TRES CORTES</t>
  </si>
  <si>
    <t>BROCA SDS-PLUS 1/2" X 16" X 18" - TRES CORTES</t>
  </si>
  <si>
    <t>BROCA SDS-PLUS 5/8" X 16" X 18" - TRES CORTES</t>
  </si>
  <si>
    <t>BROCA SDS-PLUS 3/4" X 16" X 18" - TRES CORTES</t>
  </si>
  <si>
    <t>SET DE PUNTAS BITS FORMATO BATERIA LXT 21 PIEZAS BLISTER</t>
  </si>
  <si>
    <t>BN001GZ</t>
  </si>
  <si>
    <t>BN001GZ-SAMPLE</t>
  </si>
  <si>
    <t>BS002GZ-SAMPLE</t>
  </si>
  <si>
    <t>PIPE BELT SANDER</t>
  </si>
  <si>
    <t>CL200FDZ</t>
  </si>
  <si>
    <t>CL200FDZ-SAMPLE</t>
  </si>
  <si>
    <t>COOLER/CALENTADOR XGT-LXT-AC / 20L / FRÃO (-18Â° A 10Â°) / CALIENTE (30Â° A 60Â°) / IPX4 / SIN BATERÃAS</t>
  </si>
  <si>
    <t>DISCO DE SIERRA P/ MADERA TCT (9-1/4" X 1") (235X25.4 MM.) 40 DIENTES</t>
  </si>
  <si>
    <t>DISCO DE SIERRA PARA ALUMINIO TCT (10-15/64"" X 1") (260X25.4 MM.) 70 DIENTES</t>
  </si>
  <si>
    <t>DISCO DE SIERRA PARA ALUMINIO TCT (10-15/64" X 1") (260X25.4 MM.) 100 DIENTES</t>
  </si>
  <si>
    <t>DISCO DE SIERRA P/ MADERA (7-1/4"" X 5/8"") (185X15.88 MM.) 24 DIENTES"</t>
  </si>
  <si>
    <t>PACK CINCEL SDS- PLUS PUNTO 250 MM  PLANO (20X250MM)  PLANO (40X250MM) 3 PCS</t>
  </si>
  <si>
    <t>FRESA RECTA 1 FILO VASTAGO DE 1/2" BLISTER DE PLASTICO L. UTIL 1 11/64" *L. TOTAL 2 13/32"</t>
  </si>
  <si>
    <t>CUCHILLA PARA CEPILLO HSS 2 FILO CORTE DELGADO DOBLE FILO 82MM 2 PIEZAS</t>
  </si>
  <si>
    <t>SET DE BROCAS SDS-PLUS 5 UNID (3-16" 1/4"  5/16"  3/8"  1/2")</t>
  </si>
  <si>
    <t>CINCEL PUNTA  SDS-PLUS   40 X 250 MM</t>
  </si>
  <si>
    <t>CINCEL PUNTA PLANA SDS-PLUS   40 X 250 MM</t>
  </si>
  <si>
    <t>DISCO DE SIERRA P/ MADERA (9-1/4" X 0-63/64") (235X25 MM.) 20 DIENTES</t>
  </si>
  <si>
    <t>CUCHILLA PARA CEPILLO HSS 1 FILO CORTE ANCHO 82MM 2 PIEZAS</t>
  </si>
  <si>
    <t>FRESA RECTA  VAS. 1/4" (6 X 18MM.) P/ ALUMINIO."</t>
  </si>
  <si>
    <t>BROCA PARA METAL HSS-CO (COBALTO 5%) 2.5 X 109 MM.</t>
  </si>
  <si>
    <t>CINCEL PUNTO 520 MM. ENCASTRE HEXAGONAL 28.6 MM C/COLLARIN</t>
  </si>
  <si>
    <t>D-17902</t>
  </si>
  <si>
    <t>CINCEL PUNTO SDS-PLUS LARGO 400 MM.</t>
  </si>
  <si>
    <t>DISCO DE SIERRA PARA ALUMINO TCT (10 X 5/8") (254X15.88 MM.) 100 DIENTES</t>
  </si>
  <si>
    <t>D-19071</t>
  </si>
  <si>
    <t>CIRCULAR SAW BLADES, STANDARD T.C.T. 255 X 30 MM, 100 T, WOOD</t>
  </si>
  <si>
    <t>D-19087</t>
  </si>
  <si>
    <t>CINCEL PUNTO SDS-PLUS LARGO 140 MM.</t>
  </si>
  <si>
    <t>SET DE BROCAS Y CINCELES SDS-PLUS VARIADOS (CON ESTUCHE DE ALUMINIO) JUEGO DE 17 PIEZAS</t>
  </si>
  <si>
    <t>DISCO DE SIERRA P/ MADERA (7-1/4" X 5/8") (185X15.88 MM.) 40 DIENTES</t>
  </si>
  <si>
    <t>D-29290</t>
  </si>
  <si>
    <t>CUP BRUSH TWISTED WIRE</t>
  </si>
  <si>
    <t>BROCA TCT SDS MAX 12MM X 200MM X 340MM DOS CORTES</t>
  </si>
  <si>
    <t>BROCA TCT SDS MAX 12MM X 400MM X 540MM DOS CORTES</t>
  </si>
  <si>
    <t>BROCA TCT SDS MAX 14MM X 200MM X 340MM DOS CORTES</t>
  </si>
  <si>
    <t>BROCA TCT SDS MAX 14MM X 400MM X 540MM DOS CORTES</t>
  </si>
  <si>
    <t>BROCA TCT SDS MAX 15MM X 200MM X 340MM DOS CORTES</t>
  </si>
  <si>
    <t>BROCA TCT SDS MAX 15MM X 400MM X 540MM DOS CORTES</t>
  </si>
  <si>
    <t>BROCA TCT SDS MAX 16MM X 200MM X 340MM DOS CORTES</t>
  </si>
  <si>
    <t>BROCA TCT SDS MAX 16MM X 400MM X 540MM DOS CORTES</t>
  </si>
  <si>
    <t>BROCA TCT SDS MAX 18MM X 200MM X 340MM DOS CORTES</t>
  </si>
  <si>
    <t>BROCA TCT SDS MAX 18MM X 400MM X 540MM DOS CORTES</t>
  </si>
  <si>
    <t>BROCA TCT SDS MAX 20MM X 200MM X 340MM DOS CORTES</t>
  </si>
  <si>
    <t>BROCA TCT SDS MAX 20MM X 400MM X 540MM DOS CORTES</t>
  </si>
  <si>
    <t>BROCA TCT SDS MAX 22MM X 200MM X 340MM DOS CORTES</t>
  </si>
  <si>
    <t>BROCA TCT SDS MAX 22MM X 400MM X 540MM DOS CORTES</t>
  </si>
  <si>
    <t>CINCEL PUNTO SDS-MAX 400 MM.  PAQUETE 10 PCS</t>
  </si>
  <si>
    <t>CINCEL PUNTA PLANO SDS-MAX 600.</t>
  </si>
  <si>
    <t>CINCEL SDS-MAX PALA  CORTA 80 X 300MM.</t>
  </si>
  <si>
    <t>SIERRA DE CALAR TIPO T PARA MADERA CORTE RECTO (BASICO) LARGO 100MM HCS 8TPI 74MM UTIL (T111C) (5 PCS)</t>
  </si>
  <si>
    <t>SIERRA DE CALAR TIPO T PARA MADERA CORTE RECTO (RAPIDO) HCS LARGO 100 MM 6TPI 74MM UTIL. (T114D) (5 PCS)</t>
  </si>
  <si>
    <t>SIERRA DE CALAR TIPO T PARA MADERA CORTE RECTO (RAPIDO)CORTE CURVO HCS LARGO 100 MM 6TPI 74MM UTIL. (T244D) (5 PCS)</t>
  </si>
  <si>
    <t>SIERRA DE CALAR TIPO T PARA METAL BASICO CORTE RECTO LARGO 75MM 12 TPI HSS 21MM. UTIL (T118A) (5 PCS)</t>
  </si>
  <si>
    <t>D-39768</t>
  </si>
  <si>
    <t>D-40082</t>
  </si>
  <si>
    <t>BROCA ESCALONADA PARA METAL CON VÃSTAGO HEXAGONAL DE 1/4"  RANURA RECTA DE 4 A 12 X 65 MM</t>
  </si>
  <si>
    <t>D-40098</t>
  </si>
  <si>
    <t>BROCA ESCALONADA PARA METAL CON VÃSTAGO HEXAGONAL DE 1/4"  RANURA RECTA DE 4 A 20 X 75 MM</t>
  </si>
  <si>
    <t>D-40107</t>
  </si>
  <si>
    <t>BROCA ESCALONADA PARA METAL CON VASTAGO CILINDRICO DE 4 A 32 X 102 MM</t>
  </si>
  <si>
    <t>D-40113</t>
  </si>
  <si>
    <t>BROCA ESCALONADA PARA METAL CON VÃSTAGO HEXAGONAL DE 1/4" RANURA RECTA, TITANIO, DE 4 A 12 X 65 MM</t>
  </si>
  <si>
    <t>BROCA ESCALONADA PARA METAL CON VÃSTAGO HEXAGONAL DE 1/4" RANURA RECTA, TITANIO, DE 4 A 20 X 75 MM</t>
  </si>
  <si>
    <t>BROCA ESCALONADA PARA METAL CON VASTAGO CILINDRICO, TITANIO DE 4 A 32 X 102 MM</t>
  </si>
  <si>
    <t>D-40141</t>
  </si>
  <si>
    <t>BROCA ESCALONADA PARA METAL CON VÃSTAGO HEXAGONAL DE 1/4"  RANURA EN ESPIRAL DE 4 A 12 X 65 MM</t>
  </si>
  <si>
    <t>D-40157</t>
  </si>
  <si>
    <t>BROCA ESCALONADA PARA METAL CON VÃSTAGO HEXAGONAL DE 1/4" RANURA EN ESPIRAL DE 4 A 20 X 75 MM</t>
  </si>
  <si>
    <t>BROCA ESCALONADA PARA METAL CON VÃSTAGO HEXAGONAL DE 1/4" RANURA EN ESPIRAL TITANIO, DE 4 A 12 X 65 MM</t>
  </si>
  <si>
    <t>BROCA ESCALONADA PARA METAL CON VÃSTAGO HEXAGONAL DE 1/4" RANURA EN ESPIRAL TITANIO DE 4 A 20 X 75 MM</t>
  </si>
  <si>
    <t>BROCA ESCALONADA PARA METAL CON VASTAGO CILINDRICO ESPIRAL  TITANIO DE 4 A 32 X 102 MM</t>
  </si>
  <si>
    <t>D-41872</t>
  </si>
  <si>
    <t>SETS BROCAS ESCALONADAS DE METAL CON RANURA EN ESPIRAL  TITANIO 3 PIEZAS, 4 A 12, 4 A 20 Y 4 A 32 MM ESTUCHE DE PLASTICO</t>
  </si>
  <si>
    <t>D-46414</t>
  </si>
  <si>
    <t>BROCA ESCALONADA PARA METAL CON VÃSTAGO HEXAGONAL DE 1/4" RANURA RECTA DE 4 A 12 X 65 MM</t>
  </si>
  <si>
    <t>D-46420</t>
  </si>
  <si>
    <t>BROCA ESCALONADA PARA METAL CON VÃSTAGO HEXAGONAL DE 1/4" RANURA RECTA DE 4 A 20 X 75 MM</t>
  </si>
  <si>
    <t>D-46436</t>
  </si>
  <si>
    <t>BROCA ESCALONADA PARA METAL CON VÃSTAGO HEXAGONAL DE 1/4" RANURA RECTA TITANIO DE 4 A 12 X 65 MM</t>
  </si>
  <si>
    <t>D-46442</t>
  </si>
  <si>
    <t>BROCA ESCALONADA PARA METAL CON VÃSTAGO HEXAGONAL DE 1/4 DE PULGADA, RANURA RECTA, REVESTIMIENTO DE TITANIO, DE 4 A 20 X 75 MM</t>
  </si>
  <si>
    <t>D-46458</t>
  </si>
  <si>
    <t>BROCA ESCALONADA PARA METAL CON VÃSTAGO HEXAGONAL DE 1/4" RANURA EN ESPIRAL DE 4 A 12 X 65 MM</t>
  </si>
  <si>
    <t>D-46464</t>
  </si>
  <si>
    <t>D-46470</t>
  </si>
  <si>
    <t>D-46486</t>
  </si>
  <si>
    <t>BROCA ESCALONADA PARA METAL CON VÃSTAGO HEXAGONAL DE 1/4" RANURA EN ESPIRAL TITANIO, DE 4 A 20 X 75 MM</t>
  </si>
  <si>
    <t>D-46573</t>
  </si>
  <si>
    <t>SETS ESCALONADAS PARA METAL CON VASTAGO CILINDRICO RECTA  TITANIO 3 PIEZAS, 4 A 12, 4 A 20 Y 4 A 32 MM ESTUCHE DE PLASTICO</t>
  </si>
  <si>
    <t>FRESA RECTA 1 FILO VASTAGO DE 1/4" L. UTIL 1/2" L.TOTAL 2"</t>
  </si>
  <si>
    <t>FRESA RECTA  VAS.1/4"  D 1/4" * L. UTIL 3/4" * L. TOTAL 2"</t>
  </si>
  <si>
    <t>D-49111</t>
  </si>
  <si>
    <t>FRESA RECTA 2F VAS. 1/4" D 5/16" * L. UTIL 3/4" * L. TOTAL 2"</t>
  </si>
  <si>
    <t>FRESA RECTA  VAS.1/4" * D 3/8" * L. UTIL 3/4" * L. TOTAL 2"</t>
  </si>
  <si>
    <t>FRESA RECTA  VAS.1/4"  D 1/2" * L. UTIL 3/4"  L. TOTAL  2""</t>
  </si>
  <si>
    <t>FRESA RECTA C.R  VAS 1/4" * D 3/8" * L. UTIL 1" * L. TOTAL 2-5/8"</t>
  </si>
  <si>
    <t>FRESA RECTA C.R  VAS 1/4" * D 1/2" * L. UTIL 1" * L. TOTAL 2-11/16""</t>
  </si>
  <si>
    <t>FRESA PILOTO VASTAGO DE 1/4" CONOCIDA COMO COPIADODA CON FILO PERFIL L. UTIL 3/4" *L.TOTAL 2 9/16"</t>
  </si>
  <si>
    <t>FRESA MEDIA CAÃ‘A LARGA  VAS 1/4" * D 1/2" * L. UTIL 3/4" * L. TOTAL 2" * R 1/4""</t>
  </si>
  <si>
    <t>FRESA MEDIA CAÃ‘A LARGA  VAS 1/4" * D 1/4" * L UTIL 1/2" * L. TOTAL 1-3/4" * R 1/8"</t>
  </si>
  <si>
    <t>FRESA MEDIA CAÃ‘A LARGA  VAS 1/4" * D 3/8" * L. UTIL 1/2" * L. TOTAL 1-3/4" * R 3/16""</t>
  </si>
  <si>
    <t>FRESA EN V(60Â°)  VAS. 1/4" * D. 1/2" * L. UTIL 5/8" * L. TOTAL 1-7/8"</t>
  </si>
  <si>
    <t>FRESA EN V(90Â°)  VAS. 1/4" * D. 3/4" * L. UTIL 5/8" * L. TOTAL 1-7/8"</t>
  </si>
  <si>
    <t>FRESA MEDIA CAÃ‘A(1/8") 2F. CAR.  VAS 1/4"/ UTIL(D 1/4" * L 1/4") / L. TOTAL 1-1/2""</t>
  </si>
  <si>
    <t>FRESA COLA DE MILANO(7.5Â°)  VAS 1/4" * D 1/4" * L. UTIL 5/16" * L. TOTAL 2-1/2"</t>
  </si>
  <si>
    <t>FRESA MOLDURA EN C  C.R.  VAS 1/4" * D 3/4" * L. UTIL 3/8"  L. TOTAL 2-1/8" * R 1/8"</t>
  </si>
  <si>
    <t>FRESA MOLDURA EN CT C.R.  VAS 1/4" * D 1-1/8" * L. UTIL 9/16"  L. TOTAL 2-3/16" * R 4/16"</t>
  </si>
  <si>
    <t>FRESA EN V(45Â°) C.R.  VAS. 1/4" * D. 1-3/16" * L. UTIL 1/2" * L. TOTAL 2-1/8""</t>
  </si>
  <si>
    <t>FRESA P/ENSAMBLES EN L / C.R. VAS 1/4" * D 1-1/4" * L. UTIL 1/2" * L. TOTAL 2-1/8" * P.C 3/8""</t>
  </si>
  <si>
    <t>FRESA RANURADORA 3F C.R.  VAS 1/4"" * D 1-7/8"" * L. UTIL 5/64"" * L. TOTAL 2-5/16"" * P.C  1/2"""</t>
  </si>
  <si>
    <t>FRESA RANURADORA 3F C.R.  VAS 1/4" * D 1-7/8" * L. UTIL 1/8" * L. TOTAL 2-5/16" * P.C  1/2"</t>
  </si>
  <si>
    <t>DISCO DE SIERRA P/ MADERA (9-1/4" X 1") (235X25.4MM.) 40 DIENTES</t>
  </si>
  <si>
    <t>DISCO DE SIERRA P/ MADERA (9-1/4" X 1") (235X25.4MM.) 60 DIENTES</t>
  </si>
  <si>
    <t>FRESA RECTA VAST.1/4" RECTA CANAL 1/ 2"-2F.CON RODAJE (ARRIBA).ALTURA FILO 1""</t>
  </si>
  <si>
    <t>DISCO DE SIERRA P/ MELAMINE Y MDF (7-1/4" X 1") (185X25.4MM.) 60DIENTES</t>
  </si>
  <si>
    <t>D-62371</t>
  </si>
  <si>
    <t>D-65274</t>
  </si>
  <si>
    <t>LIJA MULTIUSO 93X228MM #120 10PCS SET</t>
  </si>
  <si>
    <t>D-69026</t>
  </si>
  <si>
    <t>FRESA RECTA 2F VAS. 1/4" D 5/8" * L. UTIL 3/4" * L. TOTAL 2"</t>
  </si>
  <si>
    <t>FRESA RECTA VASTAGO 1/2" RECTA 2FILOS DIAMETRO  1/2" L.UTIL 2-1/2" L.TOTAL 4-1/2"</t>
  </si>
  <si>
    <t>BROCA FORSTNER BISAGRA CANGREJO TCT DIAMETRO 25MM</t>
  </si>
  <si>
    <t>BROCA FORSTNER BISAGRA CANGREJO TCT DIAMETRO 35MM</t>
  </si>
  <si>
    <t>D-72001-25</t>
  </si>
  <si>
    <t>SIERRA DE CALAR TIPO T PARA MADERA CORTE CURVO- RAPIDO FINO ACABADO LARGO 100MM (B-11)  9 TPI HCS 74MM UTIL (T101B) (5 PCS)</t>
  </si>
  <si>
    <t>D-73237</t>
  </si>
  <si>
    <t>D-73243</t>
  </si>
  <si>
    <t>D-73259</t>
  </si>
  <si>
    <t>D-73477</t>
  </si>
  <si>
    <t>DISCO CARBURARO SEGMENTADO PARA MADERA/DRYWALL/EPOXICO 76MM X 10MM PARA DCM300</t>
  </si>
  <si>
    <t>D-78651</t>
  </si>
  <si>
    <t>D-78667</t>
  </si>
  <si>
    <t>D-78673</t>
  </si>
  <si>
    <t>D-78689</t>
  </si>
  <si>
    <t>D-78695</t>
  </si>
  <si>
    <t>D-78710</t>
  </si>
  <si>
    <t>D-78726</t>
  </si>
  <si>
    <t>D-78732</t>
  </si>
  <si>
    <t>D-78748</t>
  </si>
  <si>
    <t>D-78754</t>
  </si>
  <si>
    <t>D-78835</t>
  </si>
  <si>
    <t>SET DE LIJAS VELCRO 93X185MM PARA LIJADORAS DE 1/3" ALOX- FIBRA GRANO 80 PAQUETE 10 UND</t>
  </si>
  <si>
    <t>D-78841</t>
  </si>
  <si>
    <t>SET DE LIJAS VELCRO 93X185MM PARA LIJADORAS DE 1/3" ALOX- FIBRA GRANO 120 PAQUETE 10 UND</t>
  </si>
  <si>
    <t>D-78857</t>
  </si>
  <si>
    <t>SET DE LIJAS VELCRO 93X185MM PARA LIJADORAS DE 1/3" ALOX- FIBRA GRANO 180 PAQUETE 10 UND</t>
  </si>
  <si>
    <t>D-78863</t>
  </si>
  <si>
    <t>SET DE LIJAS VELCRO 93X185MM PARA LIJADORAS DE 1/3" ALOX- FIBRA GRANO 240 PAQUETE 10 UND</t>
  </si>
  <si>
    <t>BROCA CORONA PARA ESMERIL USO EN PORCELANATO Y MARMOL 8MM</t>
  </si>
  <si>
    <t>BROCA CORONA PARA ESMERIL USO EN PORCELANATO Y MARMOL 10MM</t>
  </si>
  <si>
    <t>BROCA CORONA PARA ESMERIL USO EN PORCELANATO Y MARMOL 12MM</t>
  </si>
  <si>
    <t>DISCO DE CORTE PARA ACERO INOX DEPRIMIDO 115X3X22,23MM  4 1/2" A30S UNIDAD</t>
  </si>
  <si>
    <t>DISCO DE CORTE PARA ACERO INOX DEPRIMIDO 125X3X22,23MM  5" A30S UNIDAD</t>
  </si>
  <si>
    <t>DISCO DE CORTE PARA ACERO INOX DEPRIMIDO 180X3X22,23MM  7" A30S UNIDAD</t>
  </si>
  <si>
    <t>DISCO DE CORTE PARA ACERO INOX DEPRIMIDO 230X3X22,23MM  9" A30S UNIDAD</t>
  </si>
  <si>
    <t>PALETA MEZCLADORA PARA MATERIALES VISCOSOS (M14) REEMPLAZO DE CODIGO D-73514</t>
  </si>
  <si>
    <t>BROCA PARA METAL HSS-GS PACK DE 2 UND MEDIDA 1/16"</t>
  </si>
  <si>
    <t>BROCA PARA METAL HSS-GS PACK DE 2 UND MEDIDA 5/64"</t>
  </si>
  <si>
    <t>BROCA PARA METAL HSS-GS PACK DE 2 UND MEDIDA 3/32"</t>
  </si>
  <si>
    <t>BROCA PARA METAL HSS-GS PACK DE 2 UND MEDIDA 7/64"</t>
  </si>
  <si>
    <t>BROCA PARA METAL HSS-GS PACK DE 2 UND MEDIDA 1/8"</t>
  </si>
  <si>
    <t>BROCA PARA METAL HSS-GS PACK DE 2 UND MEDIDA 9/64"</t>
  </si>
  <si>
    <t>BROCA PARA METAL HSS-GS MEDIDA 5/32"</t>
  </si>
  <si>
    <t>BROCA PARA METAL HSS-GS MEDIDA 11/64"</t>
  </si>
  <si>
    <t>BROCA PARA METAL HSS-GS MEDIDA 3/16"</t>
  </si>
  <si>
    <t>BROCA PARA METAL HSS-GS MEDIDA 7/32"</t>
  </si>
  <si>
    <t>BROCA PARA METAL HSS-GS MEDIDA 1/4"</t>
  </si>
  <si>
    <t>BROCA PARA METAL HSS-GS MEDIDA 5/16"</t>
  </si>
  <si>
    <t>BROCA PARA METAL HSS-GS MEDIDA 3/8"</t>
  </si>
  <si>
    <t>BROCA PARA METAL HSS-GS MEDIDA 7/16"</t>
  </si>
  <si>
    <t>BROCA PARA METAL HSS-GS MEDIDA 1/16" PAQUETE DE 10 UNDS</t>
  </si>
  <si>
    <t>BROCA PARA METAL HSS-GS MEDIDA 3/32" PAQUETE DE 10 UNDS</t>
  </si>
  <si>
    <t>BROCA PARA METAL HSS-GS MEDIDA 1/8" PAQUETE DE 10 UNDS</t>
  </si>
  <si>
    <t>BROCA PARA METAL HSS-GS MEDIDA 5/32" PAQUETE DE 10 UNDS</t>
  </si>
  <si>
    <t>BROCA PARA METAL HSS-GS MEDIDA 3/16" PAQUETE DE 10 UNDS</t>
  </si>
  <si>
    <t>BROCA PARA METAL HSS-GS MEDIDA 1/4" PAQUETE DE 10 UNDS</t>
  </si>
  <si>
    <t>D-81262</t>
  </si>
  <si>
    <t>D-81474</t>
  </si>
  <si>
    <t>PRO PACK DISCO FLAP CONTIENE ALOX 125MM A40 X 8 PZS (D-63476), ZIRCONIO Z40 X 4 PZS (D-63781), ZIRCONIO Z80 X 3 PZS (D-63806) TOTAL 15 PZS</t>
  </si>
  <si>
    <t>D-82024</t>
  </si>
  <si>
    <t>PRO PACK DISCO FLAP CONTIENE ZIRCONIO 115MM Z40 X 10 PZS (D-63747), ZIRCONIO Z60 X 10 PZS (D-63753), ZIRCONIO Z80 X 10 PZS (D-63769) TOTAL 30 PZS</t>
  </si>
  <si>
    <t>PRO PACK DISCO FLAP CONTIENE ALOX 115MM A40 X 10 PZS (D-63432), ALOX A80 X 10 PZS (D-63454), ALOX A120 X 10 PZS (D-63460) TOTAL 30 PZS</t>
  </si>
  <si>
    <t>D-82270</t>
  </si>
  <si>
    <t>D-82286</t>
  </si>
  <si>
    <t>PISTOLA SOPLADORA LXT 18V / 0 - 1,1 MÂ³/MIN (SIN BATERIA/CARGADOR)</t>
  </si>
  <si>
    <t>DBN620Z</t>
  </si>
  <si>
    <t>DBN620Z-SAMPLE</t>
  </si>
  <si>
    <t>DCM001</t>
  </si>
  <si>
    <t>DISPOSITIVO DE PRUEBA DEL CONTROLADOR</t>
  </si>
  <si>
    <t>COOLER/CALENTADOR LXT-AC / 20L / FRÃO (-18Â° A 10Â°) / CALIENTE (55Â° A 60Â°) / IPX4 / SIN BATERÃAS</t>
  </si>
  <si>
    <t>DF003GZ</t>
  </si>
  <si>
    <t>DF003GZ-SAMPLE</t>
  </si>
  <si>
    <t>TALADRO ATORNILLADOR XGT 40 VMAX</t>
  </si>
  <si>
    <t>TALADRO ATORNILLADOR INAL. 3/8" 12V / 35-21 NM / BL - CXT / SIN BATERÃAS</t>
  </si>
  <si>
    <t>ATORNILLADOR ANGULAR  LXT 18V / 100 - 1 300 RPM / 0.5 - 2 NM / 3/8" / BL / SIN BATERIAS</t>
  </si>
  <si>
    <t>ATORNILLADOR ANGULAR  LXT 18V / 100 - 1 300 RPM / 1.5 - 6.5 NM / 3/8" / BL / SIN BATERIAS</t>
  </si>
  <si>
    <t>ATORNILLADOR DRYWALL 1/4" (AUTOALIMENTADOR) LXT 18V / LARGO 20-41MM / BL-PUSH DRIVE / SIN BATERÃAS</t>
  </si>
  <si>
    <t>ATORNILLADOR DRYWALL 1/4" (AUTOALIMENTADOR) LXT 18V / LARGO 25-55MM / BL-PUSH DRIVE / SIN BATERÃAS</t>
  </si>
  <si>
    <t>ATORNILLADOR DE PRECISION  LXT 18V / 260 - 1 600 RPM / 0.5 - 2.5 NM / REPROGRAMABLE +/- 10% / BL / SIN BATERIAS</t>
  </si>
  <si>
    <t>ATORNILLADOR DE PRECISION  LXT 18V / 100 - 1 300 RPM / 0.5 - 2.5 NM / REPROGRAMABLE +/- 10% / BL / SIN BATERIAS</t>
  </si>
  <si>
    <t>ATORNILLADOR DE PRECISION  LXT 18V / 100 - 1 300 RPM / 1.5 - 6.5 NM / REPROGRAMABLE +/- 10% / BL / SIN BATERIAS</t>
  </si>
  <si>
    <t>ESMERIL ANGULAR 4-1/2"  18V / VEL. VARIABLE / BL  XPT / HOMBRE MUERTO/ F.E. / SIN BATERÃAS</t>
  </si>
  <si>
    <t>TALADRO PERCUTOR 1/2" 18V / 2 VEL. / 62-36 NM / XPT-LXT /2 X 3.0AH</t>
  </si>
  <si>
    <t>KIT MAKITA XGT:TALADRO PERCUTOR INALAMBRICO 1/2" HP002GZ + ATORNILLADOR DE IMPACTO TD003GZ /2 BATERIAS -2.5AMPERIOS / CARGADOR / TOOLBAG</t>
  </si>
  <si>
    <t>SIERRA INGLETEADORA  6-1/2" 18V / 5000 RPM/ BL - ADT- LXT / SIN BATERÃAS</t>
  </si>
  <si>
    <t>SIERRA INGLETEADORA TELES. 7-1/2" /18V X 2 = 36V / CAP CORTE 52 X 300MM/ BL - LXT / 2 X 5.0AH</t>
  </si>
  <si>
    <t>SIERRA INGLETEADORA TELES. 7-1/2" /18V X 2 = 36V / CAP CORTE 52 X 300MM/ BL - LXT / SIN BATERÃAS</t>
  </si>
  <si>
    <t>DML819</t>
  </si>
  <si>
    <t>SIERRA DE BANDA 18V / 64 X 64 MM /LXT / SIN BATERÃAS</t>
  </si>
  <si>
    <t>CORTADORA DE VARILLAS ROSCADAS 18V / 20MM CORTE / SIN BATERÃAS</t>
  </si>
  <si>
    <t>DTC101ZK</t>
  </si>
  <si>
    <t>DTC104ZK</t>
  </si>
  <si>
    <t>DTD158Z-SAMPLE</t>
  </si>
  <si>
    <t>DTD201RTJ</t>
  </si>
  <si>
    <t>DTD201Z</t>
  </si>
  <si>
    <t>DTD201Z-SAMPLE</t>
  </si>
  <si>
    <t>DTL300Z</t>
  </si>
  <si>
    <t>DTM53Z</t>
  </si>
  <si>
    <t>DTM53Z-SAMPLE</t>
  </si>
  <si>
    <t>DUC258Z-SAMPLE</t>
  </si>
  <si>
    <t>DUM111ZX</t>
  </si>
  <si>
    <t>DUP181SF</t>
  </si>
  <si>
    <t>DUP181Z</t>
  </si>
  <si>
    <t>MEZCLADORA 18V / MANDRIL CON LLAVE / 2 VELOC. /BL - XPT / SIN BATERÃAS</t>
  </si>
  <si>
    <t>DETECTOR DE MATERIALES LXT 18V +MAKPAC / PROFUNDIDAD 7" (180MM) / XPT - IP54 / SIN BATERÃAS</t>
  </si>
  <si>
    <t>DX17</t>
  </si>
  <si>
    <t>E-07054</t>
  </si>
  <si>
    <t>29PCS BIT SET WITH CLEAR CASE</t>
  </si>
  <si>
    <t>E-08698</t>
  </si>
  <si>
    <t>E-13552</t>
  </si>
  <si>
    <t>SET DE PUNTAS IMPACT PREMIER TIPO LLAVERO 5 PIEZAS</t>
  </si>
  <si>
    <t>E-15774</t>
  </si>
  <si>
    <t>E-16586</t>
  </si>
  <si>
    <t>PORTA PUNTAS RIGIDO DE TORSIÃ“N IMPACT PREMIER 150MM.</t>
  </si>
  <si>
    <t>SIERRA DE CALAR TIPO T PARA MADERA (CORTE CURVO) ACABADO FINO LARGO 105MM (B37) HCS 9TPI 75MM. (5PCS)</t>
  </si>
  <si>
    <t>E-22333</t>
  </si>
  <si>
    <t>E-22349</t>
  </si>
  <si>
    <t>SET DE PUNTAS BATERIA XGT CASE AZUL MAKITA IMPACT BLACK  31 PIEZAS</t>
  </si>
  <si>
    <t>SET DE PUNTAS Y DADOS MAGNETICOS AZUL MAKITA LINEA IMPACT BLACK 36 PIEZAS</t>
  </si>
  <si>
    <t>PORTA PUNTA IMPACT BLACK 76MM ENCASTRE RAPIDO VASTAGO HEXAGONAL</t>
  </si>
  <si>
    <t>SET IMPACT BLACK JUEGO SURTIDO BITS PARA ATORNILLAR 100PCS</t>
  </si>
  <si>
    <t>SET DE BROCAS Y PUNTAS SURTIDO TIPO MAKPACK PARA APLICACIÓN EN CONCRETO, METAL, MADERA DE 70 PIEZAS</t>
  </si>
  <si>
    <t>E-24985</t>
  </si>
  <si>
    <t>E-25030</t>
  </si>
  <si>
    <t>CAJA MASTER PACK DE 12 UNID  DE PUNTAS BITS IMPACT BLACK TIPO BATERIA XGT 40V DE 21 PIEZAS</t>
  </si>
  <si>
    <t>SET DE PUNTAS BITS IMPACT PREMIER + DESARMADOR RACHET MAKITA SET DE 44 PIEZAS</t>
  </si>
  <si>
    <t>PRO PACK BROCA SDS PLUS TCT DOS CORTES MEDIDAS (5,6,8 X110) (6,8X160) CONTIENE EL BLISTER Y EL PACK CONTIENE 12</t>
  </si>
  <si>
    <t>PRO PACK BROCA DE VIDRIO MEDIDAS (4,5,6,6,8) CONTIENE EL BLISTER Y EL PACK CONTIENE 5X20</t>
  </si>
  <si>
    <t>PRO PACK BROCA MULTIMATERIAL OMNIBOHER MEDIDAS (4,5,6,8,10) CONTIENE EL BLISTER Y EL PACK CONTIENE 12</t>
  </si>
  <si>
    <t>PRO PACK BROCA MULTIMATERIAL OMNIBOHER ENCASTRE HEXAGONAL MEDIDAS (4,5,6,8,10) CONTIENE EL BLISTER Y EL PACK CONTIENE 12</t>
  </si>
  <si>
    <t>E-25769</t>
  </si>
  <si>
    <t>PLUNGE CUT SAW BLADE STARLOCK SHANK METAL TC-TIN   32X40MM 21T {TMA061} 1PCS</t>
  </si>
  <si>
    <t>E-25775</t>
  </si>
  <si>
    <t>PLUNGE CUT SAW BLADE STARLOCK MAX SHANK METAL TC-TIN   32X75MM 21T {MAM019} 1PCS</t>
  </si>
  <si>
    <t>E-26191</t>
  </si>
  <si>
    <t>RECIPRO SAW BLADE FOR RECIPRO SAW WITH CHAIN VICE 145MM</t>
  </si>
  <si>
    <t>E-26200</t>
  </si>
  <si>
    <t>RECIPRO SAW BLADE FOR RECIPRO SAW WITH CHAIN VICE 200MM</t>
  </si>
  <si>
    <t>E-26216</t>
  </si>
  <si>
    <t>RECIPRO SAW BLADE FOR RECIPRO SAW WITH CHAIN VICE 260MM</t>
  </si>
  <si>
    <t>E-26222</t>
  </si>
  <si>
    <t>RECIPRO SAW BLADE FOR RECIPRO SAW WITH CHAIN VICE CURVED SHAPE 145MM</t>
  </si>
  <si>
    <t>E-26272</t>
  </si>
  <si>
    <t>RECIPROSAW BLADE WOOD 225MM</t>
  </si>
  <si>
    <t>E-26288</t>
  </si>
  <si>
    <t>E-26294</t>
  </si>
  <si>
    <t>RECIPROSAW BLADE METAL 225MM</t>
  </si>
  <si>
    <t>E-26303</t>
  </si>
  <si>
    <t>E-26593</t>
  </si>
  <si>
    <t>E-26733</t>
  </si>
  <si>
    <t>E-26749</t>
  </si>
  <si>
    <t>E-26755</t>
  </si>
  <si>
    <t>E-26761</t>
  </si>
  <si>
    <t>E-26814</t>
  </si>
  <si>
    <t>E-26836</t>
  </si>
  <si>
    <t>E-27539</t>
  </si>
  <si>
    <t>WOOD SELF FEEDING BIT WITH 7/16INCH HEX SHANK 2FLUTE 25MM(1")</t>
  </si>
  <si>
    <t>E-27551</t>
  </si>
  <si>
    <t>WOOD SELF FEEDING BIT WITH 7/16INCH HEX SHANK 2FLUTE 32MM(1-1/4")</t>
  </si>
  <si>
    <t>E-27589</t>
  </si>
  <si>
    <t>WOOD SELF FEEDING BIT WITH 7/16INCH HEX SHANK 2FLUTE 45MM(1-3/4")</t>
  </si>
  <si>
    <t>E-27595</t>
  </si>
  <si>
    <t>WOOD SELF FEEDING BIT WITH 7/16INCH HEX SHANK 2FLUTE 51MM(2")</t>
  </si>
  <si>
    <t>E-27604</t>
  </si>
  <si>
    <t>WOOD SELF FEEDING BIT WITH 7/16INCH HEX SHANK 2FLUTE 54MM(2-1/8")</t>
  </si>
  <si>
    <t>EN425MP</t>
  </si>
  <si>
    <t>GROUND TRIMER ATT. C</t>
  </si>
  <si>
    <t>F-30913</t>
  </si>
  <si>
    <t>F-31140</t>
  </si>
  <si>
    <t>F-31182</t>
  </si>
  <si>
    <t>GA037GT201</t>
  </si>
  <si>
    <t>GA055GZ</t>
  </si>
  <si>
    <t>ESMERIL ANGULAR 4 1/2" 1100W. 2.4KG. SJSII ANTI RESTART</t>
  </si>
  <si>
    <t>GA7070X1</t>
  </si>
  <si>
    <t>ESMERIL ANGULAR 9" 2200W. 5.8KG.</t>
  </si>
  <si>
    <t>ESMERIL ANGULAR 9" 2200W. 5.5KG. / MANGO EN D</t>
  </si>
  <si>
    <t>GD001GZ</t>
  </si>
  <si>
    <t>HG001GZ</t>
  </si>
  <si>
    <t>TALADRO ATORNILLADOR PERCUTOR XGT 40 VMAX / 0 - 2 600 RPM / 30 - 64NM / BL-XPT / SIN BATERIAS</t>
  </si>
  <si>
    <t>HP003GU201</t>
  </si>
  <si>
    <t>HP003GZ</t>
  </si>
  <si>
    <t>HP003GZ-SAMPLE</t>
  </si>
  <si>
    <t>TALADRO PERCUTOR  3/8" 12V / 2 VEL. / 30 - 14 NM / 2 BAT 4.0AH</t>
  </si>
  <si>
    <t>HR011GM202</t>
  </si>
  <si>
    <t>HR011GZ</t>
  </si>
  <si>
    <t>28MM COMBINATION HAMMER</t>
  </si>
  <si>
    <t>HR011GZ-SAMPLE</t>
  </si>
  <si>
    <t>SIERRA CIRCULAR INALAMBRICA 12V VERSAPACK / 1400 RPM / CAPACIDAD DE CORTE 1" / MEDIDA 3 3/8" / SIN BATERIAS</t>
  </si>
  <si>
    <t>I99618</t>
  </si>
  <si>
    <t>BATTERY BL1830B</t>
  </si>
  <si>
    <t>CARRO TRANSPORTE PARA MARTILLO DEMOLEDOR HM004G PARA COLOCAR BATERIAS CARGADOR Y CINCELES</t>
  </si>
  <si>
    <t>JR003GZ</t>
  </si>
  <si>
    <t>JR003GZ-SAMPLE</t>
  </si>
  <si>
    <t>JR003G CORDLESS RECIPRO SAW</t>
  </si>
  <si>
    <t>SIERRA CALADORA INALAMBRICA 12V VERSAPACK / 18MM LARGO / SIN BATERIAS</t>
  </si>
  <si>
    <t>SIERRA CALADORA  12V / 23MM  CARRERA / CXT - BL /   SIN BATERÃAS</t>
  </si>
  <si>
    <t>LH001GZ-SAMPLE</t>
  </si>
  <si>
    <t>260MM TABLE MITER SAW</t>
  </si>
  <si>
    <t>TALADRO ROTACIÃ“N 1/4" 230W. 0-4500 RPM 0.95KG. MT</t>
  </si>
  <si>
    <t>ESMERIL ANGULAR 7" 2000W / MT BLUE</t>
  </si>
  <si>
    <t>ESMERIL ANGULAR 9" 2000W / MT BLUE</t>
  </si>
  <si>
    <t>ML013G</t>
  </si>
  <si>
    <t>PB003GZ</t>
  </si>
  <si>
    <t>PB003GZ-SAMPLE</t>
  </si>
  <si>
    <t>CEPILLO CONCRETO 5" 1400W. 10 000 RPM 4.0KG.</t>
  </si>
  <si>
    <t>PNTBL1</t>
  </si>
  <si>
    <t>PANEL COMPACTO DE PRUEBA DE MOTOR BL</t>
  </si>
  <si>
    <t>PTM-622</t>
  </si>
  <si>
    <t>PANEL DE PRUEBAS 6 FUNCIONES 220V</t>
  </si>
  <si>
    <t>RM350D</t>
  </si>
  <si>
    <t>SC00000214</t>
  </si>
  <si>
    <t>SC05340100</t>
  </si>
  <si>
    <t>SC05340160</t>
  </si>
  <si>
    <t>SC05352510</t>
  </si>
  <si>
    <t>T-04139</t>
  </si>
  <si>
    <t>GUANTES AVANZADOS DE CORTE FITKNIT™ NIVEL 7 RECUBIERTOS DE NITRILO /TALLA M</t>
  </si>
  <si>
    <t>T-04145</t>
  </si>
  <si>
    <t>GUANTES AVANZADOS DE CORTE FITKNIT™ NIVEL 7 RECUBIERTOS DE NITRILO /TALLA L/XL</t>
  </si>
  <si>
    <t>T-04276</t>
  </si>
  <si>
    <t>GUANTES AVANZADOS DE DEMOLICIÓN CLASIFICADOS DE IMPACTO ANSI 2 /TALLA M</t>
  </si>
  <si>
    <t>T-04282</t>
  </si>
  <si>
    <t>GUANTES AVANZADOS DE DEMOLICIÓN CLASIFICADOS DE IMPACTO ANSI 2 /TALLA L</t>
  </si>
  <si>
    <t>T-90009</t>
  </si>
  <si>
    <t>T-90009-SAMPLE</t>
  </si>
  <si>
    <t>CAJA DE HERRAMIENTAS RODANTE</t>
  </si>
  <si>
    <t>T-90015</t>
  </si>
  <si>
    <t>T-90015-SAMPLE</t>
  </si>
  <si>
    <t>CAJA DE HERRAMIENTAS GRANDE</t>
  </si>
  <si>
    <t>T-90021-SAMPLE</t>
  </si>
  <si>
    <t>CAJA DE HERRAMIENTAS EXTENSIBLE EXTRA GRANDE</t>
  </si>
  <si>
    <t>T-90037-SAMPLE</t>
  </si>
  <si>
    <t>CAJA DE HERRAMIENTAS MEDIANA</t>
  </si>
  <si>
    <t>T-90043-SAMPLE</t>
  </si>
  <si>
    <t>ORGANIZADOR MEDIANO PROFUNDO</t>
  </si>
  <si>
    <t>T-90059-SAMPLE</t>
  </si>
  <si>
    <t>ORGANIZADOR MEDIANO DE PERFIL BAJO</t>
  </si>
  <si>
    <t>T-90065-SAMPLE</t>
  </si>
  <si>
    <t>ORGANIZADOR COMPACTO PROFUNDO</t>
  </si>
  <si>
    <t>T-92025</t>
  </si>
  <si>
    <t>PANEL SEPARADOR MOLLE MAKTRAK™, 10"</t>
  </si>
  <si>
    <t>T-92031</t>
  </si>
  <si>
    <t>PANEL SEPARADOR MOLLE MAKTRAK™, 8"</t>
  </si>
  <si>
    <t>T-92134</t>
  </si>
  <si>
    <t>TRAY SET FOR MEDIUM TOOL BOX</t>
  </si>
  <si>
    <t>T-92178</t>
  </si>
  <si>
    <t>STANDARD LOW-PROFILE BIN SET, 4PK</t>
  </si>
  <si>
    <t>T-92184</t>
  </si>
  <si>
    <t>MEDIUM LOW-PROFILE BIN SET, 2PK</t>
  </si>
  <si>
    <t>T-92271</t>
  </si>
  <si>
    <t>UPPER BIN SET FOR DEEP STANDARD BINS, 4PC</t>
  </si>
  <si>
    <t>LLAVE DE IMPACTO 1/4" / 12V /  60 NM / 2 X 2.0 AH</t>
  </si>
  <si>
    <t>LLAVE DE IMPACTO 1/4" / 12V /  60 NM / 2 X 4.0 AH</t>
  </si>
  <si>
    <t>LLAVE DE IMPACTO 3/8" / 12V /  140 NM /  2 X 2.0AH + ACC"</t>
  </si>
  <si>
    <t>LLAVE DE IMPACTO 3/8" / 12V /  140 NM /  SIN BATERÃAS</t>
  </si>
  <si>
    <t>LLAVE DE IMPACTO 1/2" / 12VMAX / 145NM /  2 X 4.0AH</t>
  </si>
  <si>
    <t>LLAVE IMPACTO 1/2" 12V / 2 VEL. / CXT - BL / 165 NM / 2 X 2.0AH + MAKPAC"</t>
  </si>
  <si>
    <t>UB003GZ-SAMPLE</t>
  </si>
  <si>
    <t>UB005GZ-SAMPLE</t>
  </si>
  <si>
    <t>BLOWER VACUUME</t>
  </si>
  <si>
    <t>UC029GZ</t>
  </si>
  <si>
    <t>UC031GZ</t>
  </si>
  <si>
    <t>UC031GZ-SAMPLE</t>
  </si>
  <si>
    <t>UH023GZ-SAMPLE</t>
  </si>
  <si>
    <t>200MM HEDGE TRIMMER</t>
  </si>
  <si>
    <t>ACCESORIO PARA CRIMPADORA DTC301/302 MEDIDA  CABLE K6</t>
  </si>
  <si>
    <t>ACCESORIO PARA CRIMPADORA DTC301/302 MEDIDA  CABLE K8</t>
  </si>
  <si>
    <t>ACCESORIO PARA CRIMPADORA DTC301/302 MEDIDA  CABLE K10</t>
  </si>
  <si>
    <t>ACCESORIO PARA CRIMPADORA DTC301/302 MEDIDA  CABLE K12</t>
  </si>
  <si>
    <t>ACCESORIO PARA CRIMPADORA DTC301/302 MEDIDA  CABLE K14</t>
  </si>
  <si>
    <t>ACCESORIO PARA CRIMPADORA DTC301/302 MEDIDA  CABLE K16</t>
  </si>
  <si>
    <t>ACCESORIO PARA CRIMPADORA DTC301/302 MEDIDA  CABLE K18</t>
  </si>
  <si>
    <t>ACCESORIO PARA CRIMPADORA DTC301/302 MEDIDA  CABLE K20</t>
  </si>
  <si>
    <t>ACCESORIO PARA CRIMPADORA DTC301/302 MEDIDA  CABLE K22</t>
  </si>
  <si>
    <t>ACCESORIO PARA CRIMPADORA DTC301/302 MEDIDA  CABLE K25</t>
  </si>
  <si>
    <t>ACCESORIO PARA CRIMPADORA DTC301/302 MEDIDA  CABLE K28</t>
  </si>
  <si>
    <t>ACCESORIO PARA CRIMPADORA DTC301/302 MEDIDA  CABLE K32</t>
  </si>
  <si>
    <t>ACCESORIO PARA CRIMPADORA DTC301/302 MEDIDA  CABLE K34</t>
  </si>
  <si>
    <t>JUEGO DE ADAPTADORES ACCESORIO PARA PISTOLA DE ENGRASE (3 PIEZAS)</t>
  </si>
  <si>
    <t>ML013G-SAMPLE</t>
  </si>
  <si>
    <t>CORDLESS MAGNETIC LIGHT</t>
  </si>
  <si>
    <t>CO-DHP489RFJ-1225</t>
  </si>
  <si>
    <t>DHP489RFJ(x1)+ D-74887(x1)</t>
  </si>
  <si>
    <t>CO-DLX2283S-1225</t>
  </si>
  <si>
    <t>DLX2283S(x2)+ D-20719(x2)+ E-15768(x2)</t>
  </si>
  <si>
    <t>CO-DTW1001RTJ-1225</t>
  </si>
  <si>
    <t>DTW1001RTJ(x1)+ T-04282(x1)</t>
  </si>
  <si>
    <t>CO-DGA458RTJ-1225</t>
  </si>
  <si>
    <t>DGA458RTJ(x1)+ D-72001(x20)+ Z71296-1(x1)</t>
  </si>
  <si>
    <t>CO-DMP181Z-1225</t>
  </si>
  <si>
    <t>DMP181Z(x1)+ 632M83-6(x1)+ P0114(x1)+ 630718-5(x1)</t>
  </si>
  <si>
    <t>PR-DMR203-1225</t>
  </si>
  <si>
    <t>DMR203(x2)</t>
  </si>
  <si>
    <t>CO-DHR171Z-1225</t>
  </si>
  <si>
    <t>DHR171Z(x1)+ 632F15-1(x1)+ 630718-5(x1)</t>
  </si>
  <si>
    <t>CO-DHP490WVX-1225</t>
  </si>
  <si>
    <t>DHP490WVX(x1)+ D-20719(x1)</t>
  </si>
  <si>
    <t>CO-DLS211Z-1125</t>
  </si>
  <si>
    <t>DLS211Z(x1)+ 1915J2-8(x2)+ 196933-6(x1)</t>
  </si>
  <si>
    <t>CO-DSL801Z-1125</t>
  </si>
  <si>
    <t>DSL801Z(x1)+ 1915H4-0(x2)+ 630718-5(x1)</t>
  </si>
  <si>
    <t>CO-DTD173Z-1225</t>
  </si>
  <si>
    <t>DTD173Z(x1)+ 632G12-3(x1)+ 630D27-6(x1)</t>
  </si>
  <si>
    <t>CO-DRT50Z-1125</t>
  </si>
  <si>
    <t>DRT50Z(x1)+ DBO481Z(x1)+ 632U33-9(x2)+ 630D27-6(x1)</t>
  </si>
  <si>
    <t>CO-DGP180ZB-1025</t>
  </si>
  <si>
    <t>DGP180ZB(x1)+ DHG181ZK(x1)+ 630718-5(x1)+ 632G12-3(x2)</t>
  </si>
  <si>
    <t>CO-DHP458RFE-1025</t>
  </si>
  <si>
    <t>DHP458RFE(x1)+ DRT52Z(x1)</t>
  </si>
  <si>
    <t>CO-DML807-1225</t>
  </si>
  <si>
    <t>DML807(x1)+ 632G12-3(x1)+ 630718-5(x1)</t>
  </si>
  <si>
    <t>CO-DML812-1225</t>
  </si>
  <si>
    <t>DML812(x1)+ 632G12-3(x1)+ 630718-5(x1)</t>
  </si>
  <si>
    <t>CO-DML817-1225</t>
  </si>
  <si>
    <t>DML817(x1)+ DGA452RFE(x1)</t>
  </si>
  <si>
    <t>PR-DF001DW-1125</t>
  </si>
  <si>
    <t>DF001DW(x3)</t>
  </si>
  <si>
    <t>CO-DK0178G204-1125</t>
  </si>
  <si>
    <t>DK0178G204(x1)+ E-15768(x1)</t>
  </si>
  <si>
    <t>CO-DK0176G205-1125</t>
  </si>
  <si>
    <t>DK0176G205(x1)+ E-15768(x1)</t>
  </si>
  <si>
    <t>CO-TD001GM201-1125</t>
  </si>
  <si>
    <t>TD001GM201(x1)+ B-68323(x1)</t>
  </si>
  <si>
    <t>CO-CS002GZ-1225</t>
  </si>
  <si>
    <t>CS002GZ(x1)+ 632T21-0(x1)+ 630B63-0(x1)+ P0114(x1)</t>
  </si>
  <si>
    <t>CO-GA056GZ-1225</t>
  </si>
  <si>
    <t>GA056GZ(x1)+ 632T21-0(x1)+ 630B63-0(x1)+ P0114(x1)</t>
  </si>
  <si>
    <t>CO-BS001GZ-1225</t>
  </si>
  <si>
    <t>BS001GZ(x1)+ 632n72-7(x2)+ 630B63-0(x1)+ P0114(x1)</t>
  </si>
  <si>
    <t>CO-HR007GZ-1225</t>
  </si>
  <si>
    <t>HR007GZ(x1)+ 630B63-0(x1)+ 632N72-7(x2)+ D-00795(x1)</t>
  </si>
  <si>
    <t>CO-JR002GZ-1125</t>
  </si>
  <si>
    <t>JR002GZ(x1)+ 191U13-9(x1)+ D-80341(x2)+ D-80313(x2)</t>
  </si>
  <si>
    <t>CO-GD002GZ-1225</t>
  </si>
  <si>
    <t>GD002GZ(x1)+ 632N82-4(x1)+ 630B63-0(x1)+ P0114(x1)+ 741616-9(x2)+ 741617-7(x2)</t>
  </si>
  <si>
    <t>CO-TW005GZ-1225</t>
  </si>
  <si>
    <t>TW005GZ(x1)+ 632T21-0(x1)+ 630B63-0(x1)+ P0114(x1)+ A-96300(x2)</t>
  </si>
  <si>
    <t>CO-MP001GZ-1125</t>
  </si>
  <si>
    <t>MP001GZ(x1)+ 632N82-4(x2)+ 630B63-0(x1)</t>
  </si>
  <si>
    <t>CO-HP002GZ-1225</t>
  </si>
  <si>
    <t>HP002GZ(x1)+ GA028GM201(x1)+ B-02048(x3)+ D-20719(x1)</t>
  </si>
  <si>
    <t>CO-JR001GZ-1225</t>
  </si>
  <si>
    <t>JR001GZ(x1)+ 630B63-0(x1)+ 632N72-7(x1)+ D-80341(x2)</t>
  </si>
  <si>
    <t>CO-HS012GZ-1225</t>
  </si>
  <si>
    <t>HS012GZ(x1)+ 632N72-7(x1)+ 630B63-0(x1)</t>
  </si>
  <si>
    <t>CO-HR008GZ-1025</t>
  </si>
  <si>
    <t>HR008GZ(x1)+ 191U13-9(x1)+ E-25339(x1)+ LD050P(x1)</t>
  </si>
  <si>
    <t>PR-TW001GM201-HD</t>
  </si>
  <si>
    <t>TW001GM201(x1)</t>
  </si>
  <si>
    <t>CO-HP1630K-9-1225</t>
  </si>
  <si>
    <t>HP1630K(x9) + M9510B(x9) + P0114(x9) + B-68498(x9)</t>
  </si>
  <si>
    <t>CO-HP1630K-6-1225</t>
  </si>
  <si>
    <t>HP1630K(x6) + M9510B(x6) + P0114(x6) + B-68498(x6)</t>
  </si>
  <si>
    <t>CO-HP1630K-3-1225</t>
  </si>
  <si>
    <t>HP1630K(x3) + M9510B(x3) + P0114(x3) + B-68498(x3)</t>
  </si>
  <si>
    <t>CO-M9510B-9-1225</t>
  </si>
  <si>
    <t>M9510B(x1)+Z71296-1(x1)+ A-83593(x10)</t>
  </si>
  <si>
    <t>CO-GA9040S-1125</t>
  </si>
  <si>
    <t>GA9040S(x1) + B-12273(x10)</t>
  </si>
  <si>
    <t>CO-HM0870C-1225</t>
  </si>
  <si>
    <t>HM0870C(x1) + D-34198(x10)</t>
  </si>
  <si>
    <t>CO-HR2230-1225</t>
  </si>
  <si>
    <t>HR2230(x1) + E-14249(x1)+ Z71296-1(x1)</t>
  </si>
  <si>
    <t>CO-HR2810-1225</t>
  </si>
  <si>
    <t>HR2810(x1) + D-40674(x1)+ Z71296-1(x1)</t>
  </si>
  <si>
    <t>PR-LS1040-0225</t>
  </si>
  <si>
    <t>LS1040(x1) + D-03414(x1)</t>
  </si>
  <si>
    <t>CO-4350FCT-1025</t>
  </si>
  <si>
    <t>4350FCT(x1) + A-80400(x4)</t>
  </si>
  <si>
    <t>CO-GA7070-1225</t>
  </si>
  <si>
    <t>GA7070(x2) + GA7070(x1)</t>
  </si>
  <si>
    <t>CO-MTK0005B-1225</t>
  </si>
  <si>
    <t>MTK0005B(x2) + MTK0005B(x1)</t>
  </si>
  <si>
    <t>CO-M3700B-0925</t>
  </si>
  <si>
    <t>CO-GA7090-1125</t>
  </si>
  <si>
    <t>GA7090(x1) + A-85329(x20)</t>
  </si>
  <si>
    <t>CO-GA9090-1125</t>
  </si>
  <si>
    <t>GA9090(x1) + A-85335(x20)</t>
  </si>
  <si>
    <t>CO-M2401B-0825</t>
  </si>
  <si>
    <t>M2401B(x1) + E-10540-25(x1)</t>
  </si>
  <si>
    <t>CO-9564PCV-1225</t>
  </si>
  <si>
    <t>9564PCV(x2) + 9564PCV(x1)+ Z71296-1(x3)</t>
  </si>
  <si>
    <t>CO-M0801KB-1225</t>
  </si>
  <si>
    <t>M0801KB(x3) + M0801KB(x3)</t>
  </si>
  <si>
    <t>CO-HR2630J-1125</t>
  </si>
  <si>
    <t>HR2630J(x1) + D-19180(x1)</t>
  </si>
  <si>
    <t>CO-M3601B-1025</t>
  </si>
  <si>
    <t>M3601B(x2) + D-49002(x2)</t>
  </si>
  <si>
    <t>CO-GA5020-1225</t>
  </si>
  <si>
    <t>GA5020(x2) + P0114(x2)</t>
  </si>
  <si>
    <t>CO-HP2070F-1225</t>
  </si>
  <si>
    <t>HP2070F(x1) + D-30514(x1)</t>
  </si>
  <si>
    <t>CO-RT0700C-1125</t>
  </si>
  <si>
    <t>RT0700C(x1) + D-49769(x1)</t>
  </si>
  <si>
    <t>CO-GB801-3-0525</t>
  </si>
  <si>
    <t>GB801(x2) + GB801(x1)</t>
  </si>
  <si>
    <t>CO-M2300B-1125</t>
  </si>
  <si>
    <t>M2300B(x1) + D-62452(x1)</t>
  </si>
  <si>
    <t>CO-D-75552-300-1025</t>
  </si>
  <si>
    <t>D-75552(x200) + D-75552(x100)</t>
  </si>
  <si>
    <t>CO-D-75552-500-1025</t>
  </si>
  <si>
    <t>D-75552(x300) + D-75552(x200)</t>
  </si>
  <si>
    <t>CO-D-75552-800-1025</t>
  </si>
  <si>
    <t>D-75552(x500) + D-75552(x300)</t>
  </si>
  <si>
    <t>PR-D-78287-1025</t>
  </si>
  <si>
    <t>D-78287(x50)</t>
  </si>
  <si>
    <t>PR-D-51384-1025</t>
  </si>
  <si>
    <t>D-51384(x20)</t>
  </si>
  <si>
    <t>PR-D-80597-20-1025</t>
  </si>
  <si>
    <t>PR-D-80612-20-1025</t>
  </si>
  <si>
    <t>PR-D-53344-1025</t>
  </si>
  <si>
    <t>D-53344(x6)</t>
  </si>
  <si>
    <t>PR-D-24153-1025</t>
  </si>
  <si>
    <t>D-24153(x5)</t>
  </si>
  <si>
    <t>PR-D-24131-1025</t>
  </si>
  <si>
    <t>D-24131(x10)</t>
  </si>
  <si>
    <t>PR-D-70889-1025</t>
  </si>
  <si>
    <t>D-70889(x6)</t>
  </si>
  <si>
    <t>PR-E-10540-25-1025</t>
  </si>
  <si>
    <t>E-10540-25(x22)</t>
  </si>
  <si>
    <t>PR-A-87317-1025</t>
  </si>
  <si>
    <t>A-87317(x3)</t>
  </si>
  <si>
    <t>PR-E-13166-1025</t>
  </si>
  <si>
    <t>E-13166(x6)</t>
  </si>
  <si>
    <t>CO-B-23064-500-1225</t>
  </si>
  <si>
    <t>B-23064(x100) + B-23064(x50)</t>
  </si>
  <si>
    <t>CO-B-23064-500-1225.2</t>
  </si>
  <si>
    <t>B-23064(x50) + B-23064(x20)</t>
  </si>
  <si>
    <t>CO-B-23064-500-1225.3</t>
  </si>
  <si>
    <t>B-23064(x20) + B-23064(x10)</t>
  </si>
  <si>
    <t>CO-E-13172-500-1225</t>
  </si>
  <si>
    <t>E-13172(x20) + E-13172(x10)</t>
  </si>
  <si>
    <t>CO-E-13172-500-1225.2</t>
  </si>
  <si>
    <t>E-13172(x10) + E-13172(x5)</t>
  </si>
  <si>
    <t>DTW300TJX3-Q3-12</t>
  </si>
  <si>
    <t>DTW300TJX3(x1) +  DHW180Z01(x1)</t>
  </si>
  <si>
    <t>DHP458RFE-Q3-12</t>
  </si>
  <si>
    <t>DHP458RFE(x1) +  DHW180Z01(x1)</t>
  </si>
  <si>
    <t>GARDEN-V2026</t>
  </si>
  <si>
    <t>DLM330Z(x1) + DUR192LSF(x1)</t>
  </si>
  <si>
    <t>DLM480Z-5.0L</t>
  </si>
  <si>
    <t>DLM480Z(x1) + 632F15-1(x2) + 196933-6(x1)</t>
  </si>
  <si>
    <t>LM001JM101-LIQ3</t>
  </si>
  <si>
    <t>LM001JM101(x1)</t>
  </si>
  <si>
    <t>DLX2336SYX-BMQ3-12</t>
  </si>
  <si>
    <t>DLX2336SYX(x1) + DCL181FZW(x1)</t>
  </si>
  <si>
    <t>DLX2394J-BMQ3-12</t>
  </si>
  <si>
    <t>DLX2394J(x1) + DCL181FZW(x1)</t>
  </si>
  <si>
    <t>DCL181FZW-3.0E</t>
  </si>
  <si>
    <t>127828-2</t>
  </si>
  <si>
    <t>140G04-3</t>
  </si>
  <si>
    <t>MANGUERA ESTÁNDAR P/VC013-DVC750</t>
  </si>
  <si>
    <t>1412F5-6</t>
  </si>
  <si>
    <t>GUIDE BAR TIP</t>
  </si>
  <si>
    <t>144625-1</t>
  </si>
  <si>
    <t>FILTRO COMPLETO VC001/VC003</t>
  </si>
  <si>
    <t>1915G5-1</t>
  </si>
  <si>
    <t>RUEDAS P/ VC013G</t>
  </si>
  <si>
    <t>1915P4-6</t>
  </si>
  <si>
    <t>1915P6-2</t>
  </si>
  <si>
    <t>1915P8-8</t>
  </si>
  <si>
    <t>1915U4-1</t>
  </si>
  <si>
    <t>1915W5-3</t>
  </si>
  <si>
    <t>FILTRO EASYSHAKE / VC013</t>
  </si>
  <si>
    <t>1916C7-5</t>
  </si>
  <si>
    <t>CUTTER BLADE 230-2 SET</t>
  </si>
  <si>
    <t>1916C8-3</t>
  </si>
  <si>
    <t>CUTTER BLADE 305-2 SET</t>
  </si>
  <si>
    <t>1916D0-6</t>
  </si>
  <si>
    <t>CUTTER BLADE 255-3 SET</t>
  </si>
  <si>
    <t>1916J8-2</t>
  </si>
  <si>
    <t>1916U9-7</t>
  </si>
  <si>
    <t>1916V9-4</t>
  </si>
  <si>
    <t>SHEAR BLADE 200 SET</t>
  </si>
  <si>
    <t>1917D3-6</t>
  </si>
  <si>
    <t>BLADE 1800 SET</t>
  </si>
  <si>
    <t>1917D3-6-SAMPLE</t>
  </si>
  <si>
    <t>1917D4-4</t>
  </si>
  <si>
    <t>BLADE 1400 SET</t>
  </si>
  <si>
    <t>1917D4-4-SAMPLE</t>
  </si>
  <si>
    <t>1917D5-2</t>
  </si>
  <si>
    <t>BLADE 900 SET</t>
  </si>
  <si>
    <t>1917D5-2-SAMPLE</t>
  </si>
  <si>
    <t>1917F0-6</t>
  </si>
  <si>
    <t>STAND SET</t>
  </si>
  <si>
    <t>1917P9-8</t>
  </si>
  <si>
    <t>SET DE SOPORTE PARA TALADRO / VARIOS</t>
  </si>
  <si>
    <t>1917R0-0</t>
  </si>
  <si>
    <t>BATTERY HOLDER SET</t>
  </si>
  <si>
    <t>1917R2-6</t>
  </si>
  <si>
    <t>CUSHION BELT COMPLETE SET</t>
  </si>
  <si>
    <t>1918A3-1</t>
  </si>
  <si>
    <t>1918B8-8</t>
  </si>
  <si>
    <t>WIDE NOZZLE SET</t>
  </si>
  <si>
    <t>1918D0-8</t>
  </si>
  <si>
    <t>1918E9-7</t>
  </si>
  <si>
    <t>END NOZZLE 81 SET</t>
  </si>
  <si>
    <t>1918F1-0</t>
  </si>
  <si>
    <t>1918F2-8</t>
  </si>
  <si>
    <t>1918F4-4</t>
  </si>
  <si>
    <t>1918F6-0</t>
  </si>
  <si>
    <t>ANGLE ATTACHMENT P/ DDF491</t>
  </si>
  <si>
    <t>1918H6-4</t>
  </si>
  <si>
    <t>1918H7-2</t>
  </si>
  <si>
    <t>1918N9-0</t>
  </si>
  <si>
    <t>191C03-4</t>
  </si>
  <si>
    <t>ACCESSORY SET B FOR 4.8 / DRV250</t>
  </si>
  <si>
    <t>191W05-0</t>
  </si>
  <si>
    <t>191W06-8</t>
  </si>
  <si>
    <t>191X44-6</t>
  </si>
  <si>
    <t>198532-0</t>
  </si>
  <si>
    <t>F/C SWITCHING T-NOZZLE 28</t>
  </si>
  <si>
    <t>413770-6</t>
  </si>
  <si>
    <t>413809-5</t>
  </si>
  <si>
    <t>413M40-1</t>
  </si>
  <si>
    <t>413T67-3</t>
  </si>
  <si>
    <t>GUARDA DE ESPADA 6"</t>
  </si>
  <si>
    <t>632X04-4</t>
  </si>
  <si>
    <t>632X12-5</t>
  </si>
  <si>
    <t>632X21-4</t>
  </si>
  <si>
    <t>821950-4</t>
  </si>
  <si>
    <t>CAJA PLÁSTICA P/ PB003G</t>
  </si>
  <si>
    <t>B-57716</t>
  </si>
  <si>
    <t>DISCO 4-1/2 X 7/8 CORTE YESO, PVC, EPÓXICO</t>
  </si>
  <si>
    <t>B-90641</t>
  </si>
  <si>
    <t>BN003GZ</t>
  </si>
  <si>
    <t>BN003GZ-SAMPLE</t>
  </si>
  <si>
    <t>CORDLESS CONCRETE NAILER</t>
  </si>
  <si>
    <t>BS002GZ</t>
  </si>
  <si>
    <t>D-28058</t>
  </si>
  <si>
    <t>D-80927</t>
  </si>
  <si>
    <t>ABRASIVE BELT/ WOOD/ METAL, 40X760MM, ZIRCONIA, Z40, 5PCS</t>
  </si>
  <si>
    <t>D-80933</t>
  </si>
  <si>
    <t>ABRASIVE BELT/ WOOD/ METAL, 40X760MM, ZIRCONIA, Z60, 5PCS</t>
  </si>
  <si>
    <t>D-80949</t>
  </si>
  <si>
    <t>ABRASIVE BELT/ WOOD/ METAL, 40X760MM, ZIRCONIA, Z80, 5PCS</t>
  </si>
  <si>
    <t>D-80955</t>
  </si>
  <si>
    <t>ABRASIVE BELT/ WOOD/ METAL, 40X760MM, ZIRCONIA, Z120, 5PCS</t>
  </si>
  <si>
    <t>D-80983</t>
  </si>
  <si>
    <t>ABRASIVE BELT SURFACE CONDITIONING/ METAL, 40X760MM, MEDIUM, 3PCS</t>
  </si>
  <si>
    <t>D-81147</t>
  </si>
  <si>
    <t>D-81169</t>
  </si>
  <si>
    <t>D-81701</t>
  </si>
  <si>
    <t>D-81739</t>
  </si>
  <si>
    <t>D-82775</t>
  </si>
  <si>
    <t>D-82781</t>
  </si>
  <si>
    <t>D-82797</t>
  </si>
  <si>
    <t>DBN640ZK</t>
  </si>
  <si>
    <t>DBN640ZK-SAMPLE</t>
  </si>
  <si>
    <t>64MM CORDLESS CONNECTOR NAILER</t>
  </si>
  <si>
    <t>DC18SJ</t>
  </si>
  <si>
    <t>DDF491Z01-SAMPLE</t>
  </si>
  <si>
    <t>CORDLESS DRIVER DRILL</t>
  </si>
  <si>
    <t>DML819-SAMPLE</t>
  </si>
  <si>
    <t>DTD158RFJ</t>
  </si>
  <si>
    <t>DTD173RFJ</t>
  </si>
  <si>
    <t>DUC258Z</t>
  </si>
  <si>
    <t>E-01781</t>
  </si>
  <si>
    <t>NYLON 2.0 MM (4 HOJAS) 310 M P/URR016 - UR101C</t>
  </si>
  <si>
    <t>E-03741</t>
  </si>
  <si>
    <t>DISCO ABRAS CORTE METAL 14" X 3.0MM X 1" (A36T-BF)  (25 PCS)</t>
  </si>
  <si>
    <t>E-18057</t>
  </si>
  <si>
    <t>E-18079</t>
  </si>
  <si>
    <t>E-24991</t>
  </si>
  <si>
    <t>THIN CUT-OFF WHEEL/ STAINLESS/ DEPRESSED 115X1.0X22.23MM A60V 1PC</t>
  </si>
  <si>
    <t>E-25002</t>
  </si>
  <si>
    <t>THIN CUT-OFF WHEEL/ STAINLESS/ DEPRESSED 125X1.0X22.23MM A60V 1PC</t>
  </si>
  <si>
    <t>E-25018</t>
  </si>
  <si>
    <t>THIN CUT-OFF WHEEL/ STAINLESS/ DEPRESSED 180X1.6X22.23MM A60V 1PC</t>
  </si>
  <si>
    <t>E-27648</t>
  </si>
  <si>
    <t>BIM SHIO AUGER BIT</t>
  </si>
  <si>
    <t>E-27676</t>
  </si>
  <si>
    <t>E-29854</t>
  </si>
  <si>
    <t>MULTI TOOL BLADE STARLOCK SHANK ASSORTMENT (5PCS)</t>
  </si>
  <si>
    <t>EN425MP-SAMPLE</t>
  </si>
  <si>
    <t>LH001GZ</t>
  </si>
  <si>
    <t>ML014G-SAMPLE</t>
  </si>
  <si>
    <t>TOWER LIGHT XGT/LXT</t>
  </si>
  <si>
    <t>PSKGPE2J</t>
  </si>
  <si>
    <t>T-90021</t>
  </si>
  <si>
    <t>T-90037</t>
  </si>
  <si>
    <t>T-90043</t>
  </si>
  <si>
    <t>T-90059</t>
  </si>
  <si>
    <t>T-90065</t>
  </si>
  <si>
    <t>TD023DZ-SAMPLE</t>
  </si>
  <si>
    <t>PEN IMPACT DRIVER</t>
  </si>
  <si>
    <t>UB003GZ</t>
  </si>
  <si>
    <t>UB004GZ-SAMPLE</t>
  </si>
  <si>
    <t>UB005GZ</t>
  </si>
  <si>
    <t>UC033GZ</t>
  </si>
  <si>
    <t>UC033GZ-SAMPLE</t>
  </si>
  <si>
    <t>UG001GZ</t>
  </si>
  <si>
    <t>GROUND TRIMMER</t>
  </si>
  <si>
    <t>UG001GZ-SAMPLE</t>
  </si>
  <si>
    <t>UH023GZ</t>
  </si>
  <si>
    <t>VL001GZ</t>
  </si>
  <si>
    <t>CORDLESS SCREED</t>
  </si>
  <si>
    <t>VL001GZ-SAMPLE</t>
  </si>
  <si>
    <t>Z74156-0</t>
  </si>
  <si>
    <t>DISPLAY BATTERY BL4080H</t>
  </si>
  <si>
    <t>JUEGO DE PRENSAS PARA REGLA (SP6000-DSP600-DSP601)</t>
  </si>
  <si>
    <t>UB004GZ</t>
  </si>
  <si>
    <t>PE001GZ-SAMPLE</t>
  </si>
  <si>
    <t>CORDLESS SPOT EXTRACTOR</t>
  </si>
  <si>
    <t>1917T8-8</t>
  </si>
  <si>
    <t>HOSE COMPLETE 32-2.5 SET / PE001G</t>
  </si>
  <si>
    <t>1917U0-1</t>
  </si>
  <si>
    <t>NOZZLE ASSEMBLY SET / PE001G</t>
  </si>
  <si>
    <t>ESMERIL ANGULAR 5" 1050W. 11.00 RPM 2.8KG. MT/ INTERRUPTOR DE GATILLO</t>
  </si>
  <si>
    <t>D-82719</t>
  </si>
  <si>
    <t>NET SANDING FOR MULTI TOOL 5PCS 93MM GR A80</t>
  </si>
  <si>
    <t>D-82725</t>
  </si>
  <si>
    <t>NET SANDING FOR MULTI TOOL 5PCS 93MM GR A120</t>
  </si>
  <si>
    <t>D-82731</t>
  </si>
  <si>
    <t>NET SANDING FOR MULTI TOOL 5PCS 93MM GR A180</t>
  </si>
  <si>
    <t>D-82747</t>
  </si>
  <si>
    <t>NET SANDING FOR MULTI TOOL 5PCS 93MM GR A240</t>
  </si>
  <si>
    <t>D-82753</t>
  </si>
  <si>
    <t>NET SANDING FOR MULTI TOOL 5PCS 93MM GR A320</t>
  </si>
  <si>
    <t>D-82769</t>
  </si>
  <si>
    <t>PAD SAVER FOR MULTI TOOL 2PCS 93MM</t>
  </si>
  <si>
    <t>B-90657</t>
  </si>
  <si>
    <t>B-90663</t>
  </si>
  <si>
    <t>B-90679</t>
  </si>
  <si>
    <t>B-90685</t>
  </si>
  <si>
    <t>B-90691</t>
  </si>
  <si>
    <t>B-90700</t>
  </si>
  <si>
    <t>B-90722</t>
  </si>
  <si>
    <t>B-90738</t>
  </si>
  <si>
    <t>B-90794</t>
  </si>
  <si>
    <t>B-90803</t>
  </si>
  <si>
    <t>B-90819</t>
  </si>
  <si>
    <t>B-90825</t>
  </si>
  <si>
    <t>B-90853</t>
  </si>
  <si>
    <t>B-90869</t>
  </si>
  <si>
    <t>GA5100-SAMPLE</t>
  </si>
  <si>
    <t>125MM ANGLE GRINDER</t>
  </si>
  <si>
    <t>HB351</t>
  </si>
  <si>
    <t>HB501</t>
  </si>
  <si>
    <t>HB850</t>
  </si>
  <si>
    <t>D-82937</t>
  </si>
  <si>
    <t>CONE FILE BIT 1/4''HEX(MZ) SHANK FOR SAW CHAIN</t>
  </si>
  <si>
    <t>JM00000386</t>
  </si>
  <si>
    <t>SAW BLADE</t>
  </si>
  <si>
    <t>B-66949</t>
  </si>
  <si>
    <t>DIAMOND WHEEL FOR RESCUE 180MM VACUUM BRAZED /3.1MM X 22.23MM</t>
  </si>
  <si>
    <t>D-63834</t>
  </si>
  <si>
    <t>D-78134</t>
  </si>
  <si>
    <t>D-78140</t>
  </si>
  <si>
    <t>HSS-GS METAL DRILL BIT 10PCS</t>
  </si>
  <si>
    <t>D-78162</t>
  </si>
  <si>
    <t>D-78178</t>
  </si>
  <si>
    <t>D-78184</t>
  </si>
  <si>
    <t>D-78209</t>
  </si>
  <si>
    <t>D-78215</t>
  </si>
  <si>
    <t>HSS-GS METAL DRILL BIT 5PCS</t>
  </si>
  <si>
    <t>D-78221</t>
  </si>
  <si>
    <t>D-78243</t>
  </si>
  <si>
    <t>E-06694</t>
  </si>
  <si>
    <t>MULTI-PURPOSE TCT HOLESAW</t>
  </si>
  <si>
    <t>ML014G</t>
  </si>
  <si>
    <t>1918C3-5</t>
  </si>
  <si>
    <t>1918C6-9</t>
  </si>
  <si>
    <t>1918C8-5</t>
  </si>
  <si>
    <t>MAIN FILTER (HEPA) P/ VC016G</t>
  </si>
  <si>
    <t>E-29723</t>
  </si>
  <si>
    <t>E-29745</t>
  </si>
  <si>
    <t>MD00000001</t>
  </si>
  <si>
    <t>CAJA DE HERRAMIENTAS</t>
  </si>
  <si>
    <t>MD00000002</t>
  </si>
  <si>
    <t>CAJA DE HERRAMIENTAS DE TRANSPORTE</t>
  </si>
  <si>
    <t>TD023DSE</t>
  </si>
  <si>
    <t>DTW210Z-SAMPLE</t>
  </si>
  <si>
    <t>MD00000001-SAMPLE</t>
  </si>
  <si>
    <t>MD00000002-SAMPLE</t>
  </si>
  <si>
    <t>UC032GZ01-SAMPLE</t>
  </si>
  <si>
    <t>ARNÉS PARA HOMBRO</t>
  </si>
  <si>
    <t>D-58497</t>
  </si>
  <si>
    <t>FRESA RECTA 2F VAS. 1/4" D 1/2" * L. UTIL 1/4"</t>
  </si>
  <si>
    <t>BOQUILLA DE REDUCCION 9mm</t>
  </si>
  <si>
    <t>""BOQUILLA 1.3/4""x 3/16"" PVC"</t>
  </si>
  <si>
    <t>Boquilla Tipo T para Alfombra (Crema)</t>
  </si>
  <si>
    <t>Boquilla Tipo T Húmedo Marfil (38 mm)</t>
  </si>
  <si>
    <t>Bolsa Recolectora DVC350</t>
  </si>
  <si>
    <t>Boquilla cónica</t>
  </si>
  <si>
    <t>Long Nozzle Assembly</t>
  </si>
  <si>
    <t>Boquilla Tipo Guillotina - CA</t>
  </si>
  <si>
    <t>Boquilla Tipo T 220 mm Estándar Blanca (28 mm)</t>
  </si>
  <si>
    <t>Boquilla Tipo T 230 mm Negra (28 mm)</t>
  </si>
  <si>
    <t>Boquilla Tipo T Piso Estándar 280 mm (Mochila)</t>
  </si>
  <si>
    <t>Boquilla Tipo T Piso Estándar 280 mm (38 mm) (Mochila)</t>
  </si>
  <si>
    <t>Filtro HEPA - DVC260 - DVC261 - DVC256Z</t>
  </si>
  <si>
    <t>Boquilla Tipo T 230 mm Giratoria Blanca (28 mm)</t>
  </si>
  <si>
    <t>Boquilla Tipo T 230 mm Giratoria Negra (28 mm) (Nueva)</t>
  </si>
  <si>
    <t>Boquilla Hule 220 mm DVC350</t>
  </si>
  <si>
    <t>BOQUILLA DVC350 430mm</t>
  </si>
  <si>
    <t>DADO 14 x 52 x 12.7 mm P/ 6905H</t>
  </si>
  <si>
    <t>DADO 17 x 52 x 12.7 mm P/ 6905H</t>
  </si>
  <si>
    <t>DADO 19 x 52 x 12.7 mm P/ 6905H</t>
  </si>
  <si>
    <t>DADO 21 x 52 x 12.7 mm P/ 6905H</t>
  </si>
  <si>
    <t>DADO 22 x 52 x 12.7 mm P/ 6905H</t>
  </si>
  <si>
    <t>DADO 23 x 52 x 12.7 mm P/ 6905H</t>
  </si>
  <si>
    <t>DADO 24 x 52 x 12.7 mm P/ 6905H</t>
  </si>
  <si>
    <t>DADO 26 x 50 x 12.7 mm P/ 6905H</t>
  </si>
  <si>
    <t>DADO 27 x 50 x 12.7 mm P/ 6905H</t>
  </si>
  <si>
    <t>DADO 30 x 50 x 12.7 mm P/ 6905H</t>
  </si>
  <si>
    <t>DADO 32 x 50 x 12.7 mm P/ 6905H</t>
  </si>
  <si>
    <t>DADO 26 x 52 x 19 mm. P/ 6906</t>
  </si>
  <si>
    <t>DADO 27 x 52 x 19 mm. P/ 6906</t>
  </si>
  <si>
    <t>DADO 30 x 52 x 19 mm. P/ 6906</t>
  </si>
  <si>
    <t>""DADO DE IMPACTO TUBULAR  3/4"" x 30mm."</t>
  </si>
  <si>
    <t>DADO DE IMPACTO TUBULAR  32 X 95mm</t>
  </si>
  <si>
    <t>DADO 35 x 56 x 19 mm. P/ 6906</t>
  </si>
  <si>
    <t>DADO DE IMPACTO TUBULAR  35 X 95mm</t>
  </si>
  <si>
    <t>DADO 36 x 56 x 19 mm. P/ 6906</t>
  </si>
  <si>
    <t>DADO 35 x 80 x 25.4 mm P/ 6910.</t>
  </si>
  <si>
    <t>DADO 36 x 80 x 25.4 mm P/ 6910</t>
  </si>
  <si>
    <t>DADO 12 x 75 x 12.7 mm P/ 6905H</t>
  </si>
  <si>
    <t>ACCESORIO DE EXTENSION PARA LLAVE DE IMPACTO 200 mm. P/6910</t>
  </si>
  <si>
    <t>DADO 32 x 52 x 19 mm. P/ 6906</t>
  </si>
  <si>
    <t>DADO 41 x 80 x 25.4 mm P/ 6910.</t>
  </si>
  <si>
    <t>BARRA EXTENSORA PARA LLAVE DE IMPACTO 100 mm. P/6905H</t>
  </si>
  <si>
    <t>ENSAMBLE UNIVERSAL 84m P/ 6905H</t>
  </si>
  <si>
    <t>Depósito Capsula con clip (Azul Makita)</t>
  </si>
  <si>
    <t>Pre-Filtro DVC150L - DVC860L</t>
  </si>
  <si>
    <t>Boquilla para Tela/Asientos 120 mm Azul Makita (32 mm)</t>
  </si>
  <si>
    <t>Manguera de Succión 1 m (28 mm)</t>
  </si>
  <si>
    <t>Manguera de Succión 1.5 m (28 mm)</t>
  </si>
  <si>
    <t>Pre-Filtro EasyShake / DVC750 - VC013G</t>
  </si>
  <si>
    <t>PLANTILLA DE GUIA 9.5 mm. 3620</t>
  </si>
  <si>
    <t>PLANTILLA DE GUIA 20 mm. P/3620</t>
  </si>
  <si>
    <t>PLANTILLA DE GUIA 27 mm. P/3620</t>
  </si>
  <si>
    <t>ESPADA 300 mm. P/5012B</t>
  </si>
  <si>
    <t>PLANTILLA DE GUIA 13 mm. P/3620</t>
  </si>
  <si>
    <t>""ESPADA 16"" 1.1mm UC4020A/EA3203S40B"</t>
  </si>
  <si>
    <t>""ESPADA 10"" 3/8"" 1.1mm EY2650H25H"</t>
  </si>
  <si>
    <t>Arnés de Hombro - DUB184 - UB001G</t>
  </si>
  <si>
    <t>""ESPADA 9-7/8"" X 91VG X 3/5"" (250 mm) DCS230T"</t>
  </si>
  <si>
    <t>Cepillo 155 mm. 1140W. 8.2Kg.</t>
  </si>
  <si>
    <t>Cepillo 170 mm. 1200w. 9.0Kg.</t>
  </si>
  <si>
    <t>Tubo_Boquilla /DUB184</t>
  </si>
  <si>
    <t>Long Nozzle set</t>
  </si>
  <si>
    <t>Case Makpac Type 1 / Type 3</t>
  </si>
  <si>
    <t>MANGUERA PARA VIBRADOR DE CONCRETO P/INALAMBRICO 40V MAX  DIA 32mm LONG. 2.4 mts</t>
  </si>
  <si>
    <t>MANGUERA PARA VIBRADOR DE CONCRETO P/INALAMBRICO 40V MAX  DIA 38mm LONG. 1.4 mts</t>
  </si>
  <si>
    <t>Filtro EasyShake / CL003G</t>
  </si>
  <si>
    <t>Filtro HEPA / CL003G</t>
  </si>
  <si>
    <t>Accesorio Ciclónico Blanco 250 ml</t>
  </si>
  <si>
    <t>Accesorio Ciclónico Azul Makita 250 ml</t>
  </si>
  <si>
    <t>Accesorio Ciclónico Negro 250 ml</t>
  </si>
  <si>
    <t>MANGUERA PARA VIBRADOR DE CONCRETO P/INALAMBRICO 40V MAX  DIA 32mm LONG. 1.2 mts</t>
  </si>
  <si>
    <t>MANGUERA PARA VIBRADOR DE CONCRETO P/INALAMBRICO 40V MAX  DIA 32mm LONG. 1.7 mts</t>
  </si>
  <si>
    <t>Accesorio Angular para Podadoras de Altura - UA004G</t>
  </si>
  <si>
    <t>Tubo Adaptador 104 - 72 - UB002C</t>
  </si>
  <si>
    <t>Filtro de Agua - VC007G</t>
  </si>
  <si>
    <t>Manguera para Suministro de Agua (Con Acople Rápido) - DHW080 - HW001G</t>
  </si>
  <si>
    <t>Manguera de Succión con Filtro Delgado - DHW080 - HW001G</t>
  </si>
  <si>
    <t>Set 10 Bolsas de Poli-Vinilo 35L - VC007G</t>
  </si>
  <si>
    <t>Protector para Aspiradora de Mochila - DVC261 - DVC265Z</t>
  </si>
  <si>
    <t>Aceite de Cadena para Motosierra BIOTOP 1L</t>
  </si>
  <si>
    <t>Cadena 4" .325" 1.1 mm 80 TXL / DUC101</t>
  </si>
  <si>
    <t>Espada 4" .325" 1.1 mm 80 TXL / DUC101</t>
  </si>
  <si>
    <t>Conjunto de Tubo Telescópico (479-719 mm)</t>
  </si>
  <si>
    <t>Set 5 Bolsas 35L - VC007G</t>
  </si>
  <si>
    <t>Tolva Agua - Grano 250L - DCU605</t>
  </si>
  <si>
    <t>Pre-Filtro Esponja - VC007G</t>
  </si>
  <si>
    <t>Pre-Filtro - VC007G</t>
  </si>
  <si>
    <t>Filtro HEPA - VC007G</t>
  </si>
  <si>
    <t>Cuchillas Cortasetos 600 mm - DUH607Z</t>
  </si>
  <si>
    <t>Boquilla Articulada Pisos Duros 260 mm (28 mm)</t>
  </si>
  <si>
    <t>Boquilla para alfombras 260 mm (28 mm)</t>
  </si>
  <si>
    <t>Llanta Delantera - DCU603 - DCU604 - DCU605 Negra (330)</t>
  </si>
  <si>
    <t>Llanta Posterior - DCU603 - DCU604 - DCU605 Gris (210)</t>
  </si>
  <si>
    <t>Parante P/Aspiradoras Bastón CXT - LXT - XGT</t>
  </si>
  <si>
    <t>Cargador de dos puertos XGT® DC40WA 40Vmax</t>
  </si>
  <si>
    <t>Estuche de Cinturón para Sierra de Poda 4" DUC101</t>
  </si>
  <si>
    <t>Protector para Aspiradora de Mochila - VC008 - VC009G</t>
  </si>
  <si>
    <t>Protector de Nylon - UR016G</t>
  </si>
  <si>
    <t>Cabezal Nylon (Carga rápida) M10L (2.7 mm) / UR013 - UR012G</t>
  </si>
  <si>
    <t>Cadena 6" - 80TXL - .325" 1.1 mm / UC029G</t>
  </si>
  <si>
    <t>Espada 6" - .325" 1.1 mm / UC029G</t>
  </si>
  <si>
    <t>Cuchillas Cortasetos 250 mm - EN422MP</t>
  </si>
  <si>
    <t>Cuchillas Cortasetos 500 mm - EN402MP</t>
  </si>
  <si>
    <t>Tubo Telescópico Aluminio 606-958 mm / 38 mm DVC660 - VC011G</t>
  </si>
  <si>
    <t>Acople para Tubo Telescópico (38 mm) DVC660 - VC011G</t>
  </si>
  <si>
    <t>Cabezal Sopladora Thin UB402MP (6.2 m3/min)</t>
  </si>
  <si>
    <t>Cabezal Cortasetos Angular de Tierra C/Palanca EN422MP (250 mm)</t>
  </si>
  <si>
    <t>Cabezal Cortasetos Angular C/Palanca  (0-135°) EN402MP (500 mm)</t>
  </si>
  <si>
    <t>Cuchillas Cortasetos 330 mm - EN424MP</t>
  </si>
  <si>
    <t>Boquilla para Espuma (Shampoonera) - DHW080 - HW001G (Nuevo)</t>
  </si>
  <si>
    <t>Lanza con Boquilla Estándar (Azul) - DHW080 - HW001G</t>
  </si>
  <si>
    <t>CUCHILLAS (2 PCs) P/ JS1600</t>
  </si>
  <si>
    <t>Cabezal Cortasetos de Tierra C/Ruedas EN424MP (330 mm)</t>
  </si>
  <si>
    <t>Adapatadora VS001G para PDC1200 - 1500</t>
  </si>
  <si>
    <t>Bolsa de Polvo 47L - VS001G</t>
  </si>
  <si>
    <t>Cuchilla 17" 430 mm LM004G</t>
  </si>
  <si>
    <t>Estuche de Cinturón para Sierra de Poda 6" UC029G</t>
  </si>
  <si>
    <t>Cuchilla desmalezadora 220 mm (Cuchilla Estandar-WA400MP)</t>
  </si>
  <si>
    <t>Cuchilla desmalezadora 80 mm (WA400MP)</t>
  </si>
  <si>
    <t>Cuchilla cultivadora 170 mm (WA400MP)</t>
  </si>
  <si>
    <t>Cabezal para Deshierbe/Desmalezado WA400MP (220 mm)</t>
  </si>
  <si>
    <t>Tubo Flexible 450 mm (28 mm) Crema</t>
  </si>
  <si>
    <t>Acople Angular 5 posiciones (28 mm) / DVC660 - VC011</t>
  </si>
  <si>
    <t>Cuchillas Cortasetos 600 mm - UN001G</t>
  </si>
  <si>
    <t>Cadena 16" 3/8" 1.1 mm (M41) UC4041A/UC016/DUC407</t>
  </si>
  <si>
    <t>Cadena 14" - 3/8" - 1.3 mm (M43) - UC004</t>
  </si>
  <si>
    <t>Cuchillas Cortasetos 600 mm - DUH606Z</t>
  </si>
  <si>
    <t>Boquilla Plana Sopladora - UB004C</t>
  </si>
  <si>
    <t>MANGUERA PARA VIBRADOR ELECTRICO DE CONCRETO 3.5 mt.</t>
  </si>
  <si>
    <t>MANGUERA PARA VIBRADOR ELECTRICO DE CONCRETO 4.5 mt.</t>
  </si>
  <si>
    <t>Cabezal Nylon 98-M10L (2.4 mm- M8-M10) / UR006 / EM</t>
  </si>
  <si>
    <t>Cabezal Nylon 98-M10L (2.4 mm-M10) / DUR192 / UR002 / UR006 / UR016</t>
  </si>
  <si>
    <t>Cadena 8" - 80TXL - .325" 1.1 mm / DUA200</t>
  </si>
  <si>
    <t>Espada 8" - .325" 1.1 mm / DUA200</t>
  </si>
  <si>
    <t>Pad Holder 175 (Base) - PS001G</t>
  </si>
  <si>
    <t>Pad Pulidor de Cera 200 Blanco - PS001G</t>
  </si>
  <si>
    <t>Pad Pulidor de Cera 200 Rojo - PS001G</t>
  </si>
  <si>
    <t>Pad Limpiador de Cera 200 Azul - PS001G</t>
  </si>
  <si>
    <t>Pad Removedor de Cera 200 Marrón - PS001G</t>
  </si>
  <si>
    <t>Pad Removedor de Cera 200 Negro - PS001G</t>
  </si>
  <si>
    <t>Escobilla Limpieza Suave 190 - PS001G</t>
  </si>
  <si>
    <t>Escobilla Limpieza Media 190 - PS001G</t>
  </si>
  <si>
    <t>Escobilla Limpieza Dura 190 - PS001G</t>
  </si>
  <si>
    <t>Escobilla Limpieza Dura (Abrasiva) 190 - PS001G</t>
  </si>
  <si>
    <t>Filtro HEPA (No Ciclón) (Nuevo)</t>
  </si>
  <si>
    <t>Boquilla con Cepillo Tipo T Rotativa Mecánica (28 mm)</t>
  </si>
  <si>
    <t>Boquilla con Cepillo Tipo T Rotativa Mecánica (32 mm)</t>
  </si>
  <si>
    <t>Boquilla para Agua (Secado) - DUB184 - UB001G</t>
  </si>
  <si>
    <t>Bolsa para Cabezal - PS001GZ</t>
  </si>
  <si>
    <t>Cabezal Nylon 98-M10L (2.4 mm) / UR006 / EM40</t>
  </si>
  <si>
    <t>Cabezal Nylon 98-M10L (2.0 mm) / DUR192 / UR002 / UR006 / UR016</t>
  </si>
  <si>
    <t>Cargador 18V LXT basic - DCB18WA</t>
  </si>
  <si>
    <t>Manguera Completa 28 mm - 5 m / VC013G</t>
  </si>
  <si>
    <t>Bateria 18V LXT 9.0Ah - BL1890</t>
  </si>
  <si>
    <t>Bateria 18V LXT 12.0Ah - BL18120</t>
  </si>
  <si>
    <t>Flexible Hose 600mm P/CL004GZ</t>
  </si>
  <si>
    <t>Flexible Hose 1200mm P/CL004GZ</t>
  </si>
  <si>
    <t>Arnés Desbrozadora Profesional con Estabilizador - UR002 - UR012G</t>
  </si>
  <si>
    <t>Mango extensión para amarradora de varillas TR001G/DTR180Z/DTR181Z</t>
  </si>
  <si>
    <t>Filtro Alto Performance (EasyShake) CL004G - CL200F</t>
  </si>
  <si>
    <t>Set de Filtro HEPA / CL004G - CL200F</t>
  </si>
  <si>
    <t>Tubo Aspiración conexión / CL004G</t>
  </si>
  <si>
    <t>Cepillo Rotativo CL004G</t>
  </si>
  <si>
    <t>Boquilla T con Cepillo Rotativo CL004G</t>
  </si>
  <si>
    <t>Set de Filtro para Húmedo / DVC750 - VC013G</t>
  </si>
  <si>
    <t>DC18SJ &amp; ADP14 with PD-cable</t>
  </si>
  <si>
    <t>Espada 20" 95TXL 1.3 mm (0.325") - UC030G</t>
  </si>
  <si>
    <t>Cepillo Redondo Negro (38 mm)</t>
  </si>
  <si>
    <t>Cadena 20" 95TXL 1.3 mm (0.325") - UC030G</t>
  </si>
  <si>
    <t>Piñon de Cadena 8 Dientes .325" - UC030G</t>
  </si>
  <si>
    <t>Mango de Extensión 1100 mm - UP100 - DUP180 - DUP181Z</t>
  </si>
  <si>
    <t>MULTI-PURPOSE SET(Temp.)</t>
  </si>
  <si>
    <t>Piñon de Cadena 7 Dientes - .325" LP - DUC258 - UC031G</t>
  </si>
  <si>
    <t>Flexible Hose 1200mm P/ VARIOS</t>
  </si>
  <si>
    <t>Flexible Hose 600mm P/ VARIOS</t>
  </si>
  <si>
    <t>Batería XGT 40Vmax 8.0Ah -BL4080H</t>
  </si>
  <si>
    <t>Kit de Aspiración (Bolsa - Arnés - Boquillas) - UB003G</t>
  </si>
  <si>
    <t>POWER SOURCE KIT BL4050F*2+DC40RB*1+TYPE3 CPC【Class9】</t>
  </si>
  <si>
    <t>Boquilla Tipo Cepillo Recta Crema / 28 mm</t>
  </si>
  <si>
    <t>BATERIA XGT 40V MAX 5.0Ah - BL4050F</t>
  </si>
  <si>
    <t>PAPER DUST BAG (10pcs) P/ VC016G</t>
  </si>
  <si>
    <t>SWITHING NOZZLE 32mm P/ VC016G</t>
  </si>
  <si>
    <t>13mm DRILL CHUCK P/ DDF491</t>
  </si>
  <si>
    <t>HEX BIT HOLDER 6.35mm P/ DDF491</t>
  </si>
  <si>
    <t>HEX OFFSET BIT HOLDER 6.35mm P/ DDF491</t>
  </si>
  <si>
    <t>SAW CHAIN M01 3/16'' .043"(1.1mm)</t>
  </si>
  <si>
    <t>Set de Ruedas Estabilizadoras Delanteras - DCU180</t>
  </si>
  <si>
    <t>Set Batería 3.0Ah (BL1830B) + Cargador Rápido (DC18RC) LXT 18V</t>
  </si>
  <si>
    <t>Adaptador 2 x 18V</t>
  </si>
  <si>
    <t>Mochila + Adaptador 2x18V / Sin Baterías</t>
  </si>
  <si>
    <t>Juego de Boquillas para Canaletas - DUB184 - UB001G - DUB363ZV</t>
  </si>
  <si>
    <t>Cilindro de Grasa de 400g (14 oz.)</t>
  </si>
  <si>
    <t>Batería 40VMax XGT 4.0Ah -BL4040 - Caja cartón</t>
  </si>
  <si>
    <t>Batería 40VMax XGT 2.5Ah - BL4025 - Caja Cartón</t>
  </si>
  <si>
    <t>Protector de Corte 430 mm Kit - UR006G</t>
  </si>
  <si>
    <t>Base de Ddescarga Bugui - DCU603 - DCU604</t>
  </si>
  <si>
    <t>Accesorio Tipo Rejilla - DCU604</t>
  </si>
  <si>
    <t>Bugui 200L - DCU603-DCU604</t>
  </si>
  <si>
    <t>Adaptador de cargador XGT para baterías LXT</t>
  </si>
  <si>
    <t>Cuchillas Cortasetos 500 mm - DUN500WZ</t>
  </si>
  <si>
    <t>Tubo Adaptador - UB400 - UB401</t>
  </si>
  <si>
    <t>Bolsa de Polvo DVC660 (Papel) (10 unidades)</t>
  </si>
  <si>
    <t>Bolsa de Polvo 6L DVC660 (Tela)</t>
  </si>
  <si>
    <t>Mochila + Adaptador 2x18V  + 1x18V/ 4Bat 5.0Ah + C2</t>
  </si>
  <si>
    <t>Mochila + Adaptador 2x18V / 4Bat 5.0Ah + C2</t>
  </si>
  <si>
    <t>Bolsas de Polvo 5 L (10 un)</t>
  </si>
  <si>
    <t>Boquilla Larga Tipo Guillotina para Esquinas</t>
  </si>
  <si>
    <t>Boquilla Tipo Cepillo Redonda Blanca / 28 mm</t>
  </si>
  <si>
    <t>Accesorio Ciclónico con clip (Blanco/Azul Makita)</t>
  </si>
  <si>
    <t>Accesorio Ciclónico con clip (Negro/Azul Makita)</t>
  </si>
  <si>
    <t>Accesorio Ciclónico (Negro/Azul Makita)</t>
  </si>
  <si>
    <t>Tubo de Aspiración con clip 340 mm (28 mm) Blanco</t>
  </si>
  <si>
    <t>Tubo de Aspiración con clip 340 mm (28 mm) Negro</t>
  </si>
  <si>
    <t>Tubo de Aspiración recto 320 mm (28 mm) Blanco</t>
  </si>
  <si>
    <t>Tubo de Aspiración recto 320 mm (28 mm) Negro</t>
  </si>
  <si>
    <t>Cabezal Nylon (Carga rápida) M10L (2.4 mm) / UR006 - UR013 - UR012G</t>
  </si>
  <si>
    <t>Cabezal Nylon (Carga rápida) M08L (2.0 mm) / DUR192 - UR002 - UR006G</t>
  </si>
  <si>
    <t>Cargador 40V Max XGT - DC40RA Caja plástica</t>
  </si>
  <si>
    <t>Cargador rápido 40Vmáx XGT DC40RA</t>
  </si>
  <si>
    <t>Kit de Aspiración (Bolsa - Arnés - Boquillas) - DUB363ZV</t>
  </si>
  <si>
    <t>Eje de Extensión Multifuncional LE400MP</t>
  </si>
  <si>
    <t>Tubo Flexible para Bastón</t>
  </si>
  <si>
    <t>Filtro HEPA DVC560</t>
  </si>
  <si>
    <t>53 Dia 400ml Cartridge Barrel A Tube Only to suit DGP180 Grease Gun</t>
  </si>
  <si>
    <t>Cabezal Sopladora UB400MP (16.6 m3/min)</t>
  </si>
  <si>
    <t>Filtro HEPA - VC2510L - VC3210L</t>
  </si>
  <si>
    <t>SET DE EXTRACCIÓN DE POLVO DX10 (INC. TAPA DE SELLADO 5Pcs) (P/HR301F)</t>
  </si>
  <si>
    <t>Espada 10" 3/8" 1.1 mm 90 PX / DUC254</t>
  </si>
  <si>
    <t>Espada 16" 1.1 mm DUC400/UC016G</t>
  </si>
  <si>
    <t>Espada 12" - 91PX - 3/8"LP 1.3 mm - UA004 - EY403MP</t>
  </si>
  <si>
    <t>Espada 18" 3/8"LP 1.3 mm 91PX - UC4551</t>
  </si>
  <si>
    <t>Manguera de Succión reforzada (Malla) 5 m (28 mm)</t>
  </si>
  <si>
    <t>Nueva Boquilla Tipo T Plana (Piso/Alfombra)</t>
  </si>
  <si>
    <t>Nueva Boquilla Tipo T Plana 320 mm (Piso/Alfombra) (38 mm)</t>
  </si>
  <si>
    <t>Filtro Tela - DVC156L - DVC866L</t>
  </si>
  <si>
    <t>Juego de Tubo Telescópico para Limpieza (Plástico)</t>
  </si>
  <si>
    <t>Cadena 10" 3/8" 1.1 mm 90 PX / DUC254</t>
  </si>
  <si>
    <t>Cadena 12" - 3/8" LP - 90PX 1.1 mm / UA004</t>
  </si>
  <si>
    <t>Cadena 16"" 3/8" 1.1 mm DUC400/UC016G</t>
  </si>
  <si>
    <t>Cadena 12" - 91PX - 3/8"LP 1.3 mm - UA004 - EY403MP</t>
  </si>
  <si>
    <t>Cadena 14" - 91PX - 3/8"LP 1.3 mm - UC004</t>
  </si>
  <si>
    <t>Cadena 18" 3/8"LP 1.3 mm 91PX - UC4551</t>
  </si>
  <si>
    <t>""CADENA 10"" 3/8"" 1.1mm EY2650H25H"</t>
  </si>
  <si>
    <t>Adapter Pipe71 set</t>
  </si>
  <si>
    <t>Adaptador LXT 18V (x2) para Mochila PDC01/PDC1200</t>
  </si>
  <si>
    <t>Makpac 2 Baterías 40Vmax XGT 2.5Ah + Cargador</t>
  </si>
  <si>
    <t>Makpac 2 Baterías 40Vmax XGT 4.0Ah + Cargador</t>
  </si>
  <si>
    <t>Cargador para Batería de Mochila PDC1200 - DC4001</t>
  </si>
  <si>
    <t>Cargador 220V - CL114 - CL117F</t>
  </si>
  <si>
    <t>Tubo Adaptador para Boquilla 85 - 72 - UB001G</t>
  </si>
  <si>
    <t>Brush nozzle set</t>
  </si>
  <si>
    <t>Wiper nozzle set</t>
  </si>
  <si>
    <t>Filtro para Húmedo / DVC750 - VC013G</t>
  </si>
  <si>
    <t>Recogedor de Hojas Cortasetos 500 mm - DUN500WZ</t>
  </si>
  <si>
    <t>Water supply attachment</t>
  </si>
  <si>
    <t>Pistola Corta con Boquilla Variable - DHW080 - HW001G</t>
  </si>
  <si>
    <t>Cabezal Tijeras Rotativas (Grass/Maleza) EM407MP</t>
  </si>
  <si>
    <t>Cabezal Tijeras Rotativas (Grass/Maleza)</t>
  </si>
  <si>
    <t>Cuchillas Cortahierbas 110 mm - DUM111ZX</t>
  </si>
  <si>
    <t>Cuchillas Tipo Cortasetos 200 mm - DUM111ZX (Nuevo)</t>
  </si>
  <si>
    <t>Cabezal Debrozadora EM409MP (330 mm)</t>
  </si>
  <si>
    <t>Batería G-Battery 18V 2.0Ah - BL1820G</t>
  </si>
  <si>
    <t>Cinta Delimitadora Magnética DRC300</t>
  </si>
  <si>
    <t>Rodillo Principal Cerdas Suaves DRC300</t>
  </si>
  <si>
    <t>Rodillo Principal DRC300</t>
  </si>
  <si>
    <t>Protector Rodillo DRC300</t>
  </si>
  <si>
    <t>Escobillas Laterales Suaves DRC300</t>
  </si>
  <si>
    <t>Cabezal Sopladora UB401MP (16.4 m3/min)</t>
  </si>
  <si>
    <t>SET TUBO DE SUJECIÓN 400ml PARA PISTOLA CALAFATEADORA DCG180</t>
  </si>
  <si>
    <t>Boquilla de Salida 80 - UB001G</t>
  </si>
  <si>
    <t>Batería 64Vmax 4.0Ah - BL6440 (Caja cartón)</t>
  </si>
  <si>
    <t>Cuchillas Cortasetos 600 mm - DUH602 - UH008G</t>
  </si>
  <si>
    <t>Cuchillas Cortasetos 750 mm - UH009G</t>
  </si>
  <si>
    <t>Cabezal Sierra Pértiga (10") EY403MP</t>
  </si>
  <si>
    <t>Recogedor de Hojas Cortasetos 460 mm - DUN461WZ</t>
  </si>
  <si>
    <t>Espada 12" 80TXL 1.1 mm (0.325") P/UC021G</t>
  </si>
  <si>
    <t>Cadena 12" 80TXL 1.1 mm (0.325") P/UC021G</t>
  </si>
  <si>
    <t>Makpac 2 Baterías 5.0Ah (BL4050F) + Multicargador Rápido de 2 Puertos (DC40RB) XGT 40Vmax</t>
  </si>
  <si>
    <t>Boquilla Corte de Presión - DHW080 - HW001G</t>
  </si>
  <si>
    <t>Lanza con Boquilla Estándar - DHW080 - HW001G (Nuevo)</t>
  </si>
  <si>
    <t>Phillips bit×5pcs</t>
  </si>
  <si>
    <t>SET DE PUNTAS Ph PARA ACCESORIOS AUTOALIMENTADOR 5Pcs</t>
  </si>
  <si>
    <t>Pozidrive bit×5pcs</t>
  </si>
  <si>
    <t>SET DE PUNTAS Pz PARA ACCESORIOS AUTOALIMENTADOR 5Pcs</t>
  </si>
  <si>
    <t>Makpac 2 Baterías 2.5Ah (BL4025) + Cargador Estándar (DC40RC) XGT 40Vmax</t>
  </si>
  <si>
    <t>Amortiguador de Ruido (Damper)</t>
  </si>
  <si>
    <t>Filtro HEPA</t>
  </si>
  <si>
    <t>Cargador G-Battery 18V - DC18WB</t>
  </si>
  <si>
    <t>Filtro HEPA - VC008G - VC009G</t>
  </si>
  <si>
    <t>Bolsa de Polvo Tela 5 L DVC560Z / VC010G</t>
  </si>
  <si>
    <t>Makpac 2 Baterías XGT 40Vmax 8.0Ah + Cargador Doble Rápido</t>
  </si>
  <si>
    <t>Arnés - DUA301 - UA004G Arnés - DUA301 - UA004G</t>
  </si>
  <si>
    <t>Boquilla Angosta 380 mm (22 mm)</t>
  </si>
  <si>
    <t>Tubo Curvo Aluminio (38 mm)</t>
  </si>
  <si>
    <t>Tubo Recto Aluminio (38 mm)</t>
  </si>
  <si>
    <t>GUARDA PARA RECOLECCION DE POLVO (115 mm) P/ 9564CV (198416-2)</t>
  </si>
  <si>
    <t>Linterna De Mano Ml 120 Battery Torch  1,3 Amperios/12V/Sin Baterias</t>
  </si>
  <si>
    <t>BATERIA 24V (1.8 Ah) (BH2420) (NI-MH) - MAKSTAR</t>
  </si>
  <si>
    <t>BATERIA 24V (3.1 Ah) (BH2433) (NI-MH) - MAKSTAR</t>
  </si>
  <si>
    <t>GUARDA PARA RECOLECCION DE POLVO (115 mm) P/ GA4530</t>
  </si>
  <si>
    <t>Cargador de bateria Maktec 9.6V (Ni-Cd)</t>
  </si>
  <si>
    <t>GUARDA PARA RECOLECCION DE POLVO (230 mm) P/ GA9010-20-30-40S</t>
  </si>
  <si>
    <t>""MANDRIL de 1/2"" Ajuste Manual (P/SDS-PLUS) ESPECIAL PARA MODELOS CÓDIGO ""T"""</t>
  </si>
  <si>
    <t>SET DE CINTA DE GOMA PARA REGLA DE SIERRA 10m (PARTE SUPERIOR)</t>
  </si>
  <si>
    <t>SET DE CINTA DE GOMA PARA REGLA DE SIERRA 10m (PARTE INFERIOR)</t>
  </si>
  <si>
    <t>Bateria 18V LXT 1.3Ah - BL1815</t>
  </si>
  <si>
    <t>BATERIA 10.8 V (1.3 Ah) (BL1013) - Li-Ion (196338-0)</t>
  </si>
  <si>
    <t>Bolsa Recolectora Descartable (10 und) DCL184Z</t>
  </si>
  <si>
    <t>Cargador 12V Versapack DC10WA</t>
  </si>
  <si>
    <t>Cargador 18V LXT para auto  - DC18SE</t>
  </si>
  <si>
    <t>BATERIA 36V (2.6 Ah) (BL3626) Li-Ion</t>
  </si>
  <si>
    <t>Cuchillas Cortahierbas 150 mm - DUM111- DUM604Z</t>
  </si>
  <si>
    <t>Cuchilla 3 Puntas (255 mm) - UR006G</t>
  </si>
  <si>
    <t>Cuchilla 3 Puntas (305 mm) - UR012G</t>
  </si>
  <si>
    <t>BATERIA 36V (2.2 Ah) (BL3622A) Li-Ion</t>
  </si>
  <si>
    <t>Bolsa Plástica (10 und) VC1310 - VC003G - VC001G</t>
  </si>
  <si>
    <t>Manguera de Succión 3.5 m (28 mm)</t>
  </si>
  <si>
    <t>Manguera de Succión 2.5 m (38 mm)</t>
  </si>
  <si>
    <t>Manguera de Succión 5 m (38 mm)</t>
  </si>
  <si>
    <t>Manguera de Succión 5 m (28 mm)</t>
  </si>
  <si>
    <t>Manguera de Succión 2.5 m (28 mm)</t>
  </si>
  <si>
    <t>Filtro Alto Performance - VC1310L</t>
  </si>
  <si>
    <t>Set de Limpieza - VC1310L</t>
  </si>
  <si>
    <t>Set de Bolsa de Polvo Plásticas - VC2510L</t>
  </si>
  <si>
    <t>Filtro Alto Performance - VC1310L - VC2510L</t>
  </si>
  <si>
    <t>Cargador 18V G-Battery - DC18WA</t>
  </si>
  <si>
    <t>Set de Soporte Cable VC1310L - VC2510L - VC3210L</t>
  </si>
  <si>
    <t>Acople 28 / 38 - 44 mm</t>
  </si>
  <si>
    <t>Acople 24 / 38 mm</t>
  </si>
  <si>
    <t>Acople 22 / 25 mm</t>
  </si>
  <si>
    <t>Junta de Adaptador 28 / 32 mm</t>
  </si>
  <si>
    <t>Boquilla Tipo T Suelos duros 210 mm (32 mm)</t>
  </si>
  <si>
    <t>Boquilla Universal (Estándar) Seco / Húmedo 320 mm (38 mm)</t>
  </si>
  <si>
    <t>Amortiguador de Ruido (Damper) - VC3210L.</t>
  </si>
  <si>
    <t>Pre-Filtro - VC1310L</t>
  </si>
  <si>
    <t>Pre-Filtro - VC2510L</t>
  </si>
  <si>
    <t>Pre-Filtro (Agua) - VC1310L</t>
  </si>
  <si>
    <t>Pre-Filtro (Agua) - VC2510L</t>
  </si>
  <si>
    <t>Bolsa de Polvo (Tela) (5 Und)</t>
  </si>
  <si>
    <t>Bolsa Recolectora - VC3211H (5 Und)</t>
  </si>
  <si>
    <t>CARGADOR 18 V (3.0 Ah) (DC18RC).</t>
  </si>
  <si>
    <t>Pre-Filtro (Agua) - VC3210L</t>
  </si>
  <si>
    <t>Filtro Easyshake - VC3210L</t>
  </si>
  <si>
    <t>Cuchilla 2 Puntas (305 mm) - UR012G</t>
  </si>
  <si>
    <t>Cabezal Debrozadora M10 (420 mm) (Antiguo)</t>
  </si>
  <si>
    <t>Cabezal Cultivador KR400MP (160 mm)</t>
  </si>
  <si>
    <t>Cabezal Cultivador KR400MP (160 mm) (Antiguo)</t>
  </si>
  <si>
    <t>Cabezal Cosechador Café P/EX2650LH</t>
  </si>
  <si>
    <t>Cabezal Debrozadora EM401MP (300 mm)</t>
  </si>
  <si>
    <t>Eje de Extensión Multifuncional LE400MP (Antiguo)</t>
  </si>
  <si>
    <t>Arnes Profesional EM4351UH</t>
  </si>
  <si>
    <t>""SET DE BROCAS BARRENO 2 PCs (2-1/4"" 3-1/4"")  P/ PE4350H"</t>
  </si>
  <si>
    <t>""Cadena 16"" 3/8"" x 0.050 Para EA3201 EA3502"</t>
  </si>
  <si>
    <t>Filtro Alto Performance Clase H - VC3211H</t>
  </si>
  <si>
    <t>Filtro Alto Performance Clase M - VC3211M</t>
  </si>
  <si>
    <t>Amortiguador de Ruido (Damper) - VC3211H</t>
  </si>
  <si>
    <t>Batería Versapack 12Vmax 1.3Ah - BL1014 (Blister)</t>
  </si>
  <si>
    <t>Cabezal Cortasetos Angular  (0-135°) EN401MP (490 mm)</t>
  </si>
  <si>
    <t>MultiCargador 18V LXT Estandar 4 Puertos - DC18SF</t>
  </si>
  <si>
    <t>Cabezal Nylon 90-M8L (2.0 mm) / DUR192 / UR002 / UR006 / UR016 (Antiguo)</t>
  </si>
  <si>
    <t>Correa Sujeción Mochila - UB002C</t>
  </si>
  <si>
    <t>Cuchillas Bordeadora 8" - EE400MP</t>
  </si>
  <si>
    <t>Cabezal Bordeador EE400MP</t>
  </si>
  <si>
    <t>125mm DUST COLLECTING WHEEL GUARD</t>
  </si>
  <si>
    <t>MultiCargador 18V LXT rapido 2 Puertos- DC18RD</t>
  </si>
  <si>
    <t>MULTI CARGADOR RAPIDO DE 18V CON 2 PUERTOS - DC18RD (1.3-6Ah) P. (BL18)</t>
  </si>
  <si>
    <t>Cabezal Cosechador de Café EJ400MP</t>
  </si>
  <si>
    <t>Sistema aspiracion BHX2500</t>
  </si>
  <si>
    <t>Bateria 18V LXT 4.0Ah - BL1840B</t>
  </si>
  <si>
    <t>BATERÍA Li-Ion  LXT (BL1840B) 18V - 4.0 Ah</t>
  </si>
  <si>
    <t>Bateria 18V LXT 5.0Ah - BL1850B</t>
  </si>
  <si>
    <t>Cabezal Nylon 98-M10L (2.0 mm) / DUR192 / UR002 / UR006 / UR016 (Antiguo)</t>
  </si>
  <si>
    <t>BASE DE RESPALDO REDONDA DE 150mm P/LIJADORA (ENGANCHA Y ENLAZA) DURA</t>
  </si>
  <si>
    <t>BASE DE RESPALDO REDONDA DE 150mm P/LIJADORA (ENGANCHA Y ENLAZA) SUPER SUAVE</t>
  </si>
  <si>
    <t>Soporte - Parante de Manguera - VC2510 - VC3210</t>
  </si>
  <si>
    <t>Cargador 12vmax  CXTrapido  -  DC10SB</t>
  </si>
  <si>
    <t>Bateria 12Vmax CXT 1.5Ah - BL1015</t>
  </si>
  <si>
    <t>Bateria 12Vmax CXT 2.0Ah - BL1021B</t>
  </si>
  <si>
    <t>Bateria 12Vmax CXT 4.0Ah -  BL1041B</t>
  </si>
  <si>
    <t>Bateria 12Vmax CXT 4.0Ah - BL1041B</t>
  </si>
  <si>
    <t>Bateria 18V LXT 6.0Ah -  BL1860B</t>
  </si>
  <si>
    <t>Bateria 18V LXT 6.0Ah - BL1860B.</t>
  </si>
  <si>
    <t>Grasa para Cuchilla de Cortasetos (Pote Blanco)</t>
  </si>
  <si>
    <t>Nylon 2.0 mm (Redondo) 15 m - DUR192 - UR002 - UR006</t>
  </si>
  <si>
    <t>Bateria 18V LXT 3.0Ah - BL1830B</t>
  </si>
  <si>
    <t>Makpac 4 Baterias 5.0Ah 18V LXT (BL1850B) + cargador doble rapido</t>
  </si>
  <si>
    <t>Makpac 2 Baterias 5.0Ah 18V LXT (BL1850B) + cargador doble rapido</t>
  </si>
  <si>
    <t>Makpac 2 Baterias 2.0Ah  12Vmax CXT (BL1021B) + Cargador rapido</t>
  </si>
  <si>
    <t>Bateria 14.4V  6.0Ah - BL1460B</t>
  </si>
  <si>
    <t>Cabezal Cortasetos Recto EN410MP (490 mm)</t>
  </si>
  <si>
    <t>Cuchillas Cortasetos 490 mm - EN401 - EN410MP</t>
  </si>
  <si>
    <t>Lanza con Boquilla Variable - DHW080 - HW001G</t>
  </si>
  <si>
    <t>Lanza con Boquilla Rotativa - DHW080 - HW001G</t>
  </si>
  <si>
    <t>Cepillo Recto de Lavado - DHW080 - HW001G</t>
  </si>
  <si>
    <t>Cepillo Rotativo de Lavado - DHW080 - HW001G</t>
  </si>
  <si>
    <t>Manguera de Limpieza 10m (Para Tuberías) - DHW080 - HW001G</t>
  </si>
  <si>
    <t>Manguera de Limpieza 15m (Para Tuberías) - DHW080 - HW001G</t>
  </si>
  <si>
    <t>Pistola para Aplicación - DHW080 - HW001G</t>
  </si>
  <si>
    <t>Manguera de Alta Presión 5m (Extensión) - DHW080 - HW001G</t>
  </si>
  <si>
    <t>Manguera de Alta Presión 8m (Extensión) - DHW080 - HW001G</t>
  </si>
  <si>
    <t>Manguera de Alta Presión 10m (Extensión) - DHW080 - HW001G</t>
  </si>
  <si>
    <t>Adaptador de Accesorios - DHW080 - HW001G</t>
  </si>
  <si>
    <t>Lanza Alta Presión (Eje Curvo) - DHW080 - HW001G</t>
  </si>
  <si>
    <t>Cepillo Fino de Lavado - DHW080 - HW001G</t>
  </si>
  <si>
    <t>Junta Anti-Torsión - DHW080 - HW001G</t>
  </si>
  <si>
    <t>Set de Tubos de Extensión - DHW080 - HW001G</t>
  </si>
  <si>
    <t>Manguera de Succión con Filtro - DHW080 - HW001G</t>
  </si>
  <si>
    <t>Lanza con Boquilla Estándar - DHW080 - HW001G</t>
  </si>
  <si>
    <t>Pin para Limpieza - DHW080 - HW001G</t>
  </si>
  <si>
    <t>Conector con Filtro (Translúcido) - DHW080 - HW001G</t>
  </si>
  <si>
    <t>Acople rápido (Color Naranja) - DHW080 - HW001G</t>
  </si>
  <si>
    <t>Boquilla para Espuma (Shampoonera) - DHW080 - HW001G</t>
  </si>
  <si>
    <t>Tubo Extensión - DUB184 - UB001G - UB002C - DUB363ZV</t>
  </si>
  <si>
    <t>Boquilla Plana (Cola de Pato) - DUB184 - UB001G - DUB363ZV</t>
  </si>
  <si>
    <t>Bolsa Recolectora 2L (Easyshake) DVC261 - VC008G</t>
  </si>
  <si>
    <t>Boquilla Hule Estándar</t>
  </si>
  <si>
    <t>Bolsa Recolectora 2L (Tela) DVC261 - VC008G - CA</t>
  </si>
  <si>
    <t>Makpac 2 Baterias 3.0Ah 18V LXT (BL1830B) + cargador simple rapido</t>
  </si>
  <si>
    <t>Makpac 3 Baterias 3.0Ah 18V LXT (BL1830B) + Adap. 36v + Cargador simple rapido</t>
  </si>
  <si>
    <t>Cabezal Cortasetos Angular de Tierra EN420MP (250 mm)</t>
  </si>
  <si>
    <t>Makpac 2 Baterias 6.0Ah 18V LXT (BL1860B) + cargador doble rapido</t>
  </si>
  <si>
    <t>Makpac 1 Bateria 6.0Ah 18V LXT (BL1860B) + cargador simple rapido</t>
  </si>
  <si>
    <t>Makpac 2 Baterias 6.0Ah 18V LXT (BL1860B) + cargador simple rápido</t>
  </si>
  <si>
    <t>Makpac 4 Baterias 6.0Ah 18V LXT (BL1860B) + cargador simple rapido</t>
  </si>
  <si>
    <t>Boquilla Tipo T para Alfombras 300 mm (Switch) (28 mm)</t>
  </si>
  <si>
    <t>Boquilla Tipo T Plana (Piso/Alfombra) 320 mm (38 mm)</t>
  </si>
  <si>
    <t>Bateria 18V  G-Battery 1.5Ah - BL1815G</t>
  </si>
  <si>
    <t>Cuchillas Cortasetos 250 mm - EN420MP</t>
  </si>
  <si>
    <t>Rejilla Difusora Angular - PM001G</t>
  </si>
  <si>
    <t>Cabezal Debrozadora M8 (410 mm) (Curvo)</t>
  </si>
  <si>
    <t>Guarda de corte para recolección de polvo p/esmeril 230mm</t>
  </si>
  <si>
    <t>Cabezal Cuchillas Plásticas 255 mm / DUR192 / UR002 / UR006 / UR016</t>
  </si>
  <si>
    <t>Juego cuchiillas plástico</t>
  </si>
  <si>
    <t>Cuchillas Tipo Cortasetos 200 mm - DUM111ZX</t>
  </si>
  <si>
    <t>GUARDA PARA RECOLECCION DE POLVO (115 mm) P/ 9564CV</t>
  </si>
  <si>
    <t>Juego cuchillas plástico</t>
  </si>
  <si>
    <t>Cargador  2 en 1 (12 y 18V) CXT - LXT - DC18RE</t>
  </si>
  <si>
    <t>Accesorio Tipo Bugui (Tolva) / DCU180</t>
  </si>
  <si>
    <t>Manillar Largo /UH201D</t>
  </si>
  <si>
    <t>Boquilla Tipo Cepillo Recta Azul Makita / 28 mm</t>
  </si>
  <si>
    <t>Boquilla Tipo Cepillo Recta Negra / 28 mm</t>
  </si>
  <si>
    <t>Boquilla Tipo Cepillo Redonda Marfil / 28 mm</t>
  </si>
  <si>
    <t>Boquilla Tipo Cepillo Redonda Azul Makita / 28 mm</t>
  </si>
  <si>
    <t>Boquilla Tipo Cepillo Redonda Negra / 28 mm</t>
  </si>
  <si>
    <t>Tubo Telescópico Plástico 500-800 mm (28 mm) - DVC260</t>
  </si>
  <si>
    <t>Bolsa Recolectora Tela - DCL184Z</t>
  </si>
  <si>
    <t>Bolsa Recolectora Tela 500 ml - DCL184Z</t>
  </si>
  <si>
    <t>Bolsa Recolectora EasyShake - DCL184Z</t>
  </si>
  <si>
    <t>Pre-Filtro Aspiradoras Bastón Cápsula</t>
  </si>
  <si>
    <t>Cabezal Debrozadora  EM403MP (430 mm)</t>
  </si>
  <si>
    <t>Cabezal Debrozadora  EM403MP (430 mm) (Antiguo)</t>
  </si>
  <si>
    <t>Boquilla Tipo Cepillo Recta Blanca / 28 mm</t>
  </si>
  <si>
    <t>Boquilla Tipo Cepillo Redonda Blanca / 28 mm (Antiguo)</t>
  </si>
  <si>
    <t>Cabezal Nylon 95-M10L - 1.25 LH (2.0 mm) / DUR192 / UR002 / UR006 / UR016</t>
  </si>
  <si>
    <t>Boquilla Larga 330 mm Guillotina (28 mm)</t>
  </si>
  <si>
    <t>""Bump &amp; Feed 4"" M8x1.25RH 2.0mm"</t>
  </si>
  <si>
    <t>Boquilla para Tela/Asientos Blanca (28 mm)</t>
  </si>
  <si>
    <t>Boquilla para Tela/Asientos 180 mm Azul Makita (28 mm)</t>
  </si>
  <si>
    <t>Piñon de Cadena 6 Dientes 3/8" LP</t>
  </si>
  <si>
    <t>Accesorio Tipo Rejilla / DCU180</t>
  </si>
  <si>
    <t>Chip receiver assembly set one touch insta/remo</t>
  </si>
  <si>
    <t>Cabezal Cultivador KR401MP (220 mm)</t>
  </si>
  <si>
    <t>Cabezal Barredora Tipo Cepillo BR400MP (600 mm)</t>
  </si>
  <si>
    <t>Cabezal Barredora Tipo Paletas SW400MP (590 mm)</t>
  </si>
  <si>
    <t>Hose 38mm 1.5m</t>
  </si>
  <si>
    <t>Boquilla Larga para orificios 415 mm</t>
  </si>
  <si>
    <t>Grasa para Cuchilla de Cortasetos</t>
  </si>
  <si>
    <t>Boquilla Tipo T Piso Estándar 280 mm (Mochila) - CA</t>
  </si>
  <si>
    <t>Boquilla Tipo T Piso Estándar Negra 280 mm (38 mm)</t>
  </si>
  <si>
    <t>Accesorio Ciclónico (Blanco/Azul Makita)</t>
  </si>
  <si>
    <t>Set Pre Filtro y Filtro Amortiguador (Damper) / DVC750 - VC013G</t>
  </si>
  <si>
    <t>Protector de Corte 225 mm (Disco) - UR012G</t>
  </si>
  <si>
    <t>Protector de Corte (Cuchilla) - UR012G</t>
  </si>
  <si>
    <t>Cabezal Sierra Pertiga P/EX2650LH</t>
  </si>
  <si>
    <t>Cabezal Sierra Pértiga (10") EY403MP (Antiguo)</t>
  </si>
  <si>
    <t>Soporte de Aspiradora para Pared (No Ciclón)</t>
  </si>
  <si>
    <t>Filtro HEPA (No Ciclón)</t>
  </si>
  <si>
    <t>Cepillo De Banco 12" 1650W. 28.1Kg.</t>
  </si>
  <si>
    <t>Sierra De Banda Portátil 710W. Corte Max. 4.3/4" 6.0Kg</t>
  </si>
  <si>
    <t>""TRONZADORA 355 mm (14"") 2000 W + 5 DISCOS"</t>
  </si>
  <si>
    <t>Sierra De Banco 10" 1650W. 4800 Rpm 34.9 Kg.</t>
  </si>
  <si>
    <t>Sierra De Banco C/Ruedas 12.3/8" 2000W. 3 400 Rpm 52.9 Kg</t>
  </si>
  <si>
    <t>ADAPTADOR DE GUIA DE PLANTILLA 30mm.</t>
  </si>
  <si>
    <t>Tuerca de Apriete Cuchilla - EE400MP</t>
  </si>
  <si>
    <t>Tuerca Receptora Cuchilla - EE400MP</t>
  </si>
  <si>
    <t>GUIA DE PLANTILLA 14.5mm. P/ 3620</t>
  </si>
  <si>
    <t>Fresadora 1/4" 530W. 30.000 Rpm. 1.5Kg.</t>
  </si>
  <si>
    <t>""CORTADORA 110 mm (4-3/8"") 1400 W"</t>
  </si>
  <si>
    <t>Cortadora De Marmol Base Rodante 4.3/8" 1400W. 12 200 Rpm 6.6Kg. Corte 45°-48°</t>
  </si>
  <si>
    <t>Cortadora De Marmol 4.3/8" 1400W. 12 000 Rpm 3.0Kg. Corte 45</t>
  </si>
  <si>
    <t>""Sierra Cortadora Marmol 4-3/8"" / 1200W"</t>
  </si>
  <si>
    <t>Boquilla Angosta 380 mm (38 mm)</t>
  </si>
  <si>
    <t>""Cortadora de Concreto 7.1/8"" 1400w. 5 000 RPM 6.6Kg."</t>
  </si>
  <si>
    <t>""Cortadora de Concreto 12"" 2400w. 5 000 RPM 11.4Kg. SJS"</t>
  </si>
  <si>
    <t>Cortadora (14") 2400W 3500Rpm</t>
  </si>
  <si>
    <t>MANGUERA DE VINILO 5x7x5000 mm P/4140</t>
  </si>
  <si>
    <t>Cortadora Circular De Metal 7.1/4" 3 500 Rpm 1 100W. 5.1Kg</t>
  </si>
  <si>
    <t>Filtro Mesh (Plástico) / CL004G</t>
  </si>
  <si>
    <t>Boquilla Tipo Guillotina Blanca (28 mm) (Nuevo)</t>
  </si>
  <si>
    <t>Boquilla Tipo Guillotina Negra (28 mm)</t>
  </si>
  <si>
    <t>Guarda de Espada 4"</t>
  </si>
  <si>
    <t>Boquilla Tipo Guillotina Marfil (28 mm)</t>
  </si>
  <si>
    <t>Boquilla Tipo Guillotina Hule 330 mm (35 mm)</t>
  </si>
  <si>
    <t>Filtro Amortiguador de Ruido (Damper) - DVC750L - VC013G</t>
  </si>
  <si>
    <t>Filtro Esponja - CL003G - DCL286F</t>
  </si>
  <si>
    <t>Sierra Caladora 450W / 18mm carrera / 500-3 100 CPM / Base Aluminio</t>
  </si>
  <si>
    <t>Sierra Caladora 720W. 800-2 800 Cpm 2.6Kg. Maletin</t>
  </si>
  <si>
    <t>""Fresadora de Aluminio 1/4"" 530w. 30000 RPM 16Kg."</t>
  </si>
  <si>
    <t>""ESPADA 18"" 3/8"" 1.3mm EA4301F45B"</t>
  </si>
  <si>
    <t>Pre-Filtro Tela Aspiradoras Bastón Cápsula</t>
  </si>
  <si>
    <t>""Espada 24"" 32/8 1.5mm EA6100P60E"</t>
  </si>
  <si>
    <t>""ESPADA 28"" 3/8"" 1.5mm DCS7301 (DOLMAR 415070455)"</t>
  </si>
  <si>
    <t>""ESPADA 33"" 0.404"" 1.6mm DCS9010"</t>
  </si>
  <si>
    <t>Pre-Filtro Aspiradoras Bastón Cápsula - CA</t>
  </si>
  <si>
    <t>Boquilla Tipo Guillotina Blanca (28 mm)</t>
  </si>
  <si>
    <t>Tubo de Aspiración recto 465 mm (28 mm) Blanco</t>
  </si>
  <si>
    <t>Boquilla Tipo Guillotina Negra (28 mm) - CA</t>
  </si>
  <si>
    <t>Tubo de Aspiración con clip 479 mm (28 mm) Negro</t>
  </si>
  <si>
    <t>Boquilla Tipo T para Alfombras de piso Azul Makita 120 mm (28 mm)</t>
  </si>
  <si>
    <t>Tubo de Aspiración con clip 430 mm (28 mm) Blanco</t>
  </si>
  <si>
    <t>Sierra circular 7.1/4" 1800W 5800 RPM Cap corte 2-1/2"" Guarda y zapata de aleacion</t>
  </si>
  <si>
    <t>Sierra Circular 7.1/4" 1800W 5800 Rpm Cap Corte 2-1/2"</t>
  </si>
  <si>
    <t>""ROLLO CADENA 3/8"" 1.3 mm EA4301F45B"</t>
  </si>
  <si>
    <t>""Cadena 18"" 0.325"""</t>
  </si>
  <si>
    <t>""CADENA 33"" 0.404"" 1.6 mm DCS9010"</t>
  </si>
  <si>
    <t>""CADENA 18"" P/ DCS520 - DCS5200i - DCS6800"</t>
  </si>
  <si>
    <t>""CADENA 21"" P/ DCS5200i - DCS6800i"</t>
  </si>
  <si>
    <t>""Cadena 24"" 3/8"" 1.5mm EA6100P60E"</t>
  </si>
  <si>
    <t>CADENA 28"" 3/8"" 1.5mm DCS7301</t>
  </si>
  <si>
    <t>""CADENA 29"" x 3/8"" P/ DCS9010"</t>
  </si>
  <si>
    <t>""ROLLO CADENA 3/8"" 1.5 mm DCS7301"</t>
  </si>
  <si>
    <t>CADENA 3/8"" 16"" 1.1mm UC4020A/E3203S40B</t>
  </si>
  <si>
    <t>""CADENA18"" 3/8"" 1.3mm EA4301F45B"</t>
  </si>
  <si>
    <t>""Taladro de Rotacion 5/8"" 480W. 700 RPM 4.1Kg."</t>
  </si>
  <si>
    <t>Cargador 18V LXT Estandar  - DC18SD</t>
  </si>
  <si>
    <t>Cargador 18V LXT rapido  - DC18RC</t>
  </si>
  <si>
    <t>Cargador  12Vmax  CXT estandar - DC10WD</t>
  </si>
  <si>
    <t>Cargador 12vmax  CXTrapido  - DC10SB</t>
  </si>
  <si>
    <t>Cargador DC40RA</t>
  </si>
  <si>
    <t>Cargador Eco LXT 18V - DC18WC</t>
  </si>
  <si>
    <t>Bateria 18V LXT 1.5Ah - BL1815N</t>
  </si>
  <si>
    <t>Bateria 12Vmax Versapack 1.3Ah - BL1014</t>
  </si>
  <si>
    <t>Bateria 18V LXT 6.0Ah - BL1860B</t>
  </si>
  <si>
    <t>Bateria 18V LXT 3.0Ah -  BL1830B</t>
  </si>
  <si>
    <t>Batería XGT 40Vmax 2.5Ah - BL4025</t>
  </si>
  <si>
    <t>Batería XGT 40Vmax 8.0Ah -BL4080F</t>
  </si>
  <si>
    <t>""Taladro de Rotacion 3/8"" 530W. 0-2 500 RPM 1.4Kg."</t>
  </si>
  <si>
    <t>Taladro De Rotacion 3/8" 450W. 0-3400 Rpm 1.3Kg. Ajuste Rapido"</t>
  </si>
  <si>
    <t>Llave De Impacto 12.7 mm (1/2") (Torque: 294 N.M) 470 W"</t>
  </si>
  <si>
    <t>Llave De Impacto 3/4" 850W. 1700 Rpm 5.6Kg. 588Nm.</t>
  </si>
  <si>
    <t>""DEGOLLADORA M16 (5/8"")  M20 (3/4"")  M22 (7/8"") (TORQUE: 803 N.m) - 1330 W"</t>
  </si>
  <si>
    <t>""Degolladora M22 (7/8"")  M24 (1"")  SHTB22 1050w. 7.5Kg. 1.100Nm."</t>
  </si>
  <si>
    <t>RUEDA ABRASIVA PARA ESMERIL RECTO (GRANO 24P) 125x19x12.7 mm.</t>
  </si>
  <si>
    <t>RUEDA ABRASIVA PARA ESMERIL RECTO (GRANO 36P) 125x19x12.7 mm.</t>
  </si>
  <si>
    <t>FRESA ABRASIVA  (N°4) 19 mm.</t>
  </si>
  <si>
    <t>FRESA ABRASIVA  (N°1) 19 mm.</t>
  </si>
  <si>
    <t>RESPALDO DE GOMA 170 mm. (743085-0)</t>
  </si>
  <si>
    <t>RESPALDO DE GOMA 170 mm. P/9227C</t>
  </si>
  <si>
    <t>""LLAVE P/Mandril de 5/8"" (763011-3)"</t>
  </si>
  <si>
    <t>LLAVE P/Mandril de 1/2"</t>
  </si>
  <si>
    <t>BOQUILLA CONO 6m P/ 3700B-3606-440</t>
  </si>
  <si>
    <t>BOQUILLA CONO 1/4 mm. P/ 3606-4402</t>
  </si>
  <si>
    <t>G-PINZA CONICA 8 mm. P/3620</t>
  </si>
  <si>
    <t>PINZA SUGECION 6mm.PARA (GD0600) (GD0601) RECTIFICADORA</t>
  </si>
  <si>
    <t>BOQUILLA CONO 12mm  P/ 3612-3612BR</t>
  </si>
  <si>
    <t>PINZA 13MMmm. 3612-3612BR</t>
  </si>
  <si>
    <t>PINZA 6 mm P/ GD0800C-GD0810C</t>
  </si>
  <si>
    <t>PINZA RECTA 6 mm P/3612C-3612BR</t>
  </si>
  <si>
    <t>PINZA RECTA 8 mm P/3612-3612BR</t>
  </si>
  <si>
    <t>DADO INTERIOR 82mm.M16 {6922NB/DWT310} DEGOLLADORA</t>
  </si>
  <si>
    <t>""DADO EXTERIOR 3/4"" (M20) X 37mm P/ 6922NB"</t>
  </si>
  <si>
    <t>DADO INTERIOR 100mm.M16 {6922NB/DWT310} DEGOLLADORA</t>
  </si>
  <si>
    <t>DADO EXTERIOR 100mm.M20 {6922NB/DWT310} DEGOLLADORA</t>
  </si>
  <si>
    <t>DADO EXTERIOR 100mm.M22 {6922NB/DWT310} DEGOLLADORA</t>
  </si>
  <si>
    <t>DADO INTERIOR 36mm.M16 (6922NB/DWT310) DEGOLLADORA</t>
  </si>
  <si>
    <t>""DADO INTERIOR 3/4"" x 35 P/6922NB"</t>
  </si>
  <si>
    <t>DADO INTERIOR 35mm.M16 (6922NB/DWT310) DEGOLLADORA</t>
  </si>
  <si>
    <t>LLAVE HEXAGONAL 4mm P/HM0810</t>
  </si>
  <si>
    <t>LLAVE HEXAGONAL 5mm P/BCS550</t>
  </si>
  <si>
    <t>PUNTA PARA ATORNILLAR PHILIPS 2 x 45 mm.</t>
  </si>
  <si>
    <t>PUNTA PARA ATORNILLAR PHILIPS 2 x 110 mm.</t>
  </si>
  <si>
    <t>PUNTA PARA ATORNILLAR PHILLIPS 3 x 65 mm.</t>
  </si>
  <si>
    <t>PUNTA PARA ATORNILLAR PHILLIPS 2 x 250 mm.</t>
  </si>
  <si>
    <t>PUNTA PARA ATORNILLAR PHILLIPS 2 x 45 mm.</t>
  </si>
  <si>
    <t>PUNTA PARA ATORNILLAR PHILLIPS 2 x 65 mm.</t>
  </si>
  <si>
    <t>""DADO 5/16"" x 55 mm. P/ 6701B"</t>
  </si>
  <si>
    <t>""DADO 3/8"" x 55 mm. P/6701B"</t>
  </si>
  <si>
    <t>DADO (M8) 13 x 55 mm.</t>
  </si>
  <si>
    <t>DADO (M8) 14 x 55 mm.</t>
  </si>
  <si>
    <t>DADO 17 x 65 mm.</t>
  </si>
  <si>
    <t>ADAPTADOR NO MAGNÉTICO 6.35 x 76 mm. P/ 6823N</t>
  </si>
  <si>
    <t>ADAPTADOR MAGNETICO 6.35 x 76 mm.</t>
  </si>
  <si>
    <t>""DADO 5/16"" x 65 mm."</t>
  </si>
  <si>
    <t>""DADO 5/16"" x 55 mm."</t>
  </si>
  <si>
    <t>""DADO 3/8"" x  55 mm."</t>
  </si>
  <si>
    <t>ADAPTADOR MAGNÉTICO 6.35X60 mm. P/ 6821 - 6826</t>
  </si>
  <si>
    <t>BROCA 18 x 380 mm.</t>
  </si>
  <si>
    <t>CADENA 115 mm. P/UC120D</t>
  </si>
  <si>
    <t>DISCO DE SIERRA DE COMBINACION 180 mm.</t>
  </si>
  <si>
    <t>CINCEL T. SIERRA COMBINADA 415 mm.</t>
  </si>
  <si>
    <t>DISCO DIAMANTADO 180 mm. P/4107RSP</t>
  </si>
  <si>
    <t>CUCHILLAS DE CORTE (2 PCs)  P/JS3200</t>
  </si>
  <si>
    <t>DISCO DIAMANTADO (CONCAVO) 110 mm. P/ PC1100</t>
  </si>
  <si>
    <t>SIERRA DE CALAR PARA MADERA (B-16L) 150 mm.  (6 DIENTES)</t>
  </si>
  <si>
    <t>CUCHILLO PLANO 306 mm. (2 PCs) P/2012NB</t>
  </si>
  <si>
    <t>DISCO ABRASIVO (GRANO #24) 115 mm. P/9503bh</t>
  </si>
  <si>
    <t>""BANDA DE LIJA (GR 40) 3 x 21"""</t>
  </si>
  <si>
    <t>""BANDA DE LIJA (GR 60) 3 x 21"""</t>
  </si>
  <si>
    <t>""BANDA DE LIJA (GR 120) 3 x 21"""</t>
  </si>
  <si>
    <t>""BANDA DE LIJA (GR 150) 3 x 21"""</t>
  </si>
  <si>
    <t>""BANDA DE LIJA (GR. 40) 4 x 24"""</t>
  </si>
  <si>
    <t>""BANDA DE LIJA (GR. 60) 4 x 24"""</t>
  </si>
  <si>
    <t>""BANDA DE LIJA (GR 80) 4 x 24"""</t>
  </si>
  <si>
    <t>""BANDA DE LIJA (GR. 100) 4 x 24"""</t>
  </si>
  <si>
    <t>LIJA DE BANDA (WA 120) (5 PCs) 100 x 610 mm</t>
  </si>
  <si>
    <t>LIJA DE BANDA (WA 150) (5 PCs) 100 x 610 mm</t>
  </si>
  <si>
    <t>""BANDA DE LIJA (GR 240) 4 x 24"""</t>
  </si>
  <si>
    <t>PAPEL LIJA (GR 60) 93 x 228 mm. P/9035-3</t>
  </si>
  <si>
    <t>PAPEL LIJA (GR 100) 93 x 228 mm.</t>
  </si>
  <si>
    <t>PAPEL LIJA (GR 150) 93 x 228 mm.</t>
  </si>
  <si>
    <t>BONETE LANA 180 mm. P/ 9227C</t>
  </si>
  <si>
    <t>PAPEL LIJA (GR 150) 114 x 100 mm. P/BO4510</t>
  </si>
  <si>
    <t>BANDA DE LIJA (GR 180) 100 x 610 mm.</t>
  </si>
  <si>
    <t>BANDA DE LIJA (GR 40) 76 x 610 mm.</t>
  </si>
  <si>
    <t>BANDA DE LIJA (GR 60) 76 x 610 mm.</t>
  </si>
  <si>
    <t>BANDA DE LIJA (GR 80) 76 x 610 mm.</t>
  </si>
  <si>
    <t>BANDA DE LIJA (GR 240) 76 x 610 mm.</t>
  </si>
  <si>
    <t>PAPEL LIJA (GR 80) 114 x 140 mm. P/ BO4510</t>
  </si>
  <si>
    <t>PAPEL LIJA (GR 80) 93 x 228 mm. P/ 9035</t>
  </si>
  <si>
    <t>Lima de Diamante 4.0 mm - DUP361 - DUP362Z</t>
  </si>
  <si>
    <t>DISCO ABRASIVO (GRANO 60) 125 mm.</t>
  </si>
  <si>
    <t>DISCO ABRASIVO (GRANO 80) 125 mm.</t>
  </si>
  <si>
    <t>DISCO ABRASIVO (GRANO 120) 125mm.</t>
  </si>
  <si>
    <t>DISCO ABRASIVO (GRANO 180) 125 mm .</t>
  </si>
  <si>
    <t>DISCO ABRASIVO (GRANO 240) 125 mm .</t>
  </si>
  <si>
    <t>BANDA DE LIJA (GR 80) 76 x 457 mm.</t>
  </si>
  <si>
    <t>DISCO ABRASIVO (GR 40) 150 mm. P/BO6030 - BO6040</t>
  </si>
  <si>
    <t>DISCO ABRASIVO (GR 60) 150 mm. P/BO6030 - BO6040</t>
  </si>
  <si>
    <t>DISCO ABRASIVO (GR 80) 150 mm. P/BO6030 - BO6040</t>
  </si>
  <si>
    <t>DISCO ABRASIVO (GR 120) 150 mm. P/BO6030 - BO6040</t>
  </si>
  <si>
    <t>DISCO ABRASIVO (GR 180) 150 mm. P/BO6030 - BO6040</t>
  </si>
  <si>
    <t>DISCO ABRASIVO (GR 240) 150 mm. P/BO6030 - BO6040</t>
  </si>
  <si>
    <t>DISCO ABRASIVO (GR 400) 150 mm. P/BO6030 - BO6040</t>
  </si>
  <si>
    <t>CINCEL PUNTA PLANA N°8 x 45 mm.</t>
  </si>
  <si>
    <t>PUNTA PARA ATORNILLAR PHILLIPS N°1 x 65 mm. (3 Pcs)</t>
  </si>
  <si>
    <t>PUNTA PARA ATORNILLAR PHILLIPS N°2 x 45 mm. (3 PCs)</t>
  </si>
  <si>
    <t>PUNTA PARA ATORNILLAR PHILLIPS N°2 x 65 mm. (3 PCs)</t>
  </si>
  <si>
    <t>PUNTA PARA ATORNILLAR PHILLIPS N°3 x 65 mm. (3 PCs)</t>
  </si>
  <si>
    <t>PUNTA PARA ATORNILLAR PHILLIPS N°2 x 25 mm. (3 PCs)</t>
  </si>
  <si>
    <t>PUNTA PARA ATORNILLAR PHILLIPS N°3 x 25 mm. (3 PCs)</t>
  </si>
  <si>
    <t>PUNTA PARA ATORNILLAR PHILLIPS N°2 x 110 mm. (3 PCs)</t>
  </si>
  <si>
    <t>""Lijadora de Banda 1.3/16""x21"" 550w. 2.1 Kg."</t>
  </si>
  <si>
    <t>Lijadora De Banda 3/8"X21" 500W. 1.6 Kg</t>
  </si>
  <si>
    <t>Lijadora Orbital 92 X 288 mm (3-5/8" X  9") 190 W</t>
  </si>
  <si>
    <t>""LIJADORA ORBITAL 92 x 288 mm (3-5/8"" x  9"") 190 W"</t>
  </si>
  <si>
    <t>Lijadora Orbital 1/2 Pliego 115 X 229 mm. 600W. 6 000 Opm. 3.1Kg.</t>
  </si>
  <si>
    <t>""ESMERIL RECTO 125 mm (5"") 750 W"</t>
  </si>
  <si>
    <t>Pulidora Angular 7" 1200W. 0-3200 Rpm 3.4Kg</t>
  </si>
  <si>
    <t>Lijadora De Banda 4"X24" 1 200W. 5 7 Kg.</t>
  </si>
  <si>
    <t>""LLAVE ALLEN (HEXAGONAL) EN ""T"" 5mm."</t>
  </si>
  <si>
    <t>LIMA 5.5 mm (0.404"") DCS9010</t>
  </si>
  <si>
    <t>""LIMA 4.0mm (3/8"") EA4301F45B"</t>
  </si>
  <si>
    <t>""LIMA 5.2mm (3/8"") DCS7301"</t>
  </si>
  <si>
    <t>Esmeril Angular 115 mm (4-1/2") 840W Security Switch</t>
  </si>
  <si>
    <t>""ESMERIL ANGULAR 115 mm (4-1/2"") 840W"</t>
  </si>
  <si>
    <t>Esmeril Angular 4.1/2" 840W. 1.8Kg. Security  Switch</t>
  </si>
  <si>
    <t>""ESMERIL ANGULAR 115 mm (4-1/2"") - 840 W"</t>
  </si>
  <si>
    <t>Esmeril Angular 4.1/2" 1100W. 2.4Kg. Security Switch</t>
  </si>
  <si>
    <t>Esmeril Angular 4.1/2" 1400W. 2.4Kg. Security Switch Velocidad VariaBLe Sjs</t>
  </si>
  <si>
    <t>""Kit 3/8"" 18"" Espada / Cadena  / Limitador de corte (rescate)"</t>
  </si>
  <si>
    <t>""Disco Concreto Diamantado 355mm QUASAR (14"")"</t>
  </si>
  <si>
    <t>Lijadora De Disco 4-3/4"/860W /3 500 Rpm</t>
  </si>
  <si>
    <t>ACEITE 2T 100 mL</t>
  </si>
  <si>
    <t>Bomba manual DOLMAR</t>
  </si>
  <si>
    <t>Lijadora De Banda 3"X18" 650W. 270 Rpm 2 6 Kg"</t>
  </si>
  <si>
    <t>Lijadora De Banda (3' X 18')  650W</t>
  </si>
  <si>
    <t>Herramienta manual multiusos – 10 en 1.</t>
  </si>
  <si>
    <t>DISCO DIAMANTADO ESPECIALIZADO PARA MODELOS INLAMBRICOS PARA VIDRIO 85 x 15 mm.</t>
  </si>
  <si>
    <t>SIERRA DE CALAR PARA MADERA BASICO (RAPIDO) HCS (150 mm.) 4 DIENTES X PULG. (5 PCs)</t>
  </si>
  <si>
    <t>SIERRA DE CALAR RECIPROCA PARA MADERA BASICO (150 mm.) 10 DIENTES x PULG. (5 PCs)</t>
  </si>
  <si>
    <t>DISCO DIAMANTADO SEGMENTADO 110 x 20 mm.</t>
  </si>
  <si>
    <t>DISCO DIAMANTADO ESPECIALIZADO PARA MODELOS INLAMBRICOS 85 mm.</t>
  </si>
  <si>
    <t>DISCO DIAMANTADO BORDE CONTINUO 110 x 20 mm.</t>
  </si>
  <si>
    <t>DISCO DIAMANTADO ESPECIALIZADO PARA MODELOS INLAMBRICOS 85 x 15 mm.</t>
  </si>
  <si>
    <t>DISCO DIAMANTADO TURBO (CONCAVO) 110 x 15 mm.</t>
  </si>
  <si>
    <t>DISCO DE SIERRA (230 mm) 32 Dientes EBH340U/EM4351UH</t>
  </si>
  <si>
    <t>TARUGO PLANO (GALLETA) (TIPO #0) 46 x 15 mm. (100 PCs)</t>
  </si>
  <si>
    <t>TARUGO PLANO (GALLETA) (TIPO #10) 54 x 19.5 mm. (100 PCs)</t>
  </si>
  <si>
    <t>TARUGO PLANO (GALLETA) (TIPO #20) 56 x 23.5 mm. (100 PCs)</t>
  </si>
  <si>
    <t>APISONADOR SDS-MAX  140 mm.</t>
  </si>
  <si>
    <t>BANDA DE LIJA GRANO#60 (AA60A) (30 x 533 mm.) (10 PCs) (794111-8)</t>
  </si>
  <si>
    <t>BANDA DE LIJA (GRANO AA120) 30 x 533 mm. (10 PCs) (794117-6)</t>
  </si>
  <si>
    <t>Manguera de Succión 5 m (38 mm) Acople 22 - 38</t>
  </si>
  <si>
    <t>Manguera de Succión 1.5 m (28 mm) CA</t>
  </si>
  <si>
    <t>BANDA DE LIJA (GRANO AA60) 9 x 533 mm. (10 PCs)</t>
  </si>
  <si>
    <t>BANDA DE LIJA  (GRANO AA80) 9 x 533 mm. (10 PCs)</t>
  </si>
  <si>
    <t>BANDA DE LIJA (GRANO AA100) 9 x 533 mm. (10 PCs)</t>
  </si>
  <si>
    <t>BANDA DE LIJA (GRANO AA40) 6 x 533 mm. (10 PCs)</t>
  </si>
  <si>
    <t>BANDA DE LIJA (GRANO AA80) 6 x 533 mm. (10 PCs)</t>
  </si>
  <si>
    <t>BANDA DE LIJA (GRANO AA120) 6 x 533 mm. (10 PCs)</t>
  </si>
  <si>
    <t>BANDA DE LIJA  (GRANO AA80) 13 x 533 mm. (10 PCs)</t>
  </si>
  <si>
    <t>Boquilla Tipo T Húmedo (38 mm)</t>
  </si>
  <si>
    <t>Bolsa de Polvo 8L (Tela) (5 Und)</t>
  </si>
  <si>
    <t>Arador p/KR0751H</t>
  </si>
  <si>
    <t>Bolsa de Polvo 7L (Tela) (5 Und)</t>
  </si>
  <si>
    <t>DISCO DE SIERRA (230 mm) EBH340U/EM4351UH</t>
  </si>
  <si>
    <t>DISCO DE SIERRA (255 mm)</t>
  </si>
  <si>
    <t>DISCO DIAMANTADO BORDEADO (WET) 180 mm.</t>
  </si>
  <si>
    <t>DISCO DIAMANTADO SEGMENTADO PARA CONCRETO 230 x 22.23 mm.</t>
  </si>
  <si>
    <t>DISCO DIAMANTADO SEGMENTADO PARA CONCRETO 115 x 22.23 mm.</t>
  </si>
  <si>
    <t>DISCO DIAMANTADO SEGMENTADO PARA CONCRETO (125 x 22.23 mm.)</t>
  </si>
  <si>
    <t>CINCEL PUNTA 450 mm. ENCASTRE HEXAGONAL 21 mm.</t>
  </si>
  <si>
    <t>CINCEL PLANO 17 x 450 mm.</t>
  </si>
  <si>
    <t>DISCO ABRA. DESBASTE INOX.115 x 6 x 22.23mm.(WA36N)</t>
  </si>
  <si>
    <t>CINCEL PUNTA SDS-MAX 280 mm.</t>
  </si>
  <si>
    <t>CINCEL DE PUNTA SDS-MAX 400 mm.</t>
  </si>
  <si>
    <t>CINCEL PLANO 25 x 400 mm.</t>
  </si>
  <si>
    <t>DISCO ABRA. DESBASTE INOX.180 x 6 x 22.23mm.(WA36N)</t>
  </si>
  <si>
    <t>DISCO ABRA. DESBASTE INOX. 230x6x22mm.(WA360)</t>
  </si>
  <si>
    <t>DISCO ABRA. DESBASTE METAL 115 x 6 x 22.23mm.(A36P)</t>
  </si>
  <si>
    <t>DISCO ABRA. DESBASTE METAL 180 x 6 x 22mm.(A36P)</t>
  </si>
  <si>
    <t>DISCO ABRA. DESBASTE METAL 230 x 6 x 22.23mm.(A36P)</t>
  </si>
  <si>
    <t>DISCO DE SIERRA PARA MADERA TCT (255 x 30 mm.) 32 DIENTES</t>
  </si>
  <si>
    <t>DISCO DE SIERRA PARA MADERA TCT (255 x 25.4 mm.) 60 DIENTES</t>
  </si>
  <si>
    <t>DISCO DE SIERRA PARA MADERA TCT (210 x 30 mm.) 18 DIENTES</t>
  </si>
  <si>
    <t>DISCO DE SIERRA PARA MADERA TCT (210 x 30 mm.) 24 DIENTES</t>
  </si>
  <si>
    <t>DISCO DE SIERRA PARA MADERA TCT (305 x 25.4 mm.) 30 DIENTES</t>
  </si>
  <si>
    <t>DISCO DE SIERRA PARA MADERA TCT (305 x 25.4 mm.) 40 DIENTES</t>
  </si>
  <si>
    <t>DISCO DE SIERRA PARA MADERA TCT (305 x 25.4 mm.) 60 DIENTES</t>
  </si>
  <si>
    <t>DISCO DE SIERRA PARA MADERA TCT (355 x 25.4 mm.) 40 DIENTES</t>
  </si>
  <si>
    <t>DISCO DE SIERRA PARA MADERA TCT (355 x 25.4 mm.) 60 DIENTES</t>
  </si>
  <si>
    <t>""DISCO SIERRA PARA MADERA  10""x 25.4  x 2.40mm. 24D"</t>
  </si>
  <si>
    <t>DISCO DE SIERRA PARA MADERA TCT (255 x 25.4 mm.) 40 DIENTES</t>
  </si>
  <si>
    <t>DISCO ABRA. CORTE METAL 115 x 3 x 22.23mm.(A30T) (CONCAVO)</t>
  </si>
  <si>
    <t>DISCO ABRA. CORTE METAL 180 x 3 x 22.23mm.(A30T) (CONCAVO)</t>
  </si>
  <si>
    <t>DISCO ABRA. CORTE METAL 230 x 3 x 22.23mm.(A30T) (CONCAVO)</t>
  </si>
  <si>
    <t>DISCO DE SIERRA PARA MADERA TCT (255 x 25.4 mm.) 32 DIENTES</t>
  </si>
  <si>
    <t>DISCO DIAMANTADO SEGMENTADO PARA CONCRETO 180 x 22.23 mm.</t>
  </si>
  <si>
    <t>DISCO DE SIERRA PARA METAL TCT (185x20 mm.) 48 DIENTES</t>
  </si>
  <si>
    <t>DISCO DIAMANTADO SEGMENTADO PARA CONCRETO 180 x 25.4 mm.</t>
  </si>
  <si>
    <t>DISCO DIAMANTADO TURBO PARA CONCRETO 115 x 22.23 mm.</t>
  </si>
  <si>
    <t>DISCO DIAMANTADO TURBO PARA CONCRETO 180 x 25.4 mm.</t>
  </si>
  <si>
    <t>DISCO ABRASIVO CORTE PARA ACERO (C30T) (CONCAVO) 230x3x22.23 mm.</t>
  </si>
  <si>
    <t>DISCO ABRA. CORTE METAL 115 x 2.5 x 22.23mm.(A30R)</t>
  </si>
  <si>
    <t>DISCO DE CORTE PARA ACERO (A30R) (PLANO) 125x2.5x22.23 mm.</t>
  </si>
  <si>
    <t>DISCO ABRA. CORTE METAL 180 x 2.5 x 22.23mm.(A30R)</t>
  </si>
  <si>
    <t>DISCO ABRA. CORTE METAL 230 x 2.5 x 22.23mm.(A30R)</t>
  </si>
  <si>
    <t>DISCO DE SIERRA PARA METAL TCT (185x20 mm.) 38 DIENTES</t>
  </si>
  <si>
    <t>""DADO DE IMPACTO TUBULAR  3/4"" X 19mm"</t>
  </si>
  <si>
    <t>""DADO DE IMPACTO TUBULAR  3/4"" x 21mm."</t>
  </si>
  <si>
    <t>DADO (24 x 52 mm.) ENCASTRE 19 mm. P/6906</t>
  </si>
  <si>
    <t>DISCO DE SIERRA PARA MADERA TCT (185 x 20 mm.) 40 DIENTES</t>
  </si>
  <si>
    <t>DISCO DE SIERRA PARA METAL TURBO TCT (185x20 mm.) 70 DIENTES</t>
  </si>
  <si>
    <t>SET SIERRA DE CALAR (B-10S  B-13  B-16  B-22  B-23) (5 PCs)</t>
  </si>
  <si>
    <t>DISCO DE SIERRA PARA METAL TCT (305x25.4 mm.) 78 DIENTES</t>
  </si>
  <si>
    <t>DISCO DE SIERRA PARA METAL TCT (305 x 25.4 mm.) 60 DIENTES</t>
  </si>
  <si>
    <t>DISCO DIAMANTADO ESPECIALIZADO PARA CORTADORA 350 x 25.4 mm.</t>
  </si>
  <si>
    <t>CINCEL DE PUNTA 600 mm.</t>
  </si>
  <si>
    <t>CINCEL PLANO (600 x 24 mm.)</t>
  </si>
  <si>
    <t>DISCO DE SIERRA PARA ACERO INOXIDABLE TCT (305x25.4 mm.) 78 DIENTES</t>
  </si>
  <si>
    <t>DISCO DIAMANTADO SEGMENTADO PARA CONCRETO 105 mm.</t>
  </si>
  <si>
    <t>DISCO ABRA. DESBASTE METAL 180 x 6 x 22mm.(A24R)</t>
  </si>
  <si>
    <t>Bump &amp; Feed M8x1.25LH (carrete para nylon)</t>
  </si>
  <si>
    <t>DISCO ABRASIVO DE CORTE PARA ACERO (GRANO #24) 180 x 6 x 22 mm.</t>
  </si>
  <si>
    <t>DISCO DIAMANTADO TURBO 105 x 22.23 mm.</t>
  </si>
  <si>
    <t>""Sierra circular T.C.T.  190mm x 5/8"" 40 dientes"</t>
  </si>
  <si>
    <t>DISCO DE SIERRA PARA ALUMINIO TCT (190x15.88 mm.) 60 DIENTES</t>
  </si>
  <si>
    <t>SET SIERRA DE CALAR (5 PCs)</t>
  </si>
  <si>
    <t>""DISCO DE SIERRA PARA MADERA TCT (10"" x 5/8"") 70 DIENTES"</t>
  </si>
  <si>
    <t>""DISCO DE SIERRA PARA MADERA TCT (12"" x 25.4 mm.) 70 DIENTES"</t>
  </si>
  <si>
    <t>""DADO DE IMPACTO ENCASTRE 1/2"" x 3/8"" CR-MO"</t>
  </si>
  <si>
    <t>""DADO DE IMPACTO ENCASTRE 1/2"" x 7/16"" CR-MO"</t>
  </si>
  <si>
    <t>""DADO DE IMPACTO ENCASTRE 1/2"" x 1/2"" CR-MO"</t>
  </si>
  <si>
    <t>""DADO DE IMPACTO ENCASTRE 1/2"" x 9/16"" CR-MO"</t>
  </si>
  <si>
    <t>""DADO DE IMPACTO ENCASTRE 1/2"" x 5/8"" CR-MO"</t>
  </si>
  <si>
    <t>""DADO DE IMPACTO ENCASTRE 1/2"" x 11/16"" CR-MO"</t>
  </si>
  <si>
    <t>""DADO DE IMPACTO ENCASTRE 1/2"" x 3/4"" CR-MO"</t>
  </si>
  <si>
    <t>""DADO DE IMPACTO ENCASTRE 1/2"" x 13/16"" CR-MO"</t>
  </si>
  <si>
    <t>""DADO DE IMPACTO ENCASTRE 1/2"" x 7/8"" CR-MO"</t>
  </si>
  <si>
    <t>""DADO DE IMPACTO ENCASTRE 1/2"" x 15/16"" CR-MO"</t>
  </si>
  <si>
    <t>""DADO DE IMPACTO ENCASTRE 1/2"" x 1"" CR-MO"</t>
  </si>
  <si>
    <t>""DADO DE IMPACTO ENCASTRE 1/2"" x 1-1/16"" CR-MO"</t>
  </si>
  <si>
    <t>""DADO DE IMPACTO ENCASTRE 1/2"" x 1-1/8"" CR-MO"</t>
  </si>
  <si>
    <t>""DADO DE IMPACTO ENCASTRE 1/2"" x 1-1/4"" CR-MO"</t>
  </si>
  <si>
    <t>Compresora De Aire A Bateria 40V XGT/ 2 Galones/ BL- XPT/Sin Baterias</t>
  </si>
  <si>
    <t>""Clavadora Neumática 5/8"" - 2"" Cap. Cacerina 130 pzas. (65 -100 PSI)"</t>
  </si>
  <si>
    <t>""Clavadora Neumática 5/8"" - 2"" Cap.Cacerina 100 pzas. (60-115 PSI ) 1.4kg."</t>
  </si>
  <si>
    <t>Clavadora Neumática 5/8"" - 2"" Cap.Cacerina 100 pzas.</t>
  </si>
  <si>
    <t>Clavadora Neumática 5/8" - 2" Cap.Cacerina 100 Pzas.</t>
  </si>
  <si>
    <t>Clavadora Neumática 1" - 2-1/2" Cap. Cacerina 100 Pzas. (70 - 120 Psi)</t>
  </si>
  <si>
    <t>""Clavadora Neumática 1-1/4"" - 2-1/2"") Cap. Cacerina 100 pzas. (70-120PSI)"</t>
  </si>
  <si>
    <t>""Clavadora Neumática 1.1/4""-2.1/2"" Cap.Cacerina 200-400 pzas. (65-120 PSI) 2.3kg."</t>
  </si>
  <si>
    <t>Soplador Multifuncional XGT 40Vmax / 4 Vel. / BL / 1 x 2.0Ah + C. Rápido *NUEVO*</t>
  </si>
  <si>
    <t>Sopladora De Aire Mutifuncion XGT 40 Vmax/200 M/S/Succion 103 Mbar/4 Velocidades/BL/Sin Baterias</t>
  </si>
  <si>
    <t>Engrapadora Neumática 1"-2" Cap. Cacerina 140 Pzas 65 -120 Psi)"</t>
  </si>
  <si>
    <t>BROCA SDS-PLUS TCT 20 x 555 mm.</t>
  </si>
  <si>
    <t>SIERRA DE CALAR PARA MADERA (5 PCs) HCS 250 mm.  10 DIENTES</t>
  </si>
  <si>
    <t>DISCO DIAMANTADO TURBO (230 x 22.23 mm.)</t>
  </si>
  <si>
    <t>CORDON DE NYLON  2.4 mm. x 5 m.</t>
  </si>
  <si>
    <t>DISCO DIAMANTADO SEGMENTADO (115 x 22.23 mm.)</t>
  </si>
  <si>
    <t>DISCO DIAMANTADO SEGMENTADO (180 x 22.23 mm.)</t>
  </si>
  <si>
    <t>DISCO DIAMANTADO TURBO (110 x 20 mm.)</t>
  </si>
  <si>
    <t>DISCO DIAMANTADO SEGMENTADO 105 mm.</t>
  </si>
  <si>
    <t>DISCO DIAMANTADO TURBO (115 x 22.23 mm.)</t>
  </si>
  <si>
    <t>DISCO DIAMANTADO TURBO (180 x 22.23 mm.)</t>
  </si>
  <si>
    <t>DISCO DIAMANTADO P/SECO 105 mm.</t>
  </si>
  <si>
    <t>DISCO DE SIERRA TCT (255x25.4 mm.) 80 DIENTES</t>
  </si>
  <si>
    <t>DISCO DE SIERRA TCT (305x25.4 mm.) 40 DIENTES</t>
  </si>
  <si>
    <t>DISCO DE SIERRA TCT (305x25.4 mm.) 60 DIENTES</t>
  </si>
  <si>
    <t>DISCO DE SIERRA TCT (305x25 mm.) 80 DIENTES</t>
  </si>
  <si>
    <t>DISCO DE SIERRA TCT (305x25 mm.) 100 DIENTES</t>
  </si>
  <si>
    <t>DISCO DE SIERRA M-FORCE (235x25 mm.) 20 DIENTES</t>
  </si>
  <si>
    <t>DISCO DE SIERRA PARA ALUMINO TCT (305x30 mm.)  100 DIENTES</t>
  </si>
  <si>
    <t>SIERRA DE CALAR SUPER EXPRESS PARA METAL (5 PCs)</t>
  </si>
  <si>
    <t>SIERRA RECIPROCA SUPER EXPRESS BI-METAL 152 mm. (5 PCs)</t>
  </si>
  <si>
    <t>AUTOMATIC ULTRAAUTO 4L M10x1.25LH (CARRETE DE NYLON)</t>
  </si>
  <si>
    <t>BUMP &amp; FEED M10x1.25LH (CARRETE DE NYLON)</t>
  </si>
  <si>
    <t>SIERRA RECIPROCA SUPER EXPRESS PARA MADERA 203 mm (5 PCs)</t>
  </si>
  <si>
    <t>SIERRA DE CALAR PARA MEADERA CON CLAVOS Bi-METAL (152 mm.)  6 DIENTES</t>
  </si>
  <si>
    <t>BROCA SDS-PLUS TCT (DELTAGON) 8 x 316 mm.</t>
  </si>
  <si>
    <t>BROCA SDS-PLUS TCT (DELTAGON) 14x166 mm.</t>
  </si>
  <si>
    <t>BROCA SDS-PLUS TCT (DELTAGON) 16x216 mm.</t>
  </si>
  <si>
    <t>SIERRA DE CALAR TIPO T PARA CEMENTO DE FIBRA (B-60) TC 75 mm. 6 DIENTES (3 PCs)</t>
  </si>
  <si>
    <t>""BROCA SDS-PLUS (DELTAGON) 3/8"" x 8-1/2"""</t>
  </si>
  <si>
    <t>SIERRAS DE CALAR PARA OCACIONES ESPECIALES TC/HM 152 mm.  (2 PCs)</t>
  </si>
  <si>
    <t>CORDON DE NYLON  3 mm. x 4 m.</t>
  </si>
  <si>
    <t>CINCEL SDS-MAX PUNTA AGUDA Autoafilable x 400mm (Top Line)</t>
  </si>
  <si>
    <t>CINCEL PUNTA 400mm. ENCASTRE HEXAGONAL 28.6mm. AUTO AFILABLE</t>
  </si>
  <si>
    <t>SIERRA DE CALAR PARA HIELO (ACERO INOXIDABLE) 305 mm.</t>
  </si>
  <si>
    <t>SIERRA DE CALAR PARA MADERA Y METAL BI-METAL (305 mm) 5 - 8 DIENTES (3 PCs)</t>
  </si>
  <si>
    <t>DISCO ABRASIVO 355x3x25.4 mm.</t>
  </si>
  <si>
    <t>DISCO ABRASIVO 355x3x25.4 mm. (5 PCs)</t>
  </si>
  <si>
    <t>SIERRA DE CALAR PARA LAMINADOS 15 DIENTES / 82.6mm</t>
  </si>
  <si>
    <t>SIERRA COPA BI-METAL (8% Cobalto) Ezychange 16mm</t>
  </si>
  <si>
    <t>SIERRA COPA BI-METAL (8% Cobalto) Ezychange 19mm</t>
  </si>
  <si>
    <t>SIERRA COPA BI-METAL (8% Cobalto) Ezychange 20mm</t>
  </si>
  <si>
    <t>SIERRA COPA BI-METAL (8% Cobalto) Ezychange 22mm</t>
  </si>
  <si>
    <t>SIERRA COPA BI-METAL (8% Cobalto) Ezychange 24mm</t>
  </si>
  <si>
    <t>SIERRA COPA BI-METAL (8% Cobalto) Ezychange 25mm</t>
  </si>
  <si>
    <t>SIERRA COPA BI-METAL (8% Cobalto) Ezychange 29mm</t>
  </si>
  <si>
    <t>SIERRA COPA BI-METAL (8% Cobalto) Ezychange 30mm</t>
  </si>
  <si>
    <t>SIERRA COPA BI-METAL (8% Cobalto) Ezychange 32mm</t>
  </si>
  <si>
    <t>SIERRA COPA BI-METAL (8% Cobalto) Ezychange 35mm</t>
  </si>
  <si>
    <t>SIERRA COPA BI-METAL (8% Cobalto) Ezychange 38mm</t>
  </si>
  <si>
    <t>SIERRA COPA BI-METAL (8% Cobalto) Ezychange 41mm</t>
  </si>
  <si>
    <t>SIERRA COPA BI-METAL (8% Cobalto) Ezychange 44mm</t>
  </si>
  <si>
    <t>SIERRA COPA BI-METAL (8% Cobalto) Ezychange 48mm</t>
  </si>
  <si>
    <t>SIERRA COPA BI-METAL (8% Cobalto) Ezychange 51mm</t>
  </si>
  <si>
    <t>SIERRA COPA BI-METAL (8% Cobalto) Ezychange 57mm</t>
  </si>
  <si>
    <t>SIERRA COPA BI-METAL (8% Cobalto) Ezychange 60mm</t>
  </si>
  <si>
    <t>SIERRA COPA BI-METAL (8% Cobalto) Ezychange 64mm</t>
  </si>
  <si>
    <t>SIERRA COPA BI-METAL (8% Cobalto) Ezychange 70mm</t>
  </si>
  <si>
    <t>SIERRA COPA BI-METAL (8% Cobalto) Ezychange 76mm</t>
  </si>
  <si>
    <t>SIERRA COPA BI-METAL (8% Cobalto) Ezychange 83mm</t>
  </si>
  <si>
    <t>SIERRA COPA BI-METAL (8% Cobalto) Ezychange 102mm</t>
  </si>
  <si>
    <t>SIERRA COPA BI-METAL (8% Cobalto) Ezychange 105mm</t>
  </si>
  <si>
    <t>SIERRA COPA BI-METAL (8% Cobalto) Ezychange 127mm</t>
  </si>
  <si>
    <t>SIERRA COPA BI-METAL (8% Cobalto) Ezychange 152mm</t>
  </si>
  <si>
    <t>ADAPTADOR Ezychanged + BROCA PILOTO HSS-G</t>
  </si>
  <si>
    <t>BROCA SDS-PLUS 5 x 50 x 110mm. NEMESIS</t>
  </si>
  <si>
    <t>BROCA SDS-PLUS 5 x 100 x 160mm. NEMESIS</t>
  </si>
  <si>
    <t>BROCA SDS-PLUS 5.5 x 100 x 160mm. NEMESIS</t>
  </si>
  <si>
    <t>BROCA SDS-PLUS 6 x 50 x 110mm. NEMESIS</t>
  </si>
  <si>
    <t>BROCA SDS-PLUS 6 x 150 x 210mm. NEMESIS</t>
  </si>
  <si>
    <t>BROCA SDS-PLUS 6 x 200 x 260mm. NEMESIS</t>
  </si>
  <si>
    <t>BROCA SDS-PLUS 6 x 250 x 310mm. NEMESIS</t>
  </si>
  <si>
    <t>BROCA SDS-PLUS 6.5 x 100 x 160mm.NEMESIS</t>
  </si>
  <si>
    <t>BROCA SDS-PLUS 6.5 x 150 x 210mm.NEMESIS</t>
  </si>
  <si>
    <t>BROCA SDS-PLUS 6.5 x 200 x 260mm.NEMESIS</t>
  </si>
  <si>
    <t>BROCA SDS-PLUS 6.5 x 250 x 310mm.NEMESIS</t>
  </si>
  <si>
    <t>BROCA SDS-PLUS 7 x 100 x 160mm. NEMESIS</t>
  </si>
  <si>
    <t>BROCA SDS-PLUS 8 x 100 x 160mm.NEMESIS</t>
  </si>
  <si>
    <t>BROCA SDS-PLUS 8 x 150 x 210mm.NEMESIS</t>
  </si>
  <si>
    <t>BROCA SDS-PLUS 10 x 50 x 110mm. NEMESIS</t>
  </si>
  <si>
    <t>BROCA SDS-PLUS 10 x 100 x 160mm.NEMESIS</t>
  </si>
  <si>
    <t>BROCA SDS-PLUS 10 x 150 x 210mm.NEMESIS</t>
  </si>
  <si>
    <t>BROCA SDS-PLUS 10 x 200 x 260mm.NEMESIS</t>
  </si>
  <si>
    <t>BROCA SDS-PLUS 10 x 250 x 310mm.NEMESIS</t>
  </si>
  <si>
    <t>BROCA SDS-PLUS 10 x 390 x 450mm. NEMESIS</t>
  </si>
  <si>
    <t>BROCA SDS-PLUS 12 x 110 x 160mm.NEMESIS</t>
  </si>
  <si>
    <t>BROCA SDS-PLUS 12 x 160 x 210mm. NEMESIS</t>
  </si>
  <si>
    <t>BROCA SDS-PLUS 12 x 210 x 260mm.NEMESIS</t>
  </si>
  <si>
    <t>BROCA SDS-PLUS 12 x 260 x 310mm.NEMESIS</t>
  </si>
  <si>
    <t>BROCA SDS-PLUS 12 x 400 x 450mm.NEMESIS</t>
  </si>
  <si>
    <t>BROCA SDS-PLUS 14 x 110 x 160mm.NEMESIS</t>
  </si>
  <si>
    <t>SET DE SIERRAS COPA Ezychanged SET 6 PCS (19 22 29 38 44 57mm)+B-11536</t>
  </si>
  <si>
    <t>DISCO ABRA. CORTE INOX. 115 x 1.0 x 22mm.(A60T)</t>
  </si>
  <si>
    <t>DISCO ABRASIVO DE CORTE PARA ACERO (PLANO) (A60T) 125x1x22.23 mm.</t>
  </si>
  <si>
    <t>DISCO ABRA. CORTE INOX. 180 x 1.6 x 22.23mm.(A60T)</t>
  </si>
  <si>
    <t>DISCO ABRA. CORTE INOX. 230 x1.9 x 22.23mm.(A60T)</t>
  </si>
  <si>
    <t>BROCA SDS-PLUS 8 x 250 x 310mm. NEMESIS</t>
  </si>
  <si>
    <t>BROCA SDS-PLUS 10 x 940 x 1000mm. NEMESIS</t>
  </si>
  <si>
    <t>BROCA SDS-PLUS 12 x 950 x 1000mm. NEMESIS</t>
  </si>
  <si>
    <t>BROCA SDS-PLUS 14 x 950 x 1000mm. NEMESIS</t>
  </si>
  <si>
    <t>BROCA SDS-PLUS 16 x 110 x 160mm. NEMESIS</t>
  </si>
  <si>
    <t>BROCA SDS-PLUS 16 x 160 x 210mm.NEMESIS</t>
  </si>
  <si>
    <t>BROCA SDS-PLUS 16 x 210 x 260mm.NEMESIS</t>
  </si>
  <si>
    <t>BROCA SDS-PLUS 16 x 260 x 310mm.NEMESIS</t>
  </si>
  <si>
    <t>BROCA SDS-PLUS 16 x 950 x 1000mm. NEMESIS</t>
  </si>
  <si>
    <t>SIERRA DE CALAR TIPO T (3 PCs)</t>
  </si>
  <si>
    <t>BROCA SDS-PLUS 8 x 400 x 460mm. NEMESIS</t>
  </si>
  <si>
    <t>CINCEL SDS-MAX PUNTA AGUDA x  400mm (Top Line)</t>
  </si>
  <si>
    <t>CINCEL SDS-MAX PUNTA AGUDA x 600mm (Top Line)</t>
  </si>
  <si>
    <t>CINCEL SDS-MAX PUNTA PLANA 25 x 400mm (Top Line)</t>
  </si>
  <si>
    <t>CINCEL SDS-MAX PUNTA PLANA 25 x 600mm (Top Line)</t>
  </si>
  <si>
    <t>CINCEL SDS-MAX PUNTA PLANA 50 x 400mm. (Top Line)</t>
  </si>
  <si>
    <t>DISCO ESTRELLA PARA CESPED Y PASTO (230 mm.) 4 DIENTES (D-66008)</t>
  </si>
  <si>
    <t>DISCO ESTRELLA PARA CESPED Y PASTO (255 mm.) 4 DIENTES</t>
  </si>
  <si>
    <t>BROCA SDS-PLUS 10 x 540 x 600mm. NEMESIS</t>
  </si>
  <si>
    <t>BROCA SDS-PLUS 14 x 550 x 600mm. NEMESIS</t>
  </si>
  <si>
    <t>BROCA SDS-PLUS 15 x 110 x 160mm. NEMESIS</t>
  </si>
  <si>
    <t>BROCA SDS-PLUS 15 x 160 x 210mm. NEMESIS</t>
  </si>
  <si>
    <t>BROCA SDS-PLUS 15 x 400 x 450mm. NEMESIS</t>
  </si>
  <si>
    <t>DISCO DIAMANTADO (CONCAVO) 105x22.23 mm.</t>
  </si>
  <si>
    <t>BROCA SDS-MAX   28 x 550 x 670mm.ROCK BLASTER</t>
  </si>
  <si>
    <t>SET DE ADAPTADORES DE TRANSICIÓN Ezychanged 14-30mm (3) 32-152mm (3)</t>
  </si>
  <si>
    <t>CUCHILLA PARA SIERRA DE BANDA PARA MADERA (CORTE RECTO) HCS 0.5 x 16 mm.</t>
  </si>
  <si>
    <t>CUCHILLA PARA SIERRA DE BANDA PARA MADERA (CORTE CURVO) HCS 0.5 x 6 mm.</t>
  </si>
  <si>
    <t>CUCHILLA PARA SIERRA DE BANDA PARA METALES NO FERROSOS 0.5 x 16 mm.</t>
  </si>
  <si>
    <t>DISCO DIAMANTADO TURBO (125 x 20 mm.)</t>
  </si>
  <si>
    <t>SIERRA COPA BI-METAL (8% Cobalto) Ezychange 40mm</t>
  </si>
  <si>
    <t>SIERRA COPA BI-METAL (8% Cobalto) Ezychange 65mm</t>
  </si>
  <si>
    <t>BROCA SDS-MAX   32 x 1200 x 1320mm.ROCK BLASTER</t>
  </si>
  <si>
    <t>SIERRA COPA BI-METAL (8% Cobalto) Ezychange 54mm</t>
  </si>
  <si>
    <t>TCT SAW BLADE 185x40x15.88</t>
  </si>
  <si>
    <t>DISCO DE SIERRA T.C.T. (260 x 30 mm.) 60 DIENTES</t>
  </si>
  <si>
    <t>BROCA SDS-PLUS 9 x 100 x 160mm. NEMESIS</t>
  </si>
  <si>
    <t>CORTADOR 100mm x 6T</t>
  </si>
  <si>
    <t>CUCHILLA DE CORTE SEGMENTADO 85 mm. (TMA001) BIM-TIN (PLANO) (MULTITOOL)</t>
  </si>
  <si>
    <t>CUCHILLA DE CORTE SEGMENTADO 65 mm. (TMA002) BIM-TIN (PLANO) (MULTITOOL)</t>
  </si>
  <si>
    <t>CUCHILLA DE CORTE REDONDEADO 85 mm. (TMA003) BIM-TIN (PLANO) (MULTITOOL)</t>
  </si>
  <si>
    <t>CUCHILLA DE CORTE REDONDEADO 65mm. (TMA004) BIM-TIN (PLANO) (MULTITOOL)</t>
  </si>
  <si>
    <t>CUCHILLA DE CORTE SEGMENTADO PARA MADERA Y METAL 100 mm. (TMA005) BIM (CONCAVO) (MULTITOOL)</t>
  </si>
  <si>
    <t>CUCHILLA DE CORTE SEGMENTADO PARA MADERA Y METAL 85 mm. (TMA006) BIM (CONCAVO) (MULTITOOL)</t>
  </si>
  <si>
    <t>CUCHILLA DE CORTE SEGMENTADO PARA MADERA 85 mm. (TMA007) HCS (CONCAVO) (MULTITOOL)</t>
  </si>
  <si>
    <t>CUCHILLA DE CORTE POR PENETRACION PARA MADERA 65 mm. (TMA008) BIM (MULTITOOL)</t>
  </si>
  <si>
    <t>CUCHILLA DE CORTE POR PENETRACION PARA MADERA Y METAL 28 mm. (TMA009) BIM (MULTITOOL)</t>
  </si>
  <si>
    <t>CUCHILLA DE CORTE POR PENETRACION PARA MADERA DURA 32 mm. (TMA010) BIM (MULTITOOL)</t>
  </si>
  <si>
    <t>CUCHILLA DE CORTE POR PENETRACION PARA MADERA 32 mm. (TMA012) HCS (MULTITOOL)</t>
  </si>
  <si>
    <t>CUCHILLA DE  CORTE POR PENETRACION PARA MADERA 20 mm. (TMA013) HCS (MULTITOOL)</t>
  </si>
  <si>
    <t>CUCHILLA DE CORTE CORTE POR PENETRACION PARA MADERA 10 mm. (TMA014) HCS (MULTITOOL)</t>
  </si>
  <si>
    <t>CUCHILLA DE CORTE POR PENETRACION PARA METAL 32 mm. (TMA015) BIM (MULTITOOL)</t>
  </si>
  <si>
    <t>CUCHILLA DE CORTE POR PENETRACION PARA METAL 20 mm. (TMA016) BIM (MULTITOOL)</t>
  </si>
  <si>
    <t>CUCHILLA DE CORTE POR PENETRACION PARA METAL 10 mm. (TMA017) BIM (MULTITOOL)</t>
  </si>
  <si>
    <t>CUCHILLA DE CORTE RASPADOR RIGIDO 52 mm. (TMA018) HCS (MULTITOOL)</t>
  </si>
  <si>
    <t>CUCHILLA DE CORTE RASPADOR FLEXIBLE 52 mm. (TMA019) HCS (MULTITOOL)</t>
  </si>
  <si>
    <t>CUCHILLA DE CORTE SEGMENTADO 100 mm. (TMA020) BIM (MULTITOOL)</t>
  </si>
  <si>
    <t>REMOVEDOR 70 mm. GRANO#40 (TMA022) HM</t>
  </si>
  <si>
    <t>CUCHILLA DE CORTE SEGMENTADO 85 mm. GRANO#30 (TMA023) HM (MULTITOOL)</t>
  </si>
  <si>
    <t>CUCHILLA DE CORTE SEGMENTADO 65 mm. GRANO#50 (TMA024) HM (MULTITOOL)</t>
  </si>
  <si>
    <t>PLATO LIJADOR 78 mm. GRANO#30 (TMA025) HM</t>
  </si>
  <si>
    <t>DISCO DIAMANTADO SEGMENTADO  85 mm. GRANO 40 (TMA026) (MULTITOOL)</t>
  </si>
  <si>
    <t>PAPEL LIJA DELTA ROJO (LARGA VIDA) (10 PCs)</t>
  </si>
  <si>
    <t>PAPEL LIJA DELTA ROJO GRANO#60 (LARGA VIDA) (10 PCs)</t>
  </si>
  <si>
    <t>PAPEL LIJA DELTA ROJO GRANO#80 (LARGA VIDA) (10 PCs)</t>
  </si>
  <si>
    <t>PAPEL LIJA DELTA ROJO GRANO#100 (LARGA VIDA) (10 PCs)</t>
  </si>
  <si>
    <t>PAPEL LIJA DELTA ROJO GRANO#120 (LARGA VIDA) (10 PCs)</t>
  </si>
  <si>
    <t>PAPEL LIJA DELTA ROJO GRANO#180 (LARGA VIDA) (10 PCs)</t>
  </si>
  <si>
    <t>PAPEL LIJA DELTA ROJO (10 PCs)</t>
  </si>
  <si>
    <t>PAPEL LIJA DELTA ROJO GRANO#60 (10 PCs)</t>
  </si>
  <si>
    <t>PAPEL LIJA DELTA ROJO GRANO#80 (10 PCs)</t>
  </si>
  <si>
    <t>PAPEL LIJA DELTA ROJO GRANO#120 (10 PCs)</t>
  </si>
  <si>
    <t>PAPEL LIJA DELTA ROJO GRANO#180 (10 PCs)</t>
  </si>
  <si>
    <t>PAPEL LIJA DELTA ROJO GRANO#240 (10 PCs)</t>
  </si>
  <si>
    <t>PAPEL LIJA DELTA BLANCO GRANO#60 (10 PCs)</t>
  </si>
  <si>
    <t>PAPEL LIJA DELTA BLANCO GRANO#80 (10 PCs)</t>
  </si>
  <si>
    <t>PAPEL LIJA DELTA BLANCO GRANO#240 (10 PCs)</t>
  </si>
  <si>
    <t>PAPEL LIJA DELTA NEGRO (10 PCs)</t>
  </si>
  <si>
    <t>PAPEL LIJA DELTA NEGRO GRANO#120 (10 PCs)</t>
  </si>
  <si>
    <t>PAPEL LIJA DELTA NEGRO GRANO#240 (10 PCs)</t>
  </si>
  <si>
    <t>PAPEL LIJA DELTA NEGRO GRANO#400 (10 PCs)</t>
  </si>
  <si>
    <t>PAPEL LIJA DELTA NEGRO GRANO#600 (10 PCs)</t>
  </si>
  <si>
    <t>PAPEL ABRASIVO DELTA PARA LANA 93 mm.  ARENA 100</t>
  </si>
  <si>
    <t>PAPEL ABRASIVO DELTA PARA LANA 93 mm.  ARENA 280</t>
  </si>
  <si>
    <t>PAPEL ABRASIVO DELTA DURO FIELTRO PARA PULIR 93 mm.</t>
  </si>
  <si>
    <t>PUNTERA PH2 (3 PCs) 110 mm.</t>
  </si>
  <si>
    <t>PAPEL LIJA DELTA ROJO GRANO#100 (10 PCs)</t>
  </si>
  <si>
    <t>PAPEL LIJA DELTA ROJO GRANO#150 (10 PCs)</t>
  </si>
  <si>
    <t>PAPEL LIJA DELTA BLANCO GRANO#120 (10 PCs)</t>
  </si>
  <si>
    <t>PUNTERAS PH2 (3 PCs) 25 mm.</t>
  </si>
  <si>
    <t>Screw bit set in Blister package (3pcs./set) Taiwan S2 (B-23450)</t>
  </si>
  <si>
    <t>PUNTERAS PZ2 (3 PCs) 25 mm. (B-23494)</t>
  </si>
  <si>
    <t>SET PUNTAS 3u.PHILLIPS Ph1-2-3 x  25mm.1u.DE c/u.</t>
  </si>
  <si>
    <t>PUNTERAS PH2 x 25mm. (25PCs)  EN FRASCO (B-24583)</t>
  </si>
  <si>
    <t>PUNTERAS PZ2 x 25mm. (25PCs)   EN FRASCO (B-24614)</t>
  </si>
  <si>
    <t>PUNTERA PZ2 x 25mm.- SET 100 PCS (MINI CONTENEDOR)</t>
  </si>
  <si>
    <t>PUNTERA PH2 x 25mm.- SET 100 PCS (MINI CONTENEDOR)  (B-45440)</t>
  </si>
  <si>
    <t>PUNTERA PZ2 x 25mm.- SET 100 PCS (MINI CONTENEDOR)  (B-42547)</t>
  </si>
  <si>
    <t>BOTE DE PUNTAS PH2 50mm (50 und)</t>
  </si>
  <si>
    <t>SET PUNTAS ATORNILLAR PH2 x 50mm MINI DISPENSADOR (50Und.) (B-26490)</t>
  </si>
  <si>
    <t>SET PUNTAS ATORNILLAR SQ2 x 50mm MINI DISPENSADOR (50Und.)</t>
  </si>
  <si>
    <t>PUNTERA MAGNETICA (IMPACT GOLD) PH3 x 50 mm. (2 PCs)</t>
  </si>
  <si>
    <t>PUNTERA MAGNETICA (IMPACT GOLD) T10 x 50 mm. (2 PCs)</t>
  </si>
  <si>
    <t>PUNTERA MAGNETICA (IMPACT GOLD) T15 x 50 mm. (2 PCs)</t>
  </si>
  <si>
    <t>PUNTERA MAGNETICA (IMPACT GOLD) T20 x 50 mm. (2 PCs)</t>
  </si>
  <si>
    <t>PUNTERA MAGNETICA (IMPACT GOLD) T25 x 50 mm. (2 PCs)</t>
  </si>
  <si>
    <t>PUNTERA MAGNETICA (IMPACT GOLD) T30 x 50 mm. (2 PCs)</t>
  </si>
  <si>
    <t>PUNTERA MAGNETICA (IMPACT GOLD) PZ1 x 50 mm. (2 PCs)</t>
  </si>
  <si>
    <t>PUNTERA MAGNETICA (IMPACT GOLD) PZ3 x 50 mm. (2 PCs)</t>
  </si>
  <si>
    <t>PUNTERA MAGNETICA PARA MADERA (IMPACT GOLD) PH2 x 50 mm. (2 PCs)</t>
  </si>
  <si>
    <t>PUNTERA MAGNETICA PARA METAL (Impact Gold) PH2 x 50 mm. (2 PCs)</t>
  </si>
  <si>
    <t>PUNTERA (IMPACT GOLD) PH1 x 25 mm. (2 PCs)</t>
  </si>
  <si>
    <t>PUNTERA (IMPACT GOLD) PH2 x 25 mm. (2 PCs)</t>
  </si>
  <si>
    <t>PUNTERA (IMPACT GOLD) PH3 x 25 mm. (2 PCs)</t>
  </si>
  <si>
    <t>PUNTERA (IMPACT GOLD) PH2 x 25 mm. (5 PCs)</t>
  </si>
  <si>
    <t>PUNTERA (IMPACT GOLD) PZ1 x 25 mm. (2 PCs)</t>
  </si>
  <si>
    <t>PUNTERA (IMPACT GOLD) PZ2 x 25 mm. (2 PCs)</t>
  </si>
  <si>
    <t>PUNTERA (IMPACT GOLD) PZ3 x 25 mm. (2 PCs)</t>
  </si>
  <si>
    <t>PUNTERA (IMPACT GOLD) PZ2 x 25 mm. (5 PCs)</t>
  </si>
  <si>
    <t>PUNTERA PARA MADERA (IMPACT GOLD) PH2 x 25 mm. (2 PCs)</t>
  </si>
  <si>
    <t>PUNTERA PARA METAL (IMPACT GOLD) PH2 x 25 mm. (2 PCs)</t>
  </si>
  <si>
    <t>PUNTERA PARA METAL (DIMPACT GOLD PH2 x 25 mm. (5 PCs)</t>
  </si>
  <si>
    <t>PORTA PUNTERA 66MM IMANTADA  Impact Gold</t>
  </si>
  <si>
    <t>PORTA PUNTERA DE TORSIÓN  ULTRA MAGNETICA 71 mm. Impact Gold</t>
  </si>
  <si>
    <t>""DADO NO MAGNETICO 5/16"" x 50 mm. ENCASTRE HEXAGONAL 8 mm."</t>
  </si>
  <si>
    <t>PUNTERA NO MAGNETICA 10 x 50 mm. ENCASTRE HEXAGONAL 10 mm.</t>
  </si>
  <si>
    <t>""SET DE PUNTERAS (IMPACT GOLD)   (11 PCs) - PH1/2/3 - PZ1/2/3 - T15/20/25/30  EXTENCION ¼"" MAGNETICO"</t>
  </si>
  <si>
    <t>DISCO DE LIMPIEZA Y REMOCION (T/SCOTCH) ESTÁNDAR (N)  115 x 22.23 mm.</t>
  </si>
  <si>
    <t>DISCO DE LIMPIEZA Y REMOCION (T/SCOTCH) ESTÁNDAR (N)  180 x 22.23 mm.</t>
  </si>
  <si>
    <t>DISCO DE LIMPIEZA Y REMOCION (T/SCOTCH) L.VIDA (PUR.)  115 x 22.23 mm.</t>
  </si>
  <si>
    <t>DISCO DE LIMPIEZA Y REMOCION (T/SCOTCH) L .VIDA(PUR.)  180 x 22.23 mm.</t>
  </si>
  <si>
    <t>DISCO DE LIMPIEZA NYLON NEGRO 115mm</t>
  </si>
  <si>
    <t>EXTENSION FLEXIBLE PARA PUNTAS DE ATORNILLAR 200mm</t>
  </si>
  <si>
    <t>SIERRA CINTA METAL/INOX 1140x13mm.10dpp.CORTA MÁS 6mm.  (1PCS) (PB002G/2107F/DPB181)***</t>
  </si>
  <si>
    <t>SET DE CUCHILLA DE CORTE MULTITOOL (3 PCs) (TMA005-TMA006-TMA019)</t>
  </si>
  <si>
    <t>SET DE CUCHILLA DE CORTE MULTITOOL (4 PCs) (TMA006-TMA008-TMA012-TMA019)</t>
  </si>
  <si>
    <t>SET DE PUNTERAS (11 PCs) - PH1/2/3 - PZ1/2/3 - T15/20/25/30 (66 mm.) Ext. ULTRA MAGNETICO</t>
  </si>
  <si>
    <t>SIERRA COPA BI-METAL (8% Cobalto) Ezychange 17mm</t>
  </si>
  <si>
    <t>SIERRA COPA BI-METAL (8% Cobalto) Ezychange 27mm</t>
  </si>
  <si>
    <t>SIERRA COPA BI-METAL (8% Cobalto) Ezychange 37mm</t>
  </si>
  <si>
    <t>SIERRA COPA BI-METAL (8% Cobalto) Ezychange 46mm</t>
  </si>
  <si>
    <t>SIERRA COPA BI-METAL (8% Cobalto) Ezychange 52mm</t>
  </si>
  <si>
    <t>SIERRA COPA BI-METAL (8% Cobalto) Ezychange 73mm</t>
  </si>
  <si>
    <t>SIERRA COPA BI-METAL (8% Cobalto) Ezychange 79mm</t>
  </si>
  <si>
    <t>SIERRA COPA BI-METAL (8% Cobalto) Ezychange 86mm</t>
  </si>
  <si>
    <t>SIERRA COPA BI-METAL (8% Cobalto) Ezychange 95mm</t>
  </si>
  <si>
    <t>SIERRA COPA BI-METAL (8% Cobalto) Ezychange 111mm</t>
  </si>
  <si>
    <t>SIERRA COPA BI-METAL (8% Cobalto) Ezychange 104mm</t>
  </si>
  <si>
    <t>SIERRA COPA BI-METAL (8% Cobalto) Ezychange 121mm</t>
  </si>
  <si>
    <t>SIERRA COPA BI-METAL (8% Cobalto) Ezychange 140mm</t>
  </si>
  <si>
    <t>ADAPTADOR SDS-PLUS Ezychanged - NO INCLUYE BROCA</t>
  </si>
  <si>
    <t>""DISCO 12"" X 2 1 X 60 DIENTES EJE 25 4 mm C.T. P"</t>
  </si>
  <si>
    <t>RATCHET + SET DE PUNTAS BIT (47 PCs)  UN</t>
  </si>
  <si>
    <t>DISCO DE LIMPIEZA NYLON MORADO 115mm</t>
  </si>
  <si>
    <t>SET DE SIERRAS COPA Bi Metálica (19 22 29 38 44 57 mm.) + 2 ADAPTADORES + BROCA PILOTO</t>
  </si>
  <si>
    <t>SET DE SIERRAS COPA Bi Metälica (20 25 32 38 51 64 mm.) + 2 ADAPTADORES + BROCA PILOTO</t>
  </si>
  <si>
    <t>SET DADOS MAGNETICO PULGADAS MEDIDAS (1/4" 5/16" 3/8") LARGO DE 48mm 3 PIEZAS</t>
  </si>
  <si>
    <t>""DADO MAGNETICO 1/4"" x 50 x 7mm."</t>
  </si>
  <si>
    <t>DADO MAGNETICO 1/4"" x 50 x 8mm.</t>
  </si>
  <si>
    <t>DADO MAGNETICO 1/4"" x 50 x 10mm.</t>
  </si>
  <si>
    <t>""DADO MAGNETICO 1/4"" x 50 x 12mm."</t>
  </si>
  <si>
    <t>""DADO MAGNETICO 1/4"" x 50 x 13mm."</t>
  </si>
  <si>
    <t>""DADO MAGNETICO 1/4"" x 50 x 17mm."</t>
  </si>
  <si>
    <t>""DADO MAGNETICO 1/4"" X  50 X 5 PZAS.(6   8  10  12  13mm.) MIX."</t>
  </si>
  <si>
    <t>PUNTERA MAGNETICA (IMPACT GOLD) PH2 x 50 mm. (2 PCs)</t>
  </si>
  <si>
    <t>PUNTERA MAGNETICA (IMPACT GOLD) PZ2 x 50 mm. (2 PCs)</t>
  </si>
  <si>
    <t>""DISCO DE SIERRA PARA MELAMINE TCT (300 x 30 mm.) (12"") 96 DIENTES"</t>
  </si>
  <si>
    <t>BROCA SDS-MAX   28 x 550 x 670mm. ROCK MAX</t>
  </si>
  <si>
    <t>BROCA ROCK MAX PARA MINERIA 30 x 720 mm</t>
  </si>
  <si>
    <t>BROCA SDS-MAX   32 x 450 x 570mm.ROCK MAX</t>
  </si>
  <si>
    <t>BROCA SDS-MAX   32 x 800 x 920mm.ROCK MAX</t>
  </si>
  <si>
    <t>PUNTERA IMP. GOLD PH2x25mm.x15uni.</t>
  </si>
  <si>
    <t>PUNTERA IMP. GOLD PZ2x25mm.x15uni</t>
  </si>
  <si>
    <t>HOJA DE SIERRA CINTA  Bi-METAL/14TPI/  PARA /BPB181D 835mmx13mm</t>
  </si>
  <si>
    <t>HOJA DE SIERRA CINTA  Bi-METAL/24TPI/  PARA /BPB181D 835mmx13mm</t>
  </si>
  <si>
    <t>""DISCO DE FIBRA T/FLAP  T/AN 4 1/2"" (115mm) GRANO GRUESO"</t>
  </si>
  <si>
    <t>""DISCO DE FIBRA T/FLAP T/ANGULAR 4 1/2"" (115mm) GRANO MEDIO"</t>
  </si>
  <si>
    <t>""DISCO DE FIBRA T/FLAP T/ANGULAR 4 1/2"" (115mm) GRANO FINO"</t>
  </si>
  <si>
    <t>""DISCO DE FIBRA T/FLAP T/ANGULAR 4 1/2"" (115mm) GRANO EXTRA FINO"</t>
  </si>
  <si>
    <t>""DISCO DE FIBRA T/FLAP T/PLANO 4 1/2"" (115mm) GRANO GRUESO"</t>
  </si>
  <si>
    <t>""DISCO DE FIBRA T/FLAP T/PLANO 4 1/2"" (115mm) GRANO MEDIO"</t>
  </si>
  <si>
    <t>""DISCO DE FIBRA T/FLAP T/PLANO 4 1/2"" (115mm) GRANO FINO"</t>
  </si>
  <si>
    <t>""DISCO DE FIBRA T/FLAP T/PLANO 4 1/2"" (115mm) GRANO EXTRA FINO"</t>
  </si>
  <si>
    <t>PUNTERA PZ2 x 25mm. (100puntas.) EN POTE PLASTICO</t>
  </si>
  <si>
    <t>SET 3 PCS PUNTAS MAGNETICAS ADAPTADORAS 6mm - 8mm - 10mm</t>
  </si>
  <si>
    <t>SIERRA SABLE MADERA  9" MADERA CON CLAVO 10-175mm. X 5PCS</t>
  </si>
  <si>
    <t>HOJAS DE CALAR SET B: B-50 x 4pcs  B-51  B-52  B-53 x 2pcs each</t>
  </si>
  <si>
    <t>""DADO MAGNETICO 1/4"" x 2-9/16""x 7/16"""</t>
  </si>
  <si>
    <t>PUNTERA PH2 x 25mm. (100puntas.) EN POTE PLASTICO</t>
  </si>
  <si>
    <t>DISCO ABRA. CORTE INOX. 115 x 0.8 x 22.23mm.(Z60T).</t>
  </si>
  <si>
    <t>DISCO ABRASIVO 1.6mm  CORTE METAL - INOX  (A36S-BF) 115X1.6X22.23</t>
  </si>
  <si>
    <t>Sierra de corona de diamante 25MM.</t>
  </si>
  <si>
    <t>BROCA SDS-V-PLUS MAK2 5x110mm</t>
  </si>
  <si>
    <t>BROCA SDS-V-PLUS MAK2 5x160mm</t>
  </si>
  <si>
    <t>BROCA SDS-V-PLUS MAK2 6x110mm</t>
  </si>
  <si>
    <t>BROCA SDS-V-PLUS MAK2 6x160mm</t>
  </si>
  <si>
    <t>BROCA SDS-V-PLUS MAK2 8x160mm</t>
  </si>
  <si>
    <t>BROCA SDS-V-PLUS MAK2 10x160mm</t>
  </si>
  <si>
    <t>BROCA SDS-V-PLUS MAK2 12x160mm</t>
  </si>
  <si>
    <t>BROCA SDS-V-PLUS MAK2 6x210mm</t>
  </si>
  <si>
    <t>BROCA SDS-V-PLUS MAK2 6x260mm</t>
  </si>
  <si>
    <t>BROCA SDS-V-PLUS MAK2 6.5x110mm</t>
  </si>
  <si>
    <t>BROCA SDS-V-PLUS MAK2 6.5x160mm</t>
  </si>
  <si>
    <t>BROCA SDS-V-PLUS MAK2 8 x 210 mm.</t>
  </si>
  <si>
    <t>BROCA SDS-V-PLUS MAK2 8x260mm</t>
  </si>
  <si>
    <t>BROCA SDS-V-PLUS MAK2 10x210mm</t>
  </si>
  <si>
    <t>BROCA SDS-V-PLUS MAK2 10x260mm</t>
  </si>
  <si>
    <t>BROCA SDS-V-PLUS MAK2 10x310mm</t>
  </si>
  <si>
    <t>BROCA SDS-V-PLUS MAK2 10x350mm</t>
  </si>
  <si>
    <t>BROCA SDS-V-PLUS MAK2 10x450mm</t>
  </si>
  <si>
    <t>BROCA SDS-V-PLUS MAK2 12x210mm</t>
  </si>
  <si>
    <t>BROCA SDS-V-PLUS MAK2 12x260mm</t>
  </si>
  <si>
    <t>BROCA SDS-V-PLUS MAK2 12x310mm</t>
  </si>
  <si>
    <t>BROCA SDS-V-PLUS MAK2 12x450mm</t>
  </si>
  <si>
    <t>BROCA SDS-V-PLUS MAK2 13 x 160 mm.</t>
  </si>
  <si>
    <t>BROCA SDS-V-PLUS MAK2 13 x 210 mm.</t>
  </si>
  <si>
    <t>BROCA SDS-V-PLUS MAK2  13 x 260 mm.</t>
  </si>
  <si>
    <t>BROCA SDS-V-PLUS MAK2 13 x 310 mm.</t>
  </si>
  <si>
    <t>BROCA SDS-V-PLUS MAK2 15 x 160 mm.</t>
  </si>
  <si>
    <t>BROCA SDS-V-PLUS MAK2 15 x 260 mm.</t>
  </si>
  <si>
    <t>BROCA SDS-V-PLUS MAK2 15 x 450 mm.</t>
  </si>
  <si>
    <t>BROCA SDS-V-PLUS MAK2 16 x 210 mm.</t>
  </si>
  <si>
    <t>BROCA SDS-V-PLUS MAK2 16 x 310 mm.</t>
  </si>
  <si>
    <t>BROCA SDS-V-PLUS MAK2 16 x 450 mm.</t>
  </si>
  <si>
    <t>BROCA SDS-V-PLUS MAK2 18 x 450 mm.</t>
  </si>
  <si>
    <t>BROCA SDS-V-PLUS MAK2 19 x 200 mm.</t>
  </si>
  <si>
    <t>BROCA SDS-V-PLUS MAK2 19 x 450 mm.</t>
  </si>
  <si>
    <t>BROCA SDS-V-PLUS MAK2 20 x 200 mm.</t>
  </si>
  <si>
    <t>BROCA SDS-V-PLUS MAK2 20 x 300 mm.</t>
  </si>
  <si>
    <t>BROCA SDS-V-PLUS MAK2 22 x 250 mm.</t>
  </si>
  <si>
    <t>BROCA SDS-V-PLUS MAK2 22 x 450 mm.</t>
  </si>
  <si>
    <t>BROCA SDS-V-PLUS MAK2 24 x 250 mm.</t>
  </si>
  <si>
    <t>BROCA SDS-V-PLUS MAK2 24 x 450 mm.</t>
  </si>
  <si>
    <t>BROCA SDS-V-PLUS MAK2 25 x 450 mm.</t>
  </si>
  <si>
    <t>""DISCO ABRASIVO PARA METAL ""Flexible"" (WA36P-BF) 4-1/2"" (115x4.0x22.23 mm.)"</t>
  </si>
  <si>
    <t>""DISCO ABRASIVO CORTE - DESBASTE PARA METAL ""2 en 1""(A36T) 4-1/2"" (115x3.2x22.23 mm.)"</t>
  </si>
  <si>
    <t>SIERRA RECIPROCA P/ HIELO 152mm X 1.2mm (6TPI)</t>
  </si>
  <si>
    <t>SET BROCAS SDS-PLUS PUNTO CENTRO 5/6/8x110MM-6/8x160MM. (5PCS)</t>
  </si>
  <si>
    <t>Set x43 pzs de puntas para atornillar (Torx, PH, PZ, Allen de 25mm y 75mm, llave de vaso magnética y portapuntas)</t>
  </si>
  <si>
    <t>DISCO SIERRA PARA ALUMINIO 165 x 20.0 x 2.00mm.56 DIENTES {DHS660-661-680/DSP600-601/SP6000}</t>
  </si>
  <si>
    <t>SET DE BROCAS SDS-PLUS COMBINADO (3,4mm) METAL (4,5,6mm) MADERA 5 PIEZAS</t>
  </si>
  <si>
    <t>SET DADOS MAGNETICO MILIMETRICOS MEDIDAS (8,10,12,13mm) LARGO DE 48mm 4 PIEZAS</t>
  </si>
  <si>
    <t>ADAPTADOR ENCASTRE 1/4?A DADOS 3/8? x150mm RECTO PARA ATORNILLADOR DE IMPACTO</t>
  </si>
  <si>
    <t>PUNTA LARGA PH1 TRABAJOS ESPECIALES (BORDE SUAVE)  90mm</t>
  </si>
  <si>
    <t>PUNTA LARGA PH2 TRABAJOS ESPECIALES (BORDE SUAVE)  90mm</t>
  </si>
  <si>
    <t>PUNTA LARGA PH3 TRABAJOS ESPECIALES (BORDE SUAVE)  90mm</t>
  </si>
  <si>
    <t>PUNTA LARGA PH1 TRABAJOS ESPECIALES (BORDE SUAVE)  150mm</t>
  </si>
  <si>
    <t>PUNTA LARGA PH2 TRABAJOS ESPECIALES (BORDE SUAVE)  150mm</t>
  </si>
  <si>
    <t>PUNTA LARGA PH3 TRABAJOS ESPECIALES (BORDE SUAVE)  150mm</t>
  </si>
  <si>
    <t>BROCA NEMESIS 2 SOLID 6x115</t>
  </si>
  <si>
    <t>BROCA NEMESIS 2 SOLID 6x165</t>
  </si>
  <si>
    <t>BROCA NEMESIS 2 SOLID 6x265</t>
  </si>
  <si>
    <t>BROCA SDS-PLUS NEMESIS II  8.0 x 100 x 160mm. *****</t>
  </si>
  <si>
    <t>BROCA NEMESIS 10x215</t>
  </si>
  <si>
    <t>BROCA NEMESIS 2 SOLID 10x265</t>
  </si>
  <si>
    <t>BROCA NEMESIS 2 SOLID 12x160</t>
  </si>
  <si>
    <t>BROCA NEMESIS 2 SOLID 12x260</t>
  </si>
  <si>
    <t>BROCA SDS-PLUS NEMESIS II  12.0 x 550 x 600mm.</t>
  </si>
  <si>
    <t>4C-PLUS 14x160</t>
  </si>
  <si>
    <t>BROCA NEMESIS 2 SOLID 16x160</t>
  </si>
  <si>
    <t>BROCA SDS-PLUS NEMESIS II  16.0 x 210 x 260mm. *****</t>
  </si>
  <si>
    <t>Centering tip drill for SDS-PLUS hammers set(5pc.)6×110</t>
  </si>
  <si>
    <t>""Disco abra. Corte 9"" (230X2.0X22.23MM) A36S"</t>
  </si>
  <si>
    <t>""BROCA SDS-MAX 1/2"" x 8"" x 13"" - DOS CORTES"</t>
  </si>
  <si>
    <t>""BROCA SDS-MAX 1/2"" x 16"" x 21"" - DOS CORTES"</t>
  </si>
  <si>
    <t>BROCA SDS-MAX 5/8"" x 8"" x 13"" - SEIS CORTES</t>
  </si>
  <si>
    <t>""BROCA SDS-MAX 5/8"" x 16"" x 21"" - SEIS CORTES"</t>
  </si>
  <si>
    <t>""BROCA SDS-MAX 3/4"" x 8"" x 13"" - SEIS CORTES"</t>
  </si>
  <si>
    <t>""BROCA SDS-MAX 3/4"" x 16"" x 21"" - SEIS CORTES"</t>
  </si>
  <si>
    <t>BROCA SDS-MAX 7/8"" x 16"" x 21"" - SEIS CORTES</t>
  </si>
  <si>
    <t>""BROCA SDS-MAX 1"" x 8"" x 13"" - SEIS CORTES"</t>
  </si>
  <si>
    <t>""BROCA SDS-MAX 1"" x 16"" x 21"" - SEIS CORTES"</t>
  </si>
  <si>
    <t>BROCA SDS-PLUS P/EXTRACCION DE POLVO 12 x 330mm</t>
  </si>
  <si>
    <t>BROCA SDS-PLUS P/EXTRACCION DE POLVO 16 x 360mm</t>
  </si>
  <si>
    <t>BROCA SDS-MAX P/EXTRACCION DE POLVO 16 x 600mm</t>
  </si>
  <si>
    <t>BROCA SDS-MAX P/EXTRACCION DE POLVO 20 x 600mm</t>
  </si>
  <si>
    <t>DISCO DE CORTE 355x2x25.4MM</t>
  </si>
  <si>
    <t>CUCHILLA RECTA CORTE MADERA DURA 32 x 50mm.FILO {TMA051} HCS.STARLOCK.</t>
  </si>
  <si>
    <t>CUCHILLA RECTA CORTE MADERA DURA 32 x 40mm.FILO {TMA053} STARLOCK</t>
  </si>
  <si>
    <t>CUCHILLA DELTA RETIRO PEGAMENTO 78mm.Gr30.{TMA025} CARBURADA - STARLOCK</t>
  </si>
  <si>
    <t>BROCA SDS-MAX 3/8"" x 8"" x 13" - DOS CORTES</t>
  </si>
  <si>
    <t>SET BROCAS Y PUNTAS 34PCs</t>
  </si>
  <si>
    <t>PORTATIL COSECHADORA DE CAFÉ 24 mm.</t>
  </si>
  <si>
    <t>PORTATIL COSECHADORA DE CAFÉ 26 mm.</t>
  </si>
  <si>
    <t>TCT ANNULAR CUTTERS for Magnetic Drill Depth Of Cut 35mm×φ12mm</t>
  </si>
  <si>
    <t>TCT ANNULAR CUTTERS FOR MAGNETIC DRILL DEPTH OF CUT 35mm×Φ14mm</t>
  </si>
  <si>
    <t>TCT ANNULAR CUTTERS FOR MAGNETIC DRILL DEPTH OF CUT 35mm×Φ16mm</t>
  </si>
  <si>
    <t>TCT ANNULAR CUTTERS FOR MAGNETIC DRILL DEPTH OF CUT 35mm×Φ18mm</t>
  </si>
  <si>
    <t>TCT ANNULAR CUTTERS FOR MAGNETIC DRILL DEPTH OF CUT 35mm×Φ20mm</t>
  </si>
  <si>
    <t>TCT ANNULAR CUTTERS FOR MAGNETIC DRILL DEPTH OF CUT 35mm×Φ22mm</t>
  </si>
  <si>
    <t>TCT ANNULAR CUTTERS FOR MAGNETIC DRILL DEPTH OF CUT 35mm×Φ24mm</t>
  </si>
  <si>
    <t>TCT ANNULAR CUTTERS FOR MAGNETIC DRILL DEPTH OF CUT 35mm×Φ28mm</t>
  </si>
  <si>
    <t>TCT ANNULAR CUTTERS FOR MAGNETIC DRILL DEPTH OF CUT 35mm×Φ32mm</t>
  </si>
  <si>
    <t>TCT ANNULAR CUTTERS FOR MAGNETIC DRILL DEPTH OF CUT 50mm×Φ16mm</t>
  </si>
  <si>
    <t>TCT ANNULAR CUTTERS FOR MAGNETIC DRILL DEPTH OF CUT 50mm×Φ18mm</t>
  </si>
  <si>
    <t>TCT ANNULAR CUTTERS FOR MAGNETIC DRILL DEPTH OF CUT 50mm×Φ20mm</t>
  </si>
  <si>
    <t>TCT ANNULAR CUTTERS FOR MAGNETIC DRILL DEPTH OF CUT 50mm×Φ22mm</t>
  </si>
  <si>
    <t>TCT ANNULAR CUTTERS FOR MAGNETIC DRILL DEPTH OF CUT 50mm×Φ28mm</t>
  </si>
  <si>
    <t>TCT ANNULAR CUTTERS FOR MAGNETIC DRILL DEPTH OF CUT 50mm×Φ32mm</t>
  </si>
  <si>
    <t>Convertidor de corriente DC/AC / 1400 W (SIN BATERÍA/SIN CARGADOR)</t>
  </si>
  <si>
    <t>Desbrozadora Inal. 36 V BL Motor (inc. Bateria/cargador)</t>
  </si>
  <si>
    <t>""LIJADORA ORBITAL INALAMBRICA 125 mm (5"") 18 V"</t>
  </si>
  <si>
    <t>SOPLADORA A COMBUSTION 75.6 mL - 1.9 L - 4 TIEMPOS</t>
  </si>
  <si>
    <t>Bicicleta Asistida por Motor - Lithium 18v.</t>
  </si>
  <si>
    <t>Ventilador Inalámbrico 14.4v./18v. Multi amperaje 2.4 Kg. S/Bateria</t>
  </si>
  <si>
    <t>Pistola de Calafatear InalÃ¡mbrica 18V. F.Empuje 5000N. 2.1 Kg. Soporte PVC+Lentes S/Baterias</t>
  </si>
  <si>
    <t>ASPIRADORA INLAMBRICA 1.0 m3/min (SUCCION 4.0 kPa) 18 V</t>
  </si>
  <si>
    <t>""Cortadora Circular de Metal Inalambrica 5.3/8"" 18V. 3.0 Ah. 3600 RPM Corte Max. 2"" 2.6 Kg."</t>
  </si>
  <si>
    <t>""TALADRO ANGULAR INALAMBRICO 10 mm (3/8"") 18 V"</t>
  </si>
  <si>
    <t>""ATORNILLADOR INALAMBRICO 13 mm (1/2"") 18 V"</t>
  </si>
  <si>
    <t>""Taladro Rotacion Inalámbrico 1/2"" 18V. 3.0 Ah. 0-400/0-2000 RPM 2.3 Kg. 91/58 Nm. XPT S/Bateria"</t>
  </si>
  <si>
    <t>""ATORNILLADOR INALAMBRICO 13 mm (1/2"") 18 V - BL MOTOR"</t>
  </si>
  <si>
    <t>""ATORNILLADOR INALAMBRICO 4 mm (5/32"") 18 V"</t>
  </si>
  <si>
    <t>""ESMERIL ANGULAR INALAMBRICO 115 mm (4-1/2"") (2 BATERIAS + CARGADOR) - 18V"</t>
  </si>
  <si>
    <t>""ESMERIL ANGULAR  INALAMBRICA 115 mm (4 1/2"") 18V"</t>
  </si>
  <si>
    <t>""Rectificador Inalámbrico collet 1/4"" 18V. 26000 RPM 1.7 Kg. S/Baterias"</t>
  </si>
  <si>
    <t>""Rectificador Inalámbrico collet 1/4"" 18V. 25000 RPM 1.7 Kg. Diseño Corto S/Baterias"</t>
  </si>
  <si>
    <t>Cosechador de Olivo Inal. 36V</t>
  </si>
  <si>
    <t>TALADRO PERCUTOR INALAMBRICO 13 mm (1/2) 18 V</t>
  </si>
  <si>
    <t>""Taladro Percutor Inalámbrico 1/2"" 18V. 3.0 Ah. 0-400/0-1500 RPM 1.5 Kg. 50/36 Nm."</t>
  </si>
  <si>
    <t>""Taladro Percutor Inalámbrico 1/2"" 18V. 3.0 Ah. 0-400/0-1500 RPM 1.5 Kg. 50/36 Nm. S/Bateria"</t>
  </si>
  <si>
    <t>""TALADRO PERCUTOR INALAMBRICO 13 mm (1/2"") 18 V"</t>
  </si>
  <si>
    <t>""TALADRO PERCUTOR INLAMBRICO CON VELOCIDAD VARIABLE 13 mm (1/2"") 18 V - BL MOTOR"</t>
  </si>
  <si>
    <t>""TALADRO PERCUTOR INALAMBRICO 13 mm (1/2"") 18 V - BL MOTOR"</t>
  </si>
  <si>
    <t>""ROTOMARTILLO COMBINADO INALAMBRICO ADAPTADO PARA SDS-PLUS 20 mm (13/16"") 18 V"</t>
  </si>
  <si>
    <t>""ROTOMARTILLO COMBINADO INLAMBRICO ADAPTADO PARA SDS-PLUS 20 mm (13/16"") 18 V"</t>
  </si>
  <si>
    <t>""ROTOMARTILLO COMBINADO INALAMBRICO ADAPTADO PARA SDS-PLUS BITS 24 mm (15/16"") 18V - BL MOTOR"</t>
  </si>
  <si>
    <t>Martillo Rotatorio Inalámbrico SDS Plus 36V. 2.6 Ah. 3 Funciones 4.5 Kg.</t>
  </si>
  <si>
    <t>Martillo Rotatorio Inalámbrico SDS Plus 36V. (18V. x 2) 3.0Ah. 3 Funciones 4.5Kg. (3 Baterias 18v.)</t>
  </si>
  <si>
    <t>""Sierra Circular Inalámbrica 6.1/2"" 18v. 3.0 Ah. 3100 RPM Corte Max. 2.5/8"" 3.5 Kg."</t>
  </si>
  <si>
    <t>""Sierra circular Inal. 6-1/2"" 18V / 3100 RPM / Cap Corte 2-5/8""  / Sin Baterías"</t>
  </si>
  <si>
    <t>Sopladora MM4 1.1 hp 64.6 m/s</t>
  </si>
  <si>
    <t>Roedora Inalámbrica 1.6 mm 18V. 3.0 Ah. 1900 CPM 2.2 Kg. 42/24 Nm.</t>
  </si>
  <si>
    <t>Roedora Inalámbrica 1.6 mm 18V. 3.0 Ah. 1900 CPM 2.2 Kg. 42/24 Nm. S/Baterias</t>
  </si>
  <si>
    <t>SIERRA RECIPROCA 18V. 3Ah. LI-ION MAKITA</t>
  </si>
  <si>
    <t>Cizalla Recta Inalámbrica 18V. 3.0 Ah. 2800 RPM Corte Max. 1.3mm 2.2 Kg.</t>
  </si>
  <si>
    <t>CIZALLA PARA METAL INALAMBRICA 1 3 mm - 18 V</t>
  </si>
  <si>
    <t>CIZALLA RECTA INALAMBRICA 1.6 mm - 18 V</t>
  </si>
  <si>
    <t>CEPILLO INALAMBRICO 82 mm (3-1/4"") 18 V</t>
  </si>
  <si>
    <t>Bateria para casacas/ chalecos 16 Ah</t>
  </si>
  <si>
    <t>Cortacesped Inal. 430 mm (17") 36 V (inc. bateria/cargador)</t>
  </si>
  <si>
    <t>""SIERRA COMPUESTA INALAMBRICA CON ALTO TORQUE 190 mm (7-1/2"") 18 V"</t>
  </si>
  <si>
    <t>Linterna-K Ml240 Bateria</t>
  </si>
  <si>
    <t>Clavadora de Concreto XGT 40V/BL/XPT Capacidad Clavos 40mm/Sin Baterías</t>
  </si>
  <si>
    <t>Lijadora Rotorbital XGT 40Vmax/5"/6 000-10 000 Rpm/BL-AWS-XPT/Sin Baterias</t>
  </si>
  <si>
    <t>Lijadora Orbital XGT 40Vmax/1/3"/6 000-12 000 Rpm/BL-AWS-XPT/Sin Baterias</t>
  </si>
  <si>
    <t>Lijadora Orbital 1/3 Pliego 92 X 185 mm. 180W. 1.6Kg.</t>
  </si>
  <si>
    <t>Lijadora Orbital 1/3 Pliego 92 x 185 mm. 180w. 1.6Kg. Vel. Variable .</t>
  </si>
  <si>
    <t>Lijadora Orbital 1/4 Pliego 112 X 102 mm. 200W. 14 000 Opm. 1.1Kg.</t>
  </si>
  <si>
    <t>Lijadora Roto Orbital 5" 300W. 12 000 Opm. 1.3Kg</t>
  </si>
  <si>
    <t>Lijadora Roto Orbital 5" 300W. 4 000-12 000 Opm. 1.4Kg. DoBLe Mango"</t>
  </si>
  <si>
    <t>""Lijadora Roto Orbital 6"" 310w. 4 000-10 000 opm. 2.4Kg."</t>
  </si>
  <si>
    <t>""Lijadora Roto Orbital 6"" 750w. 1 600-5 800 opm. 3.1Kg."</t>
  </si>
  <si>
    <t>""Lijadora Roto Orbital 6"" 750w. 1 600-6 800 opm. 2.6Kg. Maletin"</t>
  </si>
  <si>
    <t>ENGALLETADORA INALAMBRICA 100 mm - 18 V</t>
  </si>
  <si>
    <t>Lijadora De Banda  XGT 40Vmax/3 X 21"/470 Rpm/BL-AWS-XPT/Sin Baterias</t>
  </si>
  <si>
    <t>XGT Belt Sander</t>
  </si>
  <si>
    <t>Lijadora De Banda de Tubo XGT 40V max/Lijas 40x76mm/Sin Baterias</t>
  </si>
  <si>
    <t>""Sierra Circular Inalámbrica 5.3/8"" 18v. 3.0 Ah. 3600 RPM Corte Max. 2"" 2.7 Kg."</t>
  </si>
  <si>
    <t>""SIERRA CIRCULAR INALAMBRICA 136 mm (5-3/8"") 18 V"</t>
  </si>
  <si>
    <t>""SIERRA CIRCULAR INALAMBRICA 165 mm (6-1/2"") 18 V"</t>
  </si>
  <si>
    <t>""Sierra circular Inal. 6-1/2"" 18V / 3700 RPM / Cap corte 2-1/4"" / Sin Baterías"</t>
  </si>
  <si>
    <t>""ENGRAPADORA INALAMBRICA 10 mm (3/8"") 18 V"</t>
  </si>
  <si>
    <t>""Atornillador de Impacto 1/4"" 18V. 3.0 Ah. 3 Velocidades 1.5 Kg. 170 Nm. BL S/Bateria"</t>
  </si>
  <si>
    <t>MULTITOOLS 18V. 3Ah. LI-ION  MAKITA</t>
  </si>
  <si>
    <t>Multi Tool Inalámbrica 18v. 6000-20000 OPM 1.8 Kg. S/Baterias</t>
  </si>
  <si>
    <t>""Taladro Atornillador de Impacto 1/4"" 18V. 4 funciones 150 Nm. 1.6 Kg. BL S/Bateria"</t>
  </si>
  <si>
    <t>""LLAVE DE IMPACTO INALAMBRICA 12.7 mm (1/2"") 18 V"</t>
  </si>
  <si>
    <t>SOPLADOR INALAMBRICO 2.6 m3/min (PRESION: 5.4 kPa) 18V</t>
  </si>
  <si>
    <t>""ELECTRO SIERRA INALAMBRICA 115 mm (4-1/2"") (CAD: 1/4"") (2 BATERIAS + CARGADOR) 18 V"</t>
  </si>
  <si>
    <t>""Sierra de cadena Inal. 4-1/2"" 18 V"</t>
  </si>
  <si>
    <t>""Sierra de cadena Inal. 9-7/8"" 18V"</t>
  </si>
  <si>
    <t>Cortasetos Inal. 550 mm 36 V (inc. Bateria/cargador)</t>
  </si>
  <si>
    <t>""CORTA SETOS INALAMBRICA 550 mm (21-5/8"") 36 V"</t>
  </si>
  <si>
    <t>Cultivador Inal. 245 mm 36 V (inc. bateria/cargador)</t>
  </si>
  <si>
    <t>""Tijeras corta hierba Inal. 6-5/16"" 18 V"</t>
  </si>
  <si>
    <t>Desbrozadora Inal. 18 V LXT</t>
  </si>
  <si>
    <t>Desbrozadora Inal 18 V LXT XPT BL Motor</t>
  </si>
  <si>
    <t>Desbrozadora eje curvo 36 V BL Motor</t>
  </si>
  <si>
    <t>Multifuncional Inal. 36V (inc. acc. Desbrozadora)</t>
  </si>
  <si>
    <t>Pulverizadora Inal. 18V LXT (inc. Bateria 3Ah)</t>
  </si>
  <si>
    <t>Fresadora para ranuras / 1 300W / Base para riel</t>
  </si>
  <si>
    <t>Manta térmica 12V / CXT /  3 niveles / Polyester / Marrón / Sin Baterías</t>
  </si>
  <si>
    <t>""Cortadora de vidrio Inal. 3-3/8"" 12V/ 1 400 RPM / Cap. Corte 1""/Blanco / VersaPack / 2 Bat 1.3Ah + C"</t>
  </si>
  <si>
    <t>Cortadora de vidrio  3-3/8" 12V/ 1 400 RPM / Cap. Corte 1" / CXT /  2 Bat 1.5Ah</t>
  </si>
  <si>
    <t>""Cortadora de Vidrio 3-3/8"" CXT 12V / 1 600 RPM / Cap. Corte 1"" / Sin Baterías"</t>
  </si>
  <si>
    <t>""CORTADORA INALAMBRICA 85 mm (3-3/8"") 12 V.MAX S/BATERIA"</t>
  </si>
  <si>
    <t>Cortadora De Concreto 14" XGT 40Vx2 (80Vmax)/BL-Aft-XPT-Wg-Ipx4/Sin Baterías (Seco)+Disco</t>
  </si>
  <si>
    <t>Cortadora De Concreto 14" XGT 40Vx2 (80Vmax)/BL-Aft-Xp-Wg-Ipx4/Sin Baterías (Seco)</t>
  </si>
  <si>
    <t>Cortadora De Concreto 9" XGT 40Vmax/BL-Aft-Xp-Wg-Ipx4/Sin Baterías (Seco)</t>
  </si>
  <si>
    <t>Ventilador XGT 40 Vmax - LXT 18V -Ca (9 1/4")/3 Velocidades/Sin Baterías</t>
  </si>
  <si>
    <t>Ventilador XGT</t>
  </si>
  <si>
    <t>Ventilador XGT 40Vmax/Ca-Cc/330mm (13")/3 Velocidades/Sin Baterías</t>
  </si>
  <si>
    <t>Ventilador XGT 40 Vmax - LXT 18V -Ca/450mm (17-3/4")/3 Velocidades/Sin Baterías</t>
  </si>
  <si>
    <t>Cordless fan powered by LXT18V battery / XGT 40V Max battery</t>
  </si>
  <si>
    <t>""Ventilador 12V / 180mm ( 7 - 1/8"") / 3 Vel. / Sin Baterías"</t>
  </si>
  <si>
    <t>Ventilador Inalámbrico 18V. S/Baterias</t>
  </si>
  <si>
    <t>""Ventilador 12V / 180mm ( 7 - 1/8"") / 3 Vel. / Movil /  Sin Baterías"</t>
  </si>
  <si>
    <t>Pistola calafetear Inalambrica 12V / 5 000N / 0-28mm sec</t>
  </si>
  <si>
    <t>Casaca térmica 12V / 3 zonas de calor / 3 Niv. de Temp /  L / Versapack /Sin Baterías</t>
  </si>
  <si>
    <t>Casaca Térmica 12V/5 Zonas De Calor/CXT/2Xl/Sin Baterías</t>
  </si>
  <si>
    <t>Casaca Térmica 12V/5 Zonas De Calor/CXT/3Xl/Sin Baterías</t>
  </si>
  <si>
    <t>Casaca térmica 12V / 5 zonas de Calor / CXT / L / Sin baterías</t>
  </si>
  <si>
    <t>Casaca térmica 12V / 5 zonas de Calor / CXT /M / Sin baterías</t>
  </si>
  <si>
    <t>Casaca térmica 12V / 5 zonas de Calor / CXT / S / Sin baterías</t>
  </si>
  <si>
    <t>Casaca térmica 12V / 5 zonas de Calor / CXT / XL / Sin baterías</t>
  </si>
  <si>
    <t>Aspiradora inal. Bastón Negra/Azul XGT 40V / 21 KPa / 750ml (Sin Batería/Cargador)</t>
  </si>
  <si>
    <t>Aspiradora Inal Bastón Azul XGT 40V / 20 kPa  / 250ml / 1.0m3/min (Inc.Batx01 4Ah+Cargador)</t>
  </si>
  <si>
    <t>Aspiradora inal. Bastón Negra XGT 40V / 20 KPa / 250ml / 1.0m3/min (Sin Baterias/Cargador)</t>
  </si>
  <si>
    <t>Aspiradora inal. Bastón Blanca XGT 40V / 20 KPa / 250ml / 1.0m3/min (Sin Baterias/Cargador)</t>
  </si>
  <si>
    <t>Aspiradora inal. bastón Blanca C/Cepillo Giratorio XGT 40V / 20 KPa / 250ml  (BL4025x01/DC40RAx01)</t>
  </si>
  <si>
    <t>ASPIRADORA INALAMBRICA (FLUJO DE AIRE: 0.9 m3/min) (SUCCION: 2.3 kPa) 10.8 V</t>
  </si>
  <si>
    <t>Aspiradora InalÃ¡mbrica 12V / 500ml / 1.5 Ah / 1.1kg / BaterÃ­a Integrada</t>
  </si>
  <si>
    <t>Aspiradora Inalámbrica 12V / 600ml / 3.1 Kpa / Flujo 1.3m³ / CXT / Sin Baterías</t>
  </si>
  <si>
    <t>Aspiradora Inalámbrica 12V / 500ml / 5.0 kPa / Flujo 1.4m³ / CXT (inc. bateriaX1 1.5Ah + cargador)</t>
  </si>
  <si>
    <t>Aspiradora Inal Bastón Azul CXT 12V / 5.0 kPa / 500ml / Flujo 1.4m³ /  (Sin Baterías/cargador)</t>
  </si>
  <si>
    <t>Aspiradora Inalámbrica 12V/ 600ml / 4.4 kPa / Flujo 1.2m³ / CXT (inc. bateriaX1 2Ah + cargador)</t>
  </si>
  <si>
    <t>Aspiradora Inalámbrica 12V/ 600ml / 4.4 kPa / Flujo 1.2m³ / CXT / Sin Baterías</t>
  </si>
  <si>
    <t>Aspiradora inal. Bastón Blanca CXT 12V / 4.4 KPa / 600ml / Flujo 1.2m³/ (Sin Baterías/Cargador)</t>
  </si>
  <si>
    <t>Aspiradora Inalámbrica Blanca 12V/ 5 kPa / Fl ujo 1.4m³ / CXT (inc. bateriaX1 2Ah + cargador)</t>
  </si>
  <si>
    <t>Aspiradora inal Bastón Azul 12V/ 5 KPa / Flujo 1.0 m³/min / 650 ml (Bat integrada 2Ah + Carg)</t>
  </si>
  <si>
    <t>Aspiradora inal. Bastón Verde 12V / 5 KPa / Flujo 1.0 m³/min / 650 ml (Bat Integrada 2Ah + Carg)</t>
  </si>
  <si>
    <t>Aspiradora inal. Bastón Morado 12V / 5 KPa / Flujo 1.0 m³/min / 650 ml (Bat Integrada 2Ah + Carg)</t>
  </si>
  <si>
    <t>Aspiradora Inalámbrica 12V/ 500ml/4.6 kPa /Flujo 1.3m³/CXT (inc.bateriaX1 4Ah+carg.+male</t>
  </si>
  <si>
    <t>Aspiradora Inalámbrica 12V/ 500ml / 4.6 kPa / Flujo 1.3m³ / CXT Sin Baterías (limpieza auto)</t>
  </si>
  <si>
    <t>Aspiradora InalÃ¡mbrica 18V./ 600ml. Flujo 1.2mÂ³ / G-Battery /BaterÃ­a 1.5 ah + Cargador</t>
  </si>
  <si>
    <t>Aspiradora Inalámbrica 18V./ 600ml / 2.6kPa / Flujo 1.2m³ / G-Battery / Sin Baterías</t>
  </si>
  <si>
    <t>Aspiradora inal. Bastón Blanca CXT 12V / 14 KPa / 250ml / 0.8m3/min (Sin Baterias/Cargador)</t>
  </si>
  <si>
    <t>Kit 12V CXT/Taladro Percutor Hp333 + Atornillador Impacto Td110 + 2 Bat 1.5Ah + C</t>
  </si>
  <si>
    <t>Cortador  12V / 300 RPM / CXT / 1 x Bat 2.0Ah</t>
  </si>
  <si>
    <t>Cortador  12V / 300 RPM / CXT / Sin baterías</t>
  </si>
  <si>
    <t>Cortadora Circular De Metal 7-1/4" XGT 40Vmax/Cap. Corte 2-5/8"/BL-Brake-Aft-XPT/Sin Baterías</t>
  </si>
  <si>
    <t>""Cortadora Circular de Metal 7-1/4"" XGT 40Vmax / Cap. Corte 2-5/8"" / BL-F.E.-AFT-XPT / Sin Baterías"</t>
  </si>
  <si>
    <t>Chaleco térmico 12 V / 2 zonas de calor /3 Niv. de Temp /  L / Versapack /Sin Baterías</t>
  </si>
  <si>
    <t>Chaleco térmico 12 V / 2 zonas de calor /3 Niv. de Temp /  L / CXT /Sin Baterías</t>
  </si>
  <si>
    <t>Chaleco  Térmico 12V/4 Zonas De Calor/CXT/2Xl/Sin Baterías</t>
  </si>
  <si>
    <t>Chaleco  Térmico 12V/4 Zonas De Calor/CXT/3Xl/Sin Baterías</t>
  </si>
  <si>
    <t>Chaleco  térmico 12V / 4 zonas de Calor / CXT / L / Sin baterías</t>
  </si>
  <si>
    <t>Chaleco  térmico 12V / 4 zonas de Calor / CXT / M / Sin baterías</t>
  </si>
  <si>
    <t>Chaleco  Térmico 12V/4 Zonas De Calor/CXT/S/Sin Baterías</t>
  </si>
  <si>
    <t>Chaleco  Térmico 12V/4 Zonas De Calor/CXT/Xl/Sin Baterías</t>
  </si>
  <si>
    <t>Cooler/Calentador XGT-LXT-Ac/50L/Frío (-18° A 10°)/Caliente (30° A 60°)/Ipx4/Sin Baterías</t>
  </si>
  <si>
    <t>Cooler/Calentador XGT-LXT-Ac/7L/Frío (-18° A 10°)/Caliente (30° A 60°)/Sin Baterías</t>
  </si>
  <si>
    <t>Cooler/Calentador XGT-LXT-Ac/29L/Frío (-18° A 10°)/Caliente (30° A 60°)/Ipx4/Sin Baterías</t>
  </si>
  <si>
    <t>BROCA SDS-PLUS 5.0 x 42 x 110 mm.**</t>
  </si>
  <si>
    <t>BROCA SDS PLUS StandMak  5 X 160 mm.</t>
  </si>
  <si>
    <t>BROCA SDS PLUS StandMak  5.5 X 110 mm.</t>
  </si>
  <si>
    <t>BROCA SDS PLUS StandMak  6 X 110 mm.</t>
  </si>
  <si>
    <t>BROCA SDS PLUS StandMak  6 X 160 mm.</t>
  </si>
  <si>
    <t>BROCA SDS-PLUS StandMak  6.0 x 210 mm.</t>
  </si>
  <si>
    <t>BROCA SDS PLUS StandMak  6.5 X 110 mm.</t>
  </si>
  <si>
    <t>BROCA SDS-PLUS StandMak 6.5 x 160 mm.</t>
  </si>
  <si>
    <t>BROCA SDS-PLUS 7 x 110 mm.</t>
  </si>
  <si>
    <t>BROCA SDS-PLUS 7 X 160 mm.</t>
  </si>
  <si>
    <t>BROCA SDS-PLUS 8 X 110 mm.</t>
  </si>
  <si>
    <t>BROCA SDS PLUS StandMak  8 x 160 mm.</t>
  </si>
  <si>
    <t>BROCA SDS-PLUS StandMak 8 x 210 mm.</t>
  </si>
  <si>
    <t>BROCA SDS PLUS StandMak  8 X 260 mm.</t>
  </si>
  <si>
    <t>BROCA SDS PLUS StandMak  10 x 160 mm.</t>
  </si>
  <si>
    <t>BROCA SDS PLUS StandMak  10 x 210 mm.</t>
  </si>
  <si>
    <t>BROCA SDS PLUS StandMak  10 x 260 mm.</t>
  </si>
  <si>
    <t>BROCA SDS PLUS StandMak  10 x 310 mm.</t>
  </si>
  <si>
    <t>BROCA SDS PLUS StandMak  11 x 160 mm.</t>
  </si>
  <si>
    <t>BROCA SDS PLUS StandMak  12 x 160 mm.</t>
  </si>
  <si>
    <t>BROCA SDS PLUS StandMak  12 X 210 mm.</t>
  </si>
  <si>
    <t>BROCA SDS PLUS StandMak  12 X 260 mm.</t>
  </si>
  <si>
    <t>BROCA SDS PLUS StandMak  13 x 160 mm.</t>
  </si>
  <si>
    <t>BROCA SDS PLUS StandMak  15 X 160 mm.</t>
  </si>
  <si>
    <t>BROCA SDS PLUS StandMak  16 X 210 mm.</t>
  </si>
  <si>
    <t>BROCA SDS PLUS StandMak  16 X 310 mm.</t>
  </si>
  <si>
    <t>BROCA SDS PLUS StandMak  18 X 300 mm.</t>
  </si>
  <si>
    <t>BROCA SDS PLUS StandMak  19 X 210 mm.</t>
  </si>
  <si>
    <t>BROCA SDS PLUS StandMak  20 X 210 mm.</t>
  </si>
  <si>
    <t>BROCA SDS PLUS StandMak  20 X 310 mm.</t>
  </si>
  <si>
    <t>BROCA SDS PLUS StandMak  22 x 260 mm.</t>
  </si>
  <si>
    <t>BROCA SDS PLUS StandMak  25 X 260 mm.</t>
  </si>
  <si>
    <t>BROCA SDS PLUS StandMak  26 X 260 mm.</t>
  </si>
  <si>
    <t>BROCA SDS PLUS StandMak  9 X 210 mm.</t>
  </si>
  <si>
    <t>""BROCA SDS PLUS StandMak  3/16"" X 6 1/4""  (4.7mm x 158mm)"</t>
  </si>
  <si>
    <t>""BROCA SDS PLUS StandMak  7/32"" X 6 1/4"" (5.5mm x 158mm)"</t>
  </si>
  <si>
    <t>""BROCA SDS PLUS StandMak  1/4"" X 4 1/2"" (6.35mm x 115mm)"</t>
  </si>
  <si>
    <t>BROCA SDS-PLUS StandMak 1/4"" x 6-1/4""  (6.35mm x 158mm)</t>
  </si>
  <si>
    <t>""BROCA SDS PLUS StandMak  1/4"" X 8 1/4"" (6.35mm x 210mm)"</t>
  </si>
  <si>
    <t>""BROCA SDS-PLUS StandMak 5/16"" x 6-1/4"" (7.9mm x 158mm)"</t>
  </si>
  <si>
    <t>""BROCA SDS PLUS StandMak  5/16"" X 12""  (7.9mm x 304mm)"</t>
  </si>
  <si>
    <t>""BROCA SDS-PLUS StandMak 3/8"" x 6-1/4"" (9.5mm x 158mm)"</t>
  </si>
  <si>
    <t>""BROCA SDS PLUS StandMak  3/8"" X 12 1/4""  (9.5mm x 311mm)"</t>
  </si>
  <si>
    <t>""BROCA SDS PLUS StandMak  7/16"" X 6 1/4"" (11.11mm x 158mm)"</t>
  </si>
  <si>
    <t>""BROCA SDS PLUS StandMak  7/16"" X 12 1/2"" (11.11mm x 317mm)"</t>
  </si>
  <si>
    <t>BROCA SDS PLUS StandMak 1/2"" x 6 1/4"" (12.7mm x 158mm)</t>
  </si>
  <si>
    <t>BROCA SDS PLUS StandMak  1/2"" X 12 1/4""  (12.7mm x 311mm)</t>
  </si>
  <si>
    <t>""BROCA SDS PLUS StandMak  9/16"" X 6 1/2""  (14.28mm x 165mm)"</t>
  </si>
  <si>
    <t>""BROCA SDS PLUS StandMak  9/16"" X 12 1/2"" (14.28 x 317mm)"</t>
  </si>
  <si>
    <t>BROCA SDS-PLUS StandMak  5/8"" x  8""  (15.8mm x 203mm)</t>
  </si>
  <si>
    <t>""BROCA SDS PLUS StandMak  5/8"" X 12"" (15.8mm x 304mm)"</t>
  </si>
  <si>
    <t>""BROCA SDS PLUS StandMak  11/16"" X 8""  (17.46mm x 203mm)"</t>
  </si>
  <si>
    <t>""BROCA SDS-PLUS StandMak 3/4"" X 8""  (19mm x 203mm)"</t>
  </si>
  <si>
    <t>""BROCA SDS PLUS StandMak  3/4"" X 12"" (19mm x 305mm)"</t>
  </si>
  <si>
    <t>""BROCA SDS PLUS StandMak  7/8"" X 8"" (22.22mm x 203mm)"</t>
  </si>
  <si>
    <t>""BROCA SDS PLUS StandMak  7/8"" X 12""  (22.22mm x 305mm)"</t>
  </si>
  <si>
    <t>""BROCA SDS-PLUS StandMak  1"" X 10""  (25.4mm x 254mm)"</t>
  </si>
  <si>
    <t>""DISCO DE SIERRA PARA MADERA TCT (6-1/2"" x 0-25/32"") (165x20 mm.) 10 DIENTES"</t>
  </si>
  <si>
    <t>DISCO SIERRA PARA MADERA 165 x 20.0 x 2.00mm.24 DIENTES (DHS660-661-680/DSP600-601/SP6000)</t>
  </si>
  <si>
    <t>""DISCO DE SIERRA PARA MADERA TCT  (6-1/2"" x 0-25/32"") (165x20 mm.) 40 DIENTES"</t>
  </si>
  <si>
    <t>""DISCO DE SIERRA PARA MADERA (7-1/4"" x 5/8"") (185x15.88 mm.) 16 DIENTES"</t>
  </si>
  <si>
    <t>DISCO DE SIERRA PARA ALUMINIO (7-1/4"" x 5/8"")  (185x15.88 mm.) 40 DIENTES</t>
  </si>
  <si>
    <t>""DISCO DE SIERRA PARA ALUMNIO (12"" x 1"") (304.8x25.4 mm.) 80 DIENTES"</t>
  </si>
  <si>
    <t>SET BROCA PARA CONCRETO (5 PCs) (4x70  5x85  6x110  8x110  10x110)</t>
  </si>
  <si>
    <t>BROCA SDS PLUS StandMak  16 X 160 mm.</t>
  </si>
  <si>
    <t>SET DE BROCAS PARA CONCRETO (4x70mm, 5x85mm, 6x110mm,  8x110mm, 10x110mm) 5 PIEZAS</t>
  </si>
  <si>
    <t>BROCA PARA CONCRETO 3 x 60 mm.</t>
  </si>
  <si>
    <t>BROCA PARA CONCRETO 7 x 100 mm.</t>
  </si>
  <si>
    <t>BROCA PARA CONCRETO 7 x 150 mm.</t>
  </si>
  <si>
    <t>BROCA PARA CONCRETO 8 x 150 mm.</t>
  </si>
  <si>
    <t>BROCA PARA CONCRETO 9 x 150 mm.</t>
  </si>
  <si>
    <t>BROCA PARA CONCRETO 11 x 150 mm.</t>
  </si>
  <si>
    <t>BROCA PARA CONCRETO 12 x 150 mm.</t>
  </si>
  <si>
    <t>BROCA PARA CONCRETO 13 x 150 mm.</t>
  </si>
  <si>
    <t>BROCA PARA CONCRETO 14 x 150 mm.</t>
  </si>
  <si>
    <t>BROCA PARA CONCRETO 15 x 150 mm.</t>
  </si>
  <si>
    <t>BROCA PARA CONCRETO 16 x 150 mm.</t>
  </si>
  <si>
    <t>BROCA PARA METAL HSS (10 PCs) 2 x 49 mm.</t>
  </si>
  <si>
    <t>BROCA PARA METAL HSS (10 PCs) 3 x 61 mm.</t>
  </si>
  <si>
    <t>BROCA PARA METAL HSS (10 PCs) 3.5 x 70 mm.</t>
  </si>
  <si>
    <t>BROCA PARA METAL HSS (10 PCs) 4 x 75 mm.</t>
  </si>
  <si>
    <t>BROCA PARA METAL HSS (10 PCs) 4.25 x 75 mm.</t>
  </si>
  <si>
    <t>BROCA PARA METAL HSS (10 PCs) 4.5 x 80 mm.</t>
  </si>
  <si>
    <t>BROCA PARA METAL HSS (10 PCs) 5 x 86 mm.</t>
  </si>
  <si>
    <t>BROCA PARA METAL HSS (10 PCs) 5.5 x 93 mm.</t>
  </si>
  <si>
    <t>BROCA PARA METAL HSS (10 PCs) 6 x 93 mm.</t>
  </si>
  <si>
    <t>BROCA PARA METAL HSS (10 PCs) 6.25 x 101 mm.</t>
  </si>
  <si>
    <t>BROCA PARA METAL HSS (10 PCs) 6.5 x 101 mm.</t>
  </si>
  <si>
    <t>BROCA PARA METAL HSS (10 PCs) 7 x 109 mm.</t>
  </si>
  <si>
    <t>BROCA PARA METAL HSS (10 PCs) 7.5 x 109 mm.</t>
  </si>
  <si>
    <t>BROCA PARA METAL HSS (10 PCs) 8 x 117 mm.</t>
  </si>
  <si>
    <t>BROCA PARA METAL HSS (5 PCs) 8.5 x 117 mm.</t>
  </si>
  <si>
    <t>BROCA PARA METAL HSS (5 PCs) 9 x 125 mm.</t>
  </si>
  <si>
    <t>BROCA PARA METAL HSS (5PCs) 9.5 x 125 mm.</t>
  </si>
  <si>
    <t>BROCA PARA METAL HSS (5 PCs) 10 x 133 mm.</t>
  </si>
  <si>
    <t>BROCA PARA METAL HSS (5 PCs) 10.25 x 133 mm.</t>
  </si>
  <si>
    <t>BROCA PARA METAL HSS (5 PCs) 10.5 x 133 mm.</t>
  </si>
  <si>
    <t>BROCA PARA METAL HSS (5 PCs) 11 x 142 mm.</t>
  </si>
  <si>
    <t>BROCA PARA METAL HSS (5 PCs) 11.5 x 142 mm.</t>
  </si>
  <si>
    <t>BROCA PARA METAL HSS (5 PCs) 12 x 151 mm.</t>
  </si>
  <si>
    <t>BROCA PARA METAL HSS (5 PCs) 12.5 x 151 mm.</t>
  </si>
  <si>
    <t>BROCA PARA METAL HSS (5 PCs) 13 x 151 mm.</t>
  </si>
  <si>
    <t>BROCA PARA MADERA 9 x 125 mm.</t>
  </si>
  <si>
    <t>BROCA PARA MADERA 14 x 170 mm.</t>
  </si>
  <si>
    <t>BROCA PARA MADERA 18 x 200 mm.</t>
  </si>
  <si>
    <t>BROCA PARA MADERA 20 x 200 mm.</t>
  </si>
  <si>
    <t>BROCA PARA MADERA 6 x 315 mm.</t>
  </si>
  <si>
    <t>BROCA PARA MADERA 8 x 315 mm.</t>
  </si>
  <si>
    <t>BROCA PARA MADERA 10 x 315 mm.</t>
  </si>
  <si>
    <t>BROCA PARA MADERA 12 x 315 mm.</t>
  </si>
  <si>
    <t>BROCA PARA MADERA 14 x 315 mm.</t>
  </si>
  <si>
    <t>BROCA PARA MADERA 16 x 315 mm.</t>
  </si>
  <si>
    <t>BROCA PARA MADERA 18 x 335 mm.</t>
  </si>
  <si>
    <t>BROCA PARA MADERA 20 x 335 mm.</t>
  </si>
  <si>
    <t>BROCA DE BERBIQUI 6 x 250 mm.</t>
  </si>
  <si>
    <t>BROCA DE BERBIQUI 8 x 250 mm.</t>
  </si>
  <si>
    <t>BROCA DE BERBIQUI 14 x 250 mm.</t>
  </si>
  <si>
    <t>BROCA DE BERBIQUI 16 x 250 mm.</t>
  </si>
  <si>
    <t>BROCA DE BERBIQUI 18 x 250 mm.</t>
  </si>
  <si>
    <t>BROCA DE BERBIQUI 20 x 250 mm.</t>
  </si>
  <si>
    <t>BROCA DE BERBIQUI 22 x 250 mm.</t>
  </si>
  <si>
    <t>BROCA DE BERBIQUI 24 x 250 mm.</t>
  </si>
  <si>
    <t>BROCA SALOMONICA 16x350x400mm.VASTAGO HEXAG.7/16"</t>
  </si>
  <si>
    <t>BROCA DE BERBIQUI 8 x 450 mm.</t>
  </si>
  <si>
    <t>BROCA DE BERBIQUI 10 x 450 mm.</t>
  </si>
  <si>
    <t>BROCA DE BERBIQUI 14 x 450 mm.</t>
  </si>
  <si>
    <t>BROCA DE BERBIQUI 16 x 450 mm.</t>
  </si>
  <si>
    <t>BROCA DE BERBIQUI 18 x 450 mm.</t>
  </si>
  <si>
    <t>BROCA DE BERBIQUI 20 x 450 mm.</t>
  </si>
  <si>
    <t>BROCA DE BERBIQUI 22 x 450 mm.</t>
  </si>
  <si>
    <t>BROCA DE BERBIQUI 24 X 450 mm.</t>
  </si>
  <si>
    <t>BROCA DE BERBIQUI 26 X 450 mm.</t>
  </si>
  <si>
    <t>BROCA DE BERBIQUI 28 X 450 mm.</t>
  </si>
  <si>
    <t>BROCA DE BERBIQUI 30 X 450 mm.</t>
  </si>
  <si>
    <t>BROCA PLANA 6 x 150 mm.</t>
  </si>
  <si>
    <t>BROCA PLANA 8 x 150 mm.</t>
  </si>
  <si>
    <t>BROCA PLANA 10 x 150 mm.</t>
  </si>
  <si>
    <t>BROCA PLANA 14 x 150 mm.</t>
  </si>
  <si>
    <t>BROCA PLANA 15 x 150 mm.</t>
  </si>
  <si>
    <t>BROCA PLANA 16 x 150 mm.</t>
  </si>
  <si>
    <t>BROCA PLANA 24 x 150 mm.</t>
  </si>
  <si>
    <t>BROCA PLANA 25 x 150 mm.</t>
  </si>
  <si>
    <t>BROCA PLANA 26 x 160 mm.</t>
  </si>
  <si>
    <t>BROCA PLANA 30 x 160 mm.</t>
  </si>
  <si>
    <t>BROCA PLANA 34 x 160 mm.</t>
  </si>
  <si>
    <t>CUCHILLO CEPILLO 82 mm. MINI  CARBURO</t>
  </si>
  <si>
    <t>2 MINI CUCHILLAS DE DOBLE FILO TC 82 mm.(PARA CEPILLO)</t>
  </si>
  <si>
    <t>SET DE BROCAS PARA METAL  CONCRETO Y MADERA ( 5  6  8 mm.)</t>
  </si>
  <si>
    <t>CINCEL PUNTA DE 280 mm. ENCASTRE HEXAGONAL DE 17 mm.</t>
  </si>
  <si>
    <t>CINCEL PLANO DE 19  x 280 mm. ENCASTRE HEXAGONAL DE 17 mm.</t>
  </si>
  <si>
    <t>CUCHILLA PARA CEPILLO TCT (2 SETs) 110 mm.</t>
  </si>
  <si>
    <t>DISCO SIERRA PARA MADERA 165 x 20.0 x 2.00mm.16 DIENTES {DHS660-661-680/DSP600-601/SP6000}</t>
  </si>
  <si>
    <t>BROCA PARA METAL HSS-G 1.5 x 40 mm.</t>
  </si>
  <si>
    <t>BROCA PARA METAL HSS-G 2 x 49 mm.</t>
  </si>
  <si>
    <t>BROCA PARA METAL HSS-G 2.5 x 57 mm.</t>
  </si>
  <si>
    <t>BROCA PARA METAL HSS-G 3 x 61 mm.</t>
  </si>
  <si>
    <t>BROCA PARA METAL HSS-G 3.5 x 70 mm.</t>
  </si>
  <si>
    <t>BROCA PARA METAL HSS-G 4 x 75 mm.</t>
  </si>
  <si>
    <t>BROCA PARA METAL HSS-G 4.5 x 80 mm.</t>
  </si>
  <si>
    <t>BROCA PARA METAL HSS-G 5 x 86 mm.</t>
  </si>
  <si>
    <t>BROCA PARA METAL HSS-G 5.5 X 93 mm.</t>
  </si>
  <si>
    <t>BROCA PARA METAL HSS-G 6 x 93 mm.</t>
  </si>
  <si>
    <t>BROCA PARA METAL HSS-G 6.5 x 101 mm.</t>
  </si>
  <si>
    <t>BROCA PARA METAL HSS-G 7 x 109 mm.</t>
  </si>
  <si>
    <t>BROCA PARA METAL HSS-G 7.5 x 109 mm.</t>
  </si>
  <si>
    <t>BROCA PARA METAL HSS-G 8 x 117 mm.</t>
  </si>
  <si>
    <t>BROCA PARA METAL HSS-G 8.5 x 117 mm.</t>
  </si>
  <si>
    <t>BROCA PARA METAL HSS-G 9 x 125 mm.</t>
  </si>
  <si>
    <t>BROCA PARA METAL HSS-G 9.5 x 125mm.</t>
  </si>
  <si>
    <t>BROCA PARA METAL HSS-G 10 x 133 mm.</t>
  </si>
  <si>
    <t>BROCA PARA METAL HSS-G 10.5 x 133 mm.</t>
  </si>
  <si>
    <t>BROCA PARA METAL HSS-G 11 x 142 mm.</t>
  </si>
  <si>
    <t>BROCA PARA METAL HSS-G 11.5 x 142 mm.</t>
  </si>
  <si>
    <t>BROCA PARA METAL HSS-G 12 x 151 mm.</t>
  </si>
  <si>
    <t>BROCA PARA METAL HSS-G 12.5 x 151 mm.</t>
  </si>
  <si>
    <t>BROCA PARA METAL HSS-G 13 x 151 mm.</t>
  </si>
  <si>
    <t>Panel Pilot bit</t>
  </si>
  <si>
    <t>ADAPTADOR SDS-PLUS Sin Mandril (1/2""x20unf) C/Tornillo</t>
  </si>
  <si>
    <t>""BROCA PARA METAL HSS-TIN (1/4"" ENCASTRE HEXAGONAL) 3 x 81 mm."</t>
  </si>
  <si>
    <t>""BROCA PARA METAL HSS-TIN (1/4"" ENCASTRE HEXAGONAL) 4 x 95 mm."</t>
  </si>
  <si>
    <t>""BROCA PARA METAL HSS-TIN (1/4"" ENCASTRE HEXAGONAL) 5 x 106 mm."</t>
  </si>
  <si>
    <t>""BROCA PARA METAL HSS-TIN (1/4"" ENCASTRE HEXAGONAL) 6 x 113 mm."</t>
  </si>
  <si>
    <t>BROCA SDS PLUS StandMak  26 X 460 mm.</t>
  </si>
  <si>
    <t>CINCEL PUNTO 400 mm. ENCASTRE HEXAGONAL DE 30 mm.</t>
  </si>
  <si>
    <t>CINCEL 30 x 400 mm. ENCASTRE HEXAGONAL DE 30 mm.</t>
  </si>
  <si>
    <t>DISCO PULIDOR DIAMANTADO DE 100 mm. AZUL. GRANO 50</t>
  </si>
  <si>
    <t>DISCO PULIDOR DIAMANTADO DE 100 mm. AMARILLO. GRANO 100</t>
  </si>
  <si>
    <t>DISCO PULIDOR DIAMANTADO DE 100 mm. NARANJA. GRANO 200</t>
  </si>
  <si>
    <t>DISCO PULIDOR DIAMANTADO DE 100 mm. ROJO. GRANO 400</t>
  </si>
  <si>
    <t>DISCO PULIDOR DIAMANTADO DE 100 mm. VERDE OSCURO. GRANO 800</t>
  </si>
  <si>
    <t>DISCO PULIDOR DIAMANTADO DE 100 mm. VERDE CLARO. GRANO 1500</t>
  </si>
  <si>
    <t>DISCO PULIDOR DIAMANTADO DE 100 mm. CAFE. GRANO 3000</t>
  </si>
  <si>
    <t>DISCO PULIDOR DIAMANTADO DE 100 mm. VERDE. PARA ACABADO</t>
  </si>
  <si>
    <t>""BROCA PARA METAL HSS-TIN (ENCASTRE HEXAGONAL 1/4"" )   8 x 117 mm."</t>
  </si>
  <si>
    <t>""BROCA PARA METAL HSS-TIN (ENCASTREHEXAGONAL 1/4"") 10 x 133 mm."</t>
  </si>
  <si>
    <t>""BROCA PARA METAL HSS-TIN (ENCASTRE HEXAGONAL 1/4"") 13 X 151 mm."</t>
  </si>
  <si>
    <t>""BROCA PARA MADERA (ENCASTRE HEXAGONAL 1/4"") 3 x 78 mm."</t>
  </si>
  <si>
    <t>""BROCA PARA MADERA (ENCASTRE HEXAGONAL 1/4"") 4 x 92 mm."</t>
  </si>
  <si>
    <t>""BROCA PARA MADERA (ENCASTRE HEXAGONAL 1/4"") 5 x 103 mm."</t>
  </si>
  <si>
    <t>""BROCA PARA MADERA (ENCASTRE HEXAGONAL 1/4"") 6 x 110 mm."</t>
  </si>
  <si>
    <t>""BROCA PARA MADERA (ENCASTRE HEXAGONAL 1/4"") 8 x 117 mm."</t>
  </si>
  <si>
    <t>""BROCA PARA MADERA (ENCASTRE HEXAGONAL 1/4"") 12 x 151 mm."</t>
  </si>
  <si>
    <t>""BROCA PARA MADERA (ENCASTRE HEXAGONAL 1/4"") 15 x 162 mm."</t>
  </si>
  <si>
    <t>""BROCA PARA VIDRIO (ENCASTRE HEXAGONAL 1/4"") 8 X 70 mm."</t>
  </si>
  <si>
    <t>BROCA SDS PLUS StandMak  13 X 350 mm.</t>
  </si>
  <si>
    <t>BROCA SDS PLUS StandMak  16 X 460 mm.</t>
  </si>
  <si>
    <t>BROCA SDS PLUS StandMak  19 X 460 mm.</t>
  </si>
  <si>
    <t>BROCA SDS PLUS StandMak  24 X 460 mm.</t>
  </si>
  <si>
    <t>CINCEL PUNTO 250 mm. ENCASTRE HEXAGONAL 17 mm.</t>
  </si>
  <si>
    <t>CUCHILLA PARA CEPILLO HSS (2 SETs) 82 mm.</t>
  </si>
  <si>
    <t>CINCEL PUNTO 320 mm. ENCASTRE HEXAGONAL 21 mm.</t>
  </si>
  <si>
    <t>""DISCO DE SIERRA PARA MADERA TCT (9-1/4"" x 0-64/63"")  (235x25 mm.) 40 DIENTES"</t>
  </si>
  <si>
    <t>CINCEL PUNTO 450 mm. ENCASTRE HEXAGONAL 17 mm.</t>
  </si>
  <si>
    <t>CINCEL PLANO DE 19 x 210 mm. ENCASTRE HEXAGONAL 17 mm.</t>
  </si>
  <si>
    <t>SIERRA COPA BI-METAL 19 mm.</t>
  </si>
  <si>
    <t>SIERRA COPA BI-METAL 24 mm.</t>
  </si>
  <si>
    <t>SIERRA COPA BI-METAL 25 mm.</t>
  </si>
  <si>
    <t>SIERRA COPA BI-METAL 32 mm.</t>
  </si>
  <si>
    <t>SIERRA COPA BI-METAL 35 mm.</t>
  </si>
  <si>
    <t>SIERRA COPA BI-METAL 44 mm.</t>
  </si>
  <si>
    <t>SIERRA COPA BI-METAL 51 mm.</t>
  </si>
  <si>
    <t>SIERRA COPA BI-METAL 57 mm.</t>
  </si>
  <si>
    <t>SIERRA COPA BI-METAL 68 mm.</t>
  </si>
  <si>
    <t>SIERRA COPA BI-METAL 76 mm.</t>
  </si>
  <si>
    <t>SIERRA COPA BI-METAL 83 mm.</t>
  </si>
  <si>
    <t>SIERRA COPA BI-METAL 92 mm.</t>
  </si>
  <si>
    <t>SIERRA COPA BI-METAL 105 mm.</t>
  </si>
  <si>
    <t>SIERRA COPA BI-METAL 127 mm.</t>
  </si>
  <si>
    <t>SIERRA COPA BI-METAL 152 mm.</t>
  </si>
  <si>
    <t>ADAPTADOR CON BROCA PILOTO PARA S.COPA DIAMETROS (14 - 29 mm.)</t>
  </si>
  <si>
    <t>ADAPTADOR (11 mm.) CON BROCA PILOTO (32 - 152 mm.)</t>
  </si>
  <si>
    <t>CUCHILLA PARA CEPILLO HSS (2 PCs) 82 mm</t>
  </si>
  <si>
    <t>SIERRA COPA BI-METAL 20 mm.</t>
  </si>
  <si>
    <t>SIERRA COPA BI-METAL 29 mm.</t>
  </si>
  <si>
    <t>SEIRRA COPA BI-METAL 40 mm.</t>
  </si>
  <si>
    <t>BROCA PARA METAL HSS-CO (COBALTO 5%) 3.2 x 65 mm.</t>
  </si>
  <si>
    <t>BROCA PARA METAL HSS-CO (COBALTO 5%) 4.5 x 80 mm.</t>
  </si>
  <si>
    <t>BROCA PARA METAL HSS-CO (COBALTO 5%) 5.5 x 93 mm.</t>
  </si>
  <si>
    <t>BROCA PARA INOX HSS-Co   7 x 109 mm.COBALTO 5%.</t>
  </si>
  <si>
    <t>BROCA PARA METAL HSS-CO (COBALTO 5%) 7.5 x 109 mm.</t>
  </si>
  <si>
    <t>BROCA PARA METAL HSS-CO (COBALTO 5%) 8.5 x 117 mm.</t>
  </si>
  <si>
    <t>BROCA PARA METAL HSS-CO (COBALTO 5%) 9 x 125 mm.</t>
  </si>
  <si>
    <t>BROCA PARA METAL HSS-CO (COBALTO 5%) 9.5 x 125 mm.</t>
  </si>
  <si>
    <t>BROCA PARA METAL HSS-CO (COBALTO 5%) 11 x 142 mm.</t>
  </si>
  <si>
    <t>BROCA PARA METAL HSS-CO (COBALTO 5%) 11.5 x 142 mm.</t>
  </si>
  <si>
    <t>BROCA PARA METAL HSS-CO (COBALTO 5%) 12 x 151 mm.</t>
  </si>
  <si>
    <t>BROCA PARA METAL HSS-CO (COBALTO 5%) 12.5 x 151 mm.</t>
  </si>
  <si>
    <t>BROCA SDS-PLUS StandMak 30 x 460 mm.</t>
  </si>
  <si>
    <t>CINCEL PLANO 26 x 320 mm. ENCASTRE HEXAGONAL 21 mm.</t>
  </si>
  <si>
    <t>CINCEL PLANO 26 x 450 mm. ENCASTRE HEXAGONAL 21 mm.</t>
  </si>
  <si>
    <t>ADAPTADOR SDS-PLUS CON BROCA PILOTO 14 - 19 mm.</t>
  </si>
  <si>
    <t>CINCEL PUNTO 410 mm. ENCASTRE HEXAGONAL 28 mm.</t>
  </si>
  <si>
    <t>CINCEL 28 x 410 mm. ENCASTRE HEXAGONAL 28.6 mm.</t>
  </si>
  <si>
    <t>CINCEL 28 x 520 mm. ENCASTRE HEXAGONAL 28.6 mm.</t>
  </si>
  <si>
    <t>BROCA PARA CONCRETO 12 x 600 mm.</t>
  </si>
  <si>
    <t>BROCA PARA CONCRETO 20 x 600 mm.</t>
  </si>
  <si>
    <t>""DISCO P/CORTE 9"" X 3/32"" X 7/8"" (Vencimiento: 11/2020)"</t>
  </si>
  <si>
    <t>DISCO ABRASIVO DE DESBASTE PARA METAL (A24R) 115x6x22.2 mm.</t>
  </si>
  <si>
    <t>""DISCO ABRA DESBASTE METAL 4.5""x 6.0mm.(A24R) ** (20PCS) ENVASE PLÁSTICO"</t>
  </si>
  <si>
    <t>DISCO ABRASIVO DE DESBASTE PARA METAL (A24R) 180x6x22.2 mm.</t>
  </si>
  <si>
    <t>DISCO ABRASIVO DE DESBASTE PARA METAL (A24R) 230x6x22.2 mm</t>
  </si>
  <si>
    <t>DISCO ABRASIVO DE CORTE PARA METAL (CONCAVO) (A30S) 115x3x22.2 mm.</t>
  </si>
  <si>
    <t>DISCO ABRASIVO DE CORTE PARA CONCRETO (CONCAVO) (C30S) 115x3x22.2 mm.</t>
  </si>
  <si>
    <t>DISCO ABRASIVO DE CORTE PARA CONCRETO (CONCAVO) (C30S) 125x3x22.2 mm.</t>
  </si>
  <si>
    <t>DISCO ABRASIVO DE CORTE PARA METAL (PLANO) (A30S) 115x2.5x22.2 mm.</t>
  </si>
  <si>
    <t>DISCO ABRASIVO DE CORTE PARA METAL (PLANO) (A30S) 180x2.5x22.2 mm.</t>
  </si>
  <si>
    <t>DISCO ABRASIVO DE CORTE PARA METAL (PLANO) (A30S) 230x2.5x22.2 mm.</t>
  </si>
  <si>
    <t>DISCO ABRASIVO DE CORTE FINO PARA ACERO INOXIDABLE (PLANO) (WA60T) 115x1.2x22.2 mm.</t>
  </si>
  <si>
    <t>DISCO ABRASIVO DE CORTE FINO (WA60T) 115x1.2x22.2 mm.</t>
  </si>
  <si>
    <t>DISCO ABRASIVO DE CORTE FINO PARA ACERO INOXIDABLE (PLANO) (WA36R) 180x2x22.2 mm.</t>
  </si>
  <si>
    <t>DISCO ABRASIVO DE CORTE FINO PARA ACERO INOXIDABLE (CONCAVO) (WA36R) 230x2x22.2 mm.</t>
  </si>
  <si>
    <t>CINCEL PUNTA PLANA SDS-PLUS 20 x 400 mm.</t>
  </si>
  <si>
    <t>CINCEL PUNTA PLANA SDS-PLUS 20 x 140 mm.</t>
  </si>
  <si>
    <t>BROCAS SDS-PLUS Y CINCELES VARIADOS (CON ESTUCHE DE ALUMINIO) JUEGO DE 10 PCs</t>
  </si>
  <si>
    <t>CINCEL PUNTO 450 mm. ENCASTRE HEXAGONAL 19 mm.</t>
  </si>
  <si>
    <t>CINCEL HEXAGO.19.0mm.PUNTA 300mm</t>
  </si>
  <si>
    <t>CINCEL HEXAGO.19.0mm.PLANO 25 x 300mm.</t>
  </si>
  <si>
    <t>CINCEL PLANO 50 x 280 mm. ENCASTRE HEXAGONAL 17 mm.</t>
  </si>
  <si>
    <t>JUEGO DE BROCAS PARA CONCRETO (5 PCs) 5x110  6x110  7x110  8x110  10x110 mm.</t>
  </si>
  <si>
    <t>""CINCEL PUNTO 20-1/2"" ENCASTRE HEXAGONAL 1-1/8"" (5 PCs)"</t>
  </si>
  <si>
    <t>""DISCO SIERRA PARA MADERA   8-1/4"" x 5/8""   x 2.00mm.  24 DIENTES"</t>
  </si>
  <si>
    <t>""BROCA PARA CONCRETO 4 x 80 mm.  ENCASTRE HEXAGONAL 1/4"""</t>
  </si>
  <si>
    <t>""BROCA PARA CONCRETO 6 x 100 mm.  ENCASTRE HEXAGONAL 1/4"""</t>
  </si>
  <si>
    <t>""BROCA PARA CONCRETO 8 x 100 mm. ENCASTRE HEXAGONAL 1/4"""</t>
  </si>
  <si>
    <t>CINCEL PUNTO 450 mm. ENCASTRE HEXAGONAL 21 mm.</t>
  </si>
  <si>
    <t>GRATA DE COPA RIZADA 75 mm. x M14</t>
  </si>
  <si>
    <t>GRATA DE COPA TRENZADA DE ALAMBRE 75 mm. x M14</t>
  </si>
  <si>
    <t>GRATA DE COPA TRENZADA REFORZADA ALAMBRE 2 X 60 mm. x M14</t>
  </si>
  <si>
    <t>""BROCA PLANO 1/4"" x 6"" (6.3 X 152 mm.)"</t>
  </si>
  <si>
    <t>""BROCA PLANO 5/16"" x 6"" (7.9 X 152 mm.)"</t>
  </si>
  <si>
    <t>""BROCA PLANO 3/8"" x 6"" (9.5 X 152 mm.)"</t>
  </si>
  <si>
    <t>""BROCA PLANO 7/16"" x 6"" (11.1 X 152 mm.)"</t>
  </si>
  <si>
    <t>""BROCA PLANO 9/16"" x 6"" (14.2 X 152 mm.)"</t>
  </si>
  <si>
    <t>""BROCA PLANO 5/8"" x 6"" (15.8 X 152 mm.)"</t>
  </si>
  <si>
    <t>""BROCA PLANO 11/16"" x 6"" (17.4 X 152 mm.)"</t>
  </si>
  <si>
    <t>""BROCA PLANO 7/8"" x 6"" (22.2 X 152 mm.)"</t>
  </si>
  <si>
    <t>""BROCA PLANO 15/16"" x 6"" (23.8 X 152 mm.)"</t>
  </si>
  <si>
    <t>""BROCA PLANO 1"" x 6"" (25.4 X 152 mm.)"</t>
  </si>
  <si>
    <t>""BROCA PLANO 1-1/8"" x 6-1/2"" (28.5 X 165 mm.)"</t>
  </si>
  <si>
    <t>""BROCA PLANO 1-1/4"" x 6-1/2"" (31.7 X 165 mm.)"</t>
  </si>
  <si>
    <t>""BROCA PLANO 1-3/8"" x 6-1/2"" (34.9 X 165 mm.)"</t>
  </si>
  <si>
    <t>SIERRA COPA BI-METAL 54 mm.</t>
  </si>
  <si>
    <t>SIERRA COPA BI-METAL 65 mm.</t>
  </si>
  <si>
    <t>BROCA PARA VIDRIO 3 x 65 mm.</t>
  </si>
  <si>
    <t>BROCA PARA VIDRIO 4 x 65 mm.</t>
  </si>
  <si>
    <t>BROCA PARA VIDRIO 5 x 65 mm.</t>
  </si>
  <si>
    <t>BROCA PARA VIDRIO 6 x 65 mm.</t>
  </si>
  <si>
    <t>BROCA PARA VIDRIO 8 x 65 mm.</t>
  </si>
  <si>
    <t>BROCA PARA VIDRIO 10 x 80 mm.</t>
  </si>
  <si>
    <t>BROCA PARA VIDRIO 12 x 80 mm.</t>
  </si>
  <si>
    <t>""DISCO DE SIERRA PARA MADERA TCT (7-1/4"" x 5/8"") 24 DIENTES Y 40 DIENTES"</t>
  </si>
  <si>
    <t>SIERRA COPA BI-METAL 60 mm.</t>
  </si>
  <si>
    <t>SIERRA COPA BI-METAL 70 mm.</t>
  </si>
  <si>
    <t>""BROCA PLANO 1/2"" x 6"""</t>
  </si>
  <si>
    <t>""BROCA PLANO 1-1/2"" x 6-1/2"""</t>
  </si>
  <si>
    <t>CINCEL 19 x 210 mm. ENCASTRE HEXAGONAL 17 mm.</t>
  </si>
  <si>
    <t>""DISCO DE LIJAS T/FLAP  4-1/2""(115 mm.) #Z36 ANGULAR P/ METAL Y INOX."</t>
  </si>
  <si>
    <t>""DISCO DE LIJAS T/FLAP  4-1/2""(115 mm.) #Z40 ANGULAR P/ METAL Y INOX."</t>
  </si>
  <si>
    <t>""DISCO DE LIJAS T/FLAP  4-1/2""(115 mm.) #Z60 ANGULAR P/ METAL Y INOX."</t>
  </si>
  <si>
    <t>DISCO DE LAMINILLA GE 115 mm. GRANO #Z80 ANGULAR PARA METAL Y ACERO INOXIDABLE</t>
  </si>
  <si>
    <t>""DISCO DE LIJAS T/FLAP  4-1/2""(115 mm.) #Z120 ANGULAR P/ METAL Y INOX."</t>
  </si>
  <si>
    <t>DISCO DE LAMINILLA GE 180 mm. GRANO #Z60 ANGULAR</t>
  </si>
  <si>
    <t>DISCO DE LAMINILLA GE 180 mm. GRANO #Z80 ANGULAR</t>
  </si>
  <si>
    <t>DISCO DE LAMINILLA GE 115 mm. GRANO #Z40 PLANO</t>
  </si>
  <si>
    <t>""DISCO DE LIJAS T/FLAP  7""(180mm.) #Z80   T/PLANO P/METAL Y INOX (D-74289)"</t>
  </si>
  <si>
    <t>DISCO DE LAMINILLA GE 180 mm. GRANO #Z120 PLANO</t>
  </si>
  <si>
    <t>DISCO DE LAMINILLA GE 115 mm. GRANO #C60 PLANO</t>
  </si>
  <si>
    <t>DISCO DE LAMINILLA GE 115 mm. GRANO #C80 PLANO NYLON(D-28058)</t>
  </si>
  <si>
    <t>DISCO DE LAMINILLA GE 115 mm. GRANO #C120 PLANO NYLON</t>
  </si>
  <si>
    <t>DISCO DE LAMINILLA GE 115 mm. GRANO #C180 PLANO NYLON</t>
  </si>
  <si>
    <t>DISCO DE LAMINILLA (GRANO: 80) 115x22 mm.</t>
  </si>
  <si>
    <t>CINCEL PLANO 75 x 410 mm. ENCASTRE HEXAGONAL 28.6 mm.</t>
  </si>
  <si>
    <t>GRATA COPA 4" PELO 0.3mm.ONDULADO ROSCA M14</t>
  </si>
  <si>
    <t>GRATA DE RUEDA PLANA TRENZADA 100 mm. x M14</t>
  </si>
  <si>
    <t>GRATA DE RUEDA PLANA TRENZADA 115 mm. x M14</t>
  </si>
  <si>
    <t>GRATA DE RUEDA PLANA TRENZADA 125 mm. x M14</t>
  </si>
  <si>
    <t>SET DE BROCAS PARA METAL   CONCRETO Y METAL (5.5  7  8 mm.) POR CADA UNO</t>
  </si>
  <si>
    <t>SET DE BROCAS COMBINADO MADERA (6, 8mm) METAL (5,6,8mm) 5 PIEZAS</t>
  </si>
  <si>
    <t>SIERRA COPA BI-METAL 64 mm.</t>
  </si>
  <si>
    <t>BROCA MULTIPROPOSITO (OMNIBOHRER) 4.0 x 70 mm.</t>
  </si>
  <si>
    <t>BROCA MULTIPROPOSITO (OMNIBOHRER) 6.0 x 100 mm.</t>
  </si>
  <si>
    <t>BROCA MULTIPROPOSITO (OMNIBOHRER) 6.0 x 150 mm.</t>
  </si>
  <si>
    <t>BROCA MULTIPROPOSITO (OMNIBOHRER) 8.0 x 110 mm.</t>
  </si>
  <si>
    <t>BROCA MULTIPROPOSITO (OMNIBOHRER) 8.0 X 150 mm.</t>
  </si>
  <si>
    <t>BROCA MULTIPROPOSITO (OMNIBOHRER) 10.0 x 150 mm.</t>
  </si>
  <si>
    <t>BROCA MULTIPROPOSITO (OMNIBOHRER) 10 x 400 mm.</t>
  </si>
  <si>
    <t>BROCA MULTIPROPOSITO (OMNIBOHRER) 13.0 x 150 mm.</t>
  </si>
  <si>
    <t>BROCAS CON BORDE BRILLANTE Y CON RECUBRIMIENTO DE TIN (5 PCs) (4  5  6  8  10 mm.)</t>
  </si>
  <si>
    <t>SET DE BROCAS PARA METAL HSS (200 PCs)</t>
  </si>
  <si>
    <t>JUEGO DE PUNTAS MAGNETICA CON SOPORTE MAGNÉTICO MZ (11 PCs)</t>
  </si>
  <si>
    <t>SET BROCAS MADERA-METAL-PUNTILLAS CARTUCHERA LONA 17u.</t>
  </si>
  <si>
    <t>SIERRA COPA BI-METAL 80 mm.</t>
  </si>
  <si>
    <t>BROCA SDS-MAX TCT (TIPO GENERAL) 25 x 540 mm.</t>
  </si>
  <si>
    <t>BROCA SDS-MAX   32 x 450 x 570 mm.**</t>
  </si>
  <si>
    <t>BROCA SDS-MAX   35 x 450 x 570 mm.**</t>
  </si>
  <si>
    <t>CINCEL SDS-MAX 300 x 25 mm.</t>
  </si>
  <si>
    <t>CINCEL PLANO SDS-MAX 400 x 50 mm.</t>
  </si>
  <si>
    <t>CINCEL PUNTO SDS-MAX 300 x 18 mm. (D-34176)</t>
  </si>
  <si>
    <t>CINCEL PUNTO SDS-MAX 400 mm.</t>
  </si>
  <si>
    <t>CINCEL PUNTO SDS-MAX 400 mm.  (10 PCS)/ SET</t>
  </si>
  <si>
    <t>CINCEL PUNTO SDS-MAX 300 x 25 mm. (D-34207)</t>
  </si>
  <si>
    <t>CINCEL plano SDS-MAX 25 X 400  mm.</t>
  </si>
  <si>
    <t>CINCEL PLANO SDS-MAX 50 x 400mm.</t>
  </si>
  <si>
    <t>CINCEL PLANO SDS-MAX 80 x 300 mm.</t>
  </si>
  <si>
    <t>BROCA SDS-MAX   12 x 200 x 340 mm.**</t>
  </si>
  <si>
    <t>BROCA SDS-MAX TCT (TIPO GENERAL) 14 x 340 mm.</t>
  </si>
  <si>
    <t>BROCA SDS-MAX TCT (TIPO GENERAL) 14 x 540 mm.</t>
  </si>
  <si>
    <t>BROCA SDS-MAX TCT (TIPO GENERAL) 15 x 340 mm.</t>
  </si>
  <si>
    <t>BROCA SDS-MAX TCT (TIPO GENERAL) 15 x 540 mm.</t>
  </si>
  <si>
    <t>BROCA SDS-MAX TCT (TIPO GENERAL) 16 x 340 mm.</t>
  </si>
  <si>
    <t>BROCA SDS-MAX TCT (TIPO GENERAL) 16 x 540 mm.</t>
  </si>
  <si>
    <t>BROCA SDS-MAX TCT (TIPO GENERAL) 18 x 340 mm.</t>
  </si>
  <si>
    <t>BROCA SDS-MAX TCT (TIPO GENERAL) 18 x 540 mm.</t>
  </si>
  <si>
    <t>BROCA SDS-MAX TCT (TIPO GENERAL) 20 x 340 mm.</t>
  </si>
  <si>
    <t>BROCA SDS-MAX TCT (TIPO GENERAL) 20 x 540 mm.</t>
  </si>
  <si>
    <t>BROCA SDS-MAX TCT (TIPO GENERAL) 22 x 340 mm.</t>
  </si>
  <si>
    <t>BROCA SDS-MAX TCT (TIPO GENERAL) 22 x 540 mm.</t>
  </si>
  <si>
    <t>BROCA SDS-MAX TCT (TIPO GENERAL) 24 x 340 mm.</t>
  </si>
  <si>
    <t>BROCA SDS-MAX TCT (TIPO GENERAL) 25 x 340 mm.</t>
  </si>
  <si>
    <t>BROCA SDS-MAX TCT (TIPO GENERAL) 32 x 570 mm.</t>
  </si>
  <si>
    <t>BROCA SDS-MAX TCT (TIPO GENERAL) 35 x 370 mm.</t>
  </si>
  <si>
    <t>BROCA SDS-MAX TCT (TIPO GENERAL) 35 x 570 mm.</t>
  </si>
  <si>
    <t>JUEGO DE PUNTAS PARA TORNILLOS EXTRAIBLES (MÁSTER PACK x 12)</t>
  </si>
  <si>
    <t>COPA DIAMANTADA 35 mm. (M14)</t>
  </si>
  <si>
    <t>COPA DIAMANTADA 30 mm. (M14)</t>
  </si>
  <si>
    <t>SET DE PUNTAS DOBLES PARA ATORNILLAR PH2 X 65MM (10 PCs)</t>
  </si>
  <si>
    <t>BROCA MULTIPROPOSITO (OMNIBOHRER) 3 x 60 mm. (D-30287)</t>
  </si>
  <si>
    <t>BROCA MULTIPROPOSITO (OMNIBOHRER) 4 x 70 mm. (D-30293)</t>
  </si>
  <si>
    <t>BROCA MULTIPROPOSITO (OMNIBOHRER) 5.5 x 100 mm.</t>
  </si>
  <si>
    <t>BROCA MULTIPROPOSITO (OMNIBOHRER) 6 x 100 mm. (D-30318)</t>
  </si>
  <si>
    <t>BROCA MULTIPROPOSITO (OMNIBOHRER) 6 x 150 mm.</t>
  </si>
  <si>
    <t>BROCA MULTIPROPOSITO (OMNIBOHRER) 6.5 x 100 mm. (D-31061)</t>
  </si>
  <si>
    <t>BROCA MULTIPROPOSITO (OMNIBOHRER) 6.5 x 150 mm. (D-31077)</t>
  </si>
  <si>
    <t>BROCA MULTIPROPOSITO (OMNIBOHRER) 7 x 100 mm.</t>
  </si>
  <si>
    <t>BROCA MULTIPROPOSITO (OMNIBOHRER) 8 x 110 mm. (D-30352)</t>
  </si>
  <si>
    <t>BROCA MULTIMATERIAL (OMNIBOHRER) 8 x 150 mm.</t>
  </si>
  <si>
    <t>BROCA MULTIPROPOSITO (OMNIBOHRER) 9 x 150 mm.</t>
  </si>
  <si>
    <t>BROCA MULTIPROPOSITO (OMNIBOHRER) 10 x 150 mm. (D-30380)</t>
  </si>
  <si>
    <t>BROCA MULTIPROPOSITO (OMNIBOHRER) 11 x 150 mm. (D-30405)</t>
  </si>
  <si>
    <t>BROCA MULTIPROPOSITO (OMNIBOHRER) 12 x 150 mm. (D-30411)</t>
  </si>
  <si>
    <t>BROCA MULTIPROPOSITO (OMNIBOHRER) 12 x 400 mm.</t>
  </si>
  <si>
    <t>BROCA MULTIPROPOSITO (OMNIBOHRER) 12 x 600 mm.</t>
  </si>
  <si>
    <t>BROCA MULTIPROPOSITO (OMNIBOHRER) 13 x 150 mm. (D-30449)</t>
  </si>
  <si>
    <t>BROCA MULTIPROPOSITO (OMNIBOHRER) 14 x 150 mm.</t>
  </si>
  <si>
    <t>SIERRA COPA BI-METAL 14 mm.</t>
  </si>
  <si>
    <t>SIERRA COPA BI-METAL 17 mm.</t>
  </si>
  <si>
    <t>SIERRA COPA BI-METAL 21 mm.</t>
  </si>
  <si>
    <t>SIERRA COPA BI-METAL 30 mm.</t>
  </si>
  <si>
    <t>SIERRA COPA BI-METAL 33 mm.</t>
  </si>
  <si>
    <t>SIERRA COPA BI-METAL 37 mm.</t>
  </si>
  <si>
    <t>SIERRA COPA BI-METAL 41 mm.</t>
  </si>
  <si>
    <t>SIERRA COPA BI-METAL 43 mm.</t>
  </si>
  <si>
    <t>SIERRA COPA BI-METAL 46 mm.</t>
  </si>
  <si>
    <t>SIERRA COPA BI-METAL 48 mm.</t>
  </si>
  <si>
    <t>SIERRA COPA BI-METAL 52 mm.</t>
  </si>
  <si>
    <t>SIERRA COPA BI-METAL 56 mm.</t>
  </si>
  <si>
    <t>SIERRA COPA BI-METAL 59 mm.</t>
  </si>
  <si>
    <t>SIERRA COPA BI-METAL 67 mm.</t>
  </si>
  <si>
    <t>SIERRA COPA BI-METAL 73 mm.</t>
  </si>
  <si>
    <t>SIERRA COPA BI-METAL 79 mm.</t>
  </si>
  <si>
    <t>SIERRA COPA BI-METAL 89 mm.</t>
  </si>
  <si>
    <t>SIERRA COPA BI-METAL 95 mm.</t>
  </si>
  <si>
    <t>SIERRA COPA BI-METAL 98 mm.</t>
  </si>
  <si>
    <t>SIERRA COPA BI-METAL 102 mm.</t>
  </si>
  <si>
    <t>SIERRA COPA BI-METAL 108 mm.</t>
  </si>
  <si>
    <t>SIERRA COPA BI-METAL 111 mm.</t>
  </si>
  <si>
    <t>SIERRA COPA BI-METAL 114 mm.</t>
  </si>
  <si>
    <t>SIERRA COPA BI-METAL 121 mm.</t>
  </si>
  <si>
    <t>SIERRA COPA BI-METAL 140 mm.</t>
  </si>
  <si>
    <t>BROCAS SDS-PLUS (5 PCs) (6x160(2 PCs)  8x160  10x160  12x160 mm.)</t>
  </si>
  <si>
    <t>BROCA BARRENO ESPIRAL 12 x 470 mm.</t>
  </si>
  <si>
    <t>BROCA BARRENO ESPIRAL 14 x 470 mm.</t>
  </si>
  <si>
    <t>BROCA BARRENO ESPIRAL 16 x 470 mm.</t>
  </si>
  <si>
    <t>BROCA BARRENO ESPIRAL 18 x 470 mm.</t>
  </si>
  <si>
    <t>BROCA BARRENO ESPIRAL 20 x 470 mm.</t>
  </si>
  <si>
    <t>""BROCA SDS-MAX 1/2"" x 8"" x 13"" **"</t>
  </si>
  <si>
    <t>""BROCA SDS-MAX 1/2"" x 16"" x 21"" **"</t>
  </si>
  <si>
    <t>""BROCA SDS-MAX 5/8"" x 8"" x 13"" **"</t>
  </si>
  <si>
    <t>""BROCA SDS-MAX 5/8"" x 16"" x 21"" **"</t>
  </si>
  <si>
    <t>""BROCA SDS-MAX 3/4"" x 8"" x 13"" **"</t>
  </si>
  <si>
    <t>""BROCA SDS-MAX 3/4"" x 16"" x 21"" **"</t>
  </si>
  <si>
    <t>""BROCA SDS-MAX 7/8"" x 8"" x 13"" **"</t>
  </si>
  <si>
    <t>""BROCA SDS-MAX 7/8"" x 16"" x 21"" **"</t>
  </si>
  <si>
    <t>""BROCA SDS-MAX 1"" x 8"" x 13"" **"</t>
  </si>
  <si>
    <t>""BROCA SDS-MAX 1"" x 16"" x 21"" **"</t>
  </si>
  <si>
    <t>""BROCA SDS-MAX 1 1/8"" x 10"" x 15"" **"</t>
  </si>
  <si>
    <t>""BROCA SDS-MAX 1 1/8"" x 16"" x 21"" **"</t>
  </si>
  <si>
    <t>""BROCA SDS-MAX 1 3/8"" x 18"" x 22"" **"</t>
  </si>
  <si>
    <t>SET BROCAS MULTIPROPOSITO (OMNIBOHRER) (5 PCs) (4x70  5x85  6x100  8x150  10x150 mm.)</t>
  </si>
  <si>
    <t>BROCA PARA CONCRETO  6.5  x 100 mm.</t>
  </si>
  <si>
    <t>BROCAS MULTIPROPOSITO (OMNIBOHRER) (5 PCs) (4x70  5x85  6x100  8x150  10x150 mm.)</t>
  </si>
  <si>
    <t>DISCO DIAMANTADO BORDE CONTINUO 115 x 22.23 mm.</t>
  </si>
  <si>
    <t>DISCO DIAMAN.TURBO CON/GRA/MAR 110 x 20 x 2.5MM. HUMEDO CONCAVO (MARMOLERA) ***</t>
  </si>
  <si>
    <t>BROCA AVELLANADORA DE TRES FILOS 25x67mm  90°</t>
  </si>
  <si>
    <t>BROCA AVELLANADORA 10-15mm. HSS-Co 5%.  (REEMP.D-39182)</t>
  </si>
  <si>
    <t>DISCO DIAMANTADO SEGMENTADO 115 x 22.23 mm.</t>
  </si>
  <si>
    <t>DISCO DIAMANTADO SEGMENTADO 125 x 22.23 mm.</t>
  </si>
  <si>
    <t>DISCO DIAMANTADO SEGMENTADO 180 x 22.23 mm.</t>
  </si>
  <si>
    <t>DISCO DIAMANTADO SEGMENTADO 230 x 22.23 mm.</t>
  </si>
  <si>
    <t>DISCO DIAMANTADO TURBO 115 x 22.23 mm.</t>
  </si>
  <si>
    <t>DISCO DIAMANTADO TURBO 180 x 22.23 mm.</t>
  </si>
  <si>
    <t>""DISCO DIAMAN.TURBO CONCRETO  9"" x 22 x 3.1mm.SECO.S/ANILLO (LONG LIFE)"</t>
  </si>
  <si>
    <t>DISCO DIAMANTADO SEGMENTADO 125 x 20 mm.</t>
  </si>
  <si>
    <t>DISCO DIAMANTADO CONTINUO HUMEDO 110 x 20 mm.</t>
  </si>
  <si>
    <t>BROCA PARA METAL HSS-R  2 x 49 mm  2PCS/PKG</t>
  </si>
  <si>
    <t>BROCA PARA METAL HSS-R  4 x 75 mm  2PCS/PKG</t>
  </si>
  <si>
    <t>BROCA PARA METAL HSS-R  5 x 86 mm  1PCS/PKG</t>
  </si>
  <si>
    <t>DISCO SIERRA PARA MELAMINE  7-1/4" x 30.0 x 2.40MM. 60 DIENTES (REDUCTOR 3/4"-5/8")</t>
  </si>
  <si>
    <t>DISCO PARA MDF 255 x 30 x 60T REDUCTORES 15.88 20</t>
  </si>
  <si>
    <t>DISCO SIERRA PARA MELAMINE 12" x 30.0 x 3.00mm.120 DIENTES (REDUCTOR 5/8")</t>
  </si>
  <si>
    <t>BROCA PARA METAL HSS-R  1 x 34 mm  2PCS/PKG (D-38283)</t>
  </si>
  <si>
    <t>BROCA PARA METAL HSS-R  2 x 49 mm  2PCS/PKG (D-38308)</t>
  </si>
  <si>
    <t>BROCA PARA METAL HSS-R  3 x 61 mm  2PCS/PKG (D-38336)</t>
  </si>
  <si>
    <t>BROCA PARA METAL HSS-R  4 x 75 mm  2PCS/PKG (D-38364)</t>
  </si>
  <si>
    <t>BROCA PARA METAL HSS-R  5 x 86 mm  1PCS/PKG (D-38401)</t>
  </si>
  <si>
    <t>BROCA PARA METAL HSS-R  6 x 93 mm  1PCS/PKG</t>
  </si>
  <si>
    <t>BROCA PARA METAL HSS-R  7 x 109 mm  1PCS/PKG (D-38445)</t>
  </si>
  <si>
    <t>BROCA PARA METAL HSS-R  8 x 117 mm  1PCS/PKG (D-38467)</t>
  </si>
  <si>
    <t>BROCA PARA METAL HSS-R   9 x 125 mm  1PCS/PKG (D-38489)</t>
  </si>
  <si>
    <t>BROCA PARA METAL HSS-R  10 x 133 mm  1PCS/PKG (D-38495)</t>
  </si>
  <si>
    <t>BROCA PARA METAL HSS-R  11 x 142 mm  1PCS/PKG (D-38504)</t>
  </si>
  <si>
    <t>BROCA PARA METAL HSS-R  12 x 151 mm  1PCS/PKG (D-38510)</t>
  </si>
  <si>
    <t>Cepillo de alambre 100MM.</t>
  </si>
  <si>
    <t>Cepillo oblicuo rizado de acero 115mm</t>
  </si>
  <si>
    <t>BROCA CONICA RECTA FILO RECTO 4-20mm.VASTAGO TRIANGULAR ACABADO PLATEADO*</t>
  </si>
  <si>
    <t>BROCAS + PUNTAS DE ATORNILLAR - 17 PCs</t>
  </si>
  <si>
    <t>BROCA DE PASO ESPIRAL RECUBRIMIENTO DE TI (4 - 12 mm) (D-40179)</t>
  </si>
  <si>
    <t>BROCA DE PASO ESPIRAL RECUBRIMIENTO DE TI (4 - 20 mm)(D-40185)</t>
  </si>
  <si>
    <t>BROCA DE PASO ESPIRAL RECUBRIMIENTO DE TI (4-32 mm)(D-40191)</t>
  </si>
  <si>
    <t>SET Brocas SDS-PLUS (5x110  6x110  6x160  8x110 (D-40593)</t>
  </si>
  <si>
    <t>SET BROCA P/ LADRILLO 4-5-6-8-10mm   5u.</t>
  </si>
  <si>
    <t>DISCO DIAMANTADO PARA TUBERIA / ANGULO DE HIERRO 355 x 25.4 mm</t>
  </si>
  <si>
    <t>DISCO DE DIAMANTE ONDULADO (125 x 5 x 22.23 mm.) PARA PC5001C</t>
  </si>
  <si>
    <t>DISCO DIAMANTADO SEGMENTADO PARA CONCRETO 105x20 mm.</t>
  </si>
  <si>
    <t>DISCO DIAMANTADO ONDULADO PARA GRANITO Y MARMOL 105x20 mm.</t>
  </si>
  <si>
    <t>DISCO DIAMANTADO SEGMENTADO ONDULADO PARA CONCRETO Y GRANITO 105x20 mm.</t>
  </si>
  <si>
    <t>""Multi-purposes Carbide Holesaw 38mm(1-1/2"")"</t>
  </si>
  <si>
    <t>SIERRA DE CALAR TIPO T PARA MADERA (TERMINACIONES) HCS (100 mm.) 9 DIENTES X PULG. (5 PCs)</t>
  </si>
  <si>
    <t>""DISCO DIAMANTADO SEGMENTADO 115(4-1/2"") x 22.23mm."</t>
  </si>
  <si>
    <t>""DISCO DIAMANTADO SEGMENTADO 180(7"") x 22.23mm."</t>
  </si>
  <si>
    <t>DISCO DIAMANTADO TURBO PARA GRANITO/MARMOL/SECO115 x 7 X  22.23 mm.</t>
  </si>
  <si>
    <t>DISCO DIAMAN.SEG.TURBO CONCRETO/GRANITO 4.5" x 22 x 2.6mm.SECO *</t>
  </si>
  <si>
    <t>BROCA COPA DIAMANTE 25mm</t>
  </si>
  <si>
    <t>BROCA COPA DIAMANTE 30mm</t>
  </si>
  <si>
    <t>BROCA COPA DIAMANTE 35mm</t>
  </si>
  <si>
    <t>SIERRA COPA BI-METAL 19 mm. (16 PCs)</t>
  </si>
  <si>
    <t>SIERRA COPA BI-METAL 20 mm. (14 PCs)</t>
  </si>
  <si>
    <t>SIERRA COPA BI-METAL 29 mm. (10 PCs)</t>
  </si>
  <si>
    <t>SIERRA COPA BI-METAL 32 mm. (10 PCs)</t>
  </si>
  <si>
    <t>SIERRA COPA BI-METAL 35 mm. (10 PCs)</t>
  </si>
  <si>
    <t>DISCO DIAMANTADO BORDE ELECTROCHAPADO PARA MARMOL (WET) 110x20x5 mm.</t>
  </si>
  <si>
    <t>GRATA TRENZADA T/PLANA 175mm. X M14 x 0.5</t>
  </si>
  <si>
    <t>""PLUNGE CUT ROUNDOVER BIT  diameter 3/4""    length 1/2""  overall length 1-3/4"""</t>
  </si>
  <si>
    <t>""PLUNGE CUT ROUNDOVER BIT  diameter 1-1/2""    length 1-1/8""  overall length 2-3/8"""</t>
  </si>
  <si>
    <t>""FRESA CLASICA  VAS 1/2"" * D 1"" * L. Util 5/8"" * L. total 2-1/8"" * R 7/32"""</t>
  </si>
  <si>
    <t>""FRESA CLASICA T.PANEL  VAS 1/2"" * D 1"" * L. Util 5/8"" * L. total 2-1/8"" * R 7/32"""</t>
  </si>
  <si>
    <t>""OVOLO BIT  diameter 3/4""    length 3/8""  overall length1-11/16"""</t>
  </si>
  <si>
    <t>""OVOLO BIT  diameter 1""    length 17/32""  overall length1-13/16"""</t>
  </si>
  <si>
    <t>""FRESA MOLDURA EN C  C.R.  VAS. 1/2"" * D 2"" * L. UTIL 1""  L. total 2-15/16"" * R 3/4"""</t>
  </si>
  <si>
    <t>""FRESA MEDIA CAÑA C.R.  VAS 1/4"" * D 5/8"" * L. Util 1/4"" * L. total 1-15/16"" * R 1/16"""</t>
  </si>
  <si>
    <t>""FRESA MEDIA CAÑA C.R.  VAS 1/4"" * D 1-1/8"" * L. Util 1/2"" * L. total 2-3/16"" * R 5/16"""</t>
  </si>
  <si>
    <t>""CHAMFER BIT - WITH BEARING - diameter 1""    length 3/8""  overall length 2"""</t>
  </si>
  <si>
    <t>""FRESA P/ENSAMBLES EN L / C.R. VAS 1/2"" * D 1-1/4"" * L. Util 1/2"" * L. total 2-3/16"" P.C 3/8"""</t>
  </si>
  <si>
    <t>""OGEE BIT - WITH BEARING - diameter 1-1/2""    length 5/8""  overall length 2-5/16"""</t>
  </si>
  <si>
    <t>""FULL BEAD BIT diameter 1""    length 1/2""  overall length 2-13/32"""</t>
  </si>
  <si>
    <t>""FISH HANDRAIL BIT diameter 1-1/8""    length 1-5/8""  overall length 3-17/32"""</t>
  </si>
  <si>
    <t>""MULTI EDGE BEADING BIT diameter 2-1/4""    length 1-7/8""  overall length 4"""</t>
  </si>
  <si>
    <t>""FRESA MACHIMBRADO E. C.R.  VAS 1/2"" * D 1-39/64"" * L. Util 3/4"" * L. total 2-51/64"" P.C 11/32"""</t>
  </si>
  <si>
    <t>""FRESA RANURADORA 3F C.R.  VAS 1/4"" * D 1-7/8"" * L. Util 7/32"" * L. total 2-5/16"" * P.C  1/2"""</t>
  </si>
  <si>
    <t>ADAPTADOR CON BROCA GUIA TCT 22-105mm PARA TALADRO DE 13mm</t>
  </si>
  <si>
    <t>ADAPTADOR CON BROCA GUIA TCT 22-32mm PARA ROTOMARTILLOS SDS PLUS</t>
  </si>
  <si>
    <t>SET DE BROCAS PARA METAL HSS-CO (COBALTO 5%) 19PCS 1-10mm</t>
  </si>
  <si>
    <t>DISCO DIAMANTADO ELECTROCHAPADO 115mmx2</t>
  </si>
  <si>
    <t>DISCO DIAMANTADO ELECTROCHAPADO  180mmx2</t>
  </si>
  <si>
    <t>DISCO DIAMANTADO ELECTROCHAPADO  230mmx2</t>
  </si>
  <si>
    <t>OPEN TOTE BAG 360x495x290  /  MALETA PORTAHERRAMIENTAS</t>
  </si>
  <si>
    <t>DISCO DE SIERRA PARA MADERA 185MMx20MM 16D</t>
  </si>
  <si>
    <t>""DISCO DE SIERRA P/ MADERA (9-1/4""x1"") (235x25.4mm.) 20D"</t>
  </si>
  <si>
    <t>SIERRA SABLE METAL   9" x 2u. PLANCHA ACERO 0.7-3mm. PERFIL  1-150mm.</t>
  </si>
  <si>
    <t>HOJA LIJA 230 x 280 mm Gr.   40 ( 50 PCS)</t>
  </si>
  <si>
    <t>HOJA LIJA 230 x 280 mm Gr.   80 ( 50 PCS)</t>
  </si>
  <si>
    <t>ROUTER BIT 3pcs/SET</t>
  </si>
  <si>
    <t>GRATA RIZADA T/ COPA 75mm. X M14 x 0.3</t>
  </si>
  <si>
    <t>""GRATA COPA 4""PELO 0.3mm.ONDULADO ROSCA M14"</t>
  </si>
  <si>
    <t>GRATA TRENZADA T/ COPA 75mm. X M14 x 0.5</t>
  </si>
  <si>
    <t>GRATA RIZADA T/ COPA 60mm. X M14 x 0.5</t>
  </si>
  <si>
    <t>GRATA TRENZADA REFOR. T/ COPA 100mm. X M14 x0.5</t>
  </si>
  <si>
    <t>GRATA TRENZADA T/PLANA 115mm. X M14 x 0.5</t>
  </si>
  <si>
    <t>GRATA ONDULADA T/COPA (LATON) 75mm x M14 x 0.3</t>
  </si>
  <si>
    <t>GRATA ONDULADA T/COPA (Laton)  100mm x M14 x 0.3</t>
  </si>
  <si>
    <t>GRATA RIZADA T/BISELADA 115mm. X M14 x 0.3</t>
  </si>
  <si>
    <t>GRATA TRENZADA T/BISELADA 115mm. X M14 x 0.5</t>
  </si>
  <si>
    <t>BONETE BLANCO DOBLE CARA DE 230mm  100% LANA TRABAJA CON (D-56960)</t>
  </si>
  <si>
    <t>""Disco Concreto Diamantado 355mm (14"")"</t>
  </si>
  <si>
    <t>""Disco Concreto Diamantado 400mm (16"")"</t>
  </si>
  <si>
    <t>BONETE AMARILLO DOBLE CARA DE 230mm  (EXTRA FINO) TRABAJA CON</t>
  </si>
  <si>
    <t>CINCEL HEXAGO.28.6mm.PUNTA 520mm. S/COLLARIN</t>
  </si>
  <si>
    <t>CINCEL HEXAGO.28.6mm.PLANO 28 x 520mm.C/COLLARIN(REEMP.D-61575)</t>
  </si>
  <si>
    <t>DISCO TIPO COPA DIAMANTADO DOBLE SEGMENTO PARA CONCRETO (4 1/2"") 115mm x 22.23mm</t>
  </si>
  <si>
    <t>""DISCO TIPO COPA DIAMANTADO DOBLE SEGMENTO PARA CONCRETO (7"") 180mm x 22.23mm"</t>
  </si>
  <si>
    <t>""DISCO TIPO COPA DIAMANTADO TURBO PARA CONCRETO (4 1/2"") 115mm x 22.23mm"</t>
  </si>
  <si>
    <t>SET DE BROCAS PARA MADERA ENCASTRE HEXAGONAL (2,3,3,4,5,6,8mm) 7 PIEZAS</t>
  </si>
  <si>
    <t>DISCO SIERRA PARA MELAMINE 10" x 25.4 x 2.60MM.  84 DIENTES</t>
  </si>
  <si>
    <t>Esponja para pulido tipo plana - naranja(grueso) 125mm para PO5000C</t>
  </si>
  <si>
    <t>Esponja para pulido tipo plana - azul(medio) 125mm para PO5000C</t>
  </si>
  <si>
    <t>Esponja para pulido tipo plana - negro(fino) 125mm para PO5000C</t>
  </si>
  <si>
    <t>Esponja para pulido tipo ondulada - naranja(grueso) 125mm para PO5000C</t>
  </si>
  <si>
    <t>Esponja para pulido tipo ondulada - azul(medio) 125mm para PO5000C</t>
  </si>
  <si>
    <t>Esponja para pulido tipo ondulada - negro(fino) 125mm para PO5000C</t>
  </si>
  <si>
    <t>""Fresa Recta Patern 3/4"" x 1/2"""</t>
  </si>
  <si>
    <t>DISCO DE LAMINILLAS A40 115x22.23</t>
  </si>
  <si>
    <t>DISCO DE LAMINILLAS A60 115x22.23</t>
  </si>
  <si>
    <t>DISCO DE LAMINILLAS A80 115x22.23</t>
  </si>
  <si>
    <t>DISCO DE LAMINILLAS A120 115x22.23</t>
  </si>
  <si>
    <t>DISCO DE LAMINILLAS A40 125x22.23</t>
  </si>
  <si>
    <t>DISCO DE LAMINILLAS A60 125x22.23</t>
  </si>
  <si>
    <t>DISCO DE LAMINILLAS A80 125x22.23</t>
  </si>
  <si>
    <t>DISCO DE LAMINILLAS A120 125x22.23</t>
  </si>
  <si>
    <t>DISCO DE LAMINILLAS A40 180x22.23</t>
  </si>
  <si>
    <t>DISCO DE LAMINILLAS A60 180x22.23</t>
  </si>
  <si>
    <t>DISCO DE LAMINILLAS A80 180x22.23</t>
  </si>
  <si>
    <t>DISCO DE LAMINILLAS A120 180x22.23</t>
  </si>
  <si>
    <t>CUCHILLA PLANA 170 mm P/ 1806B</t>
  </si>
  <si>
    <t>DISCO DE LAMINILLA 180 mm. GRANO #Z60</t>
  </si>
  <si>
    <t>ORGANIZADOR PLÁSTICO PARA DISCOS 125 – 115mm</t>
  </si>
  <si>
    <t>BROCA PARA METAL HSS-TIN 6.5x101mm VASTAGO CILINDRICO</t>
  </si>
  <si>
    <t>BROCA PARA METAL HSS-TIN 8x117MM. VASTAGO CILINDRICO</t>
  </si>
  <si>
    <t>BROCA PARA METAL HSS-TIN 10x133mm VASTAGO CILINDRICO</t>
  </si>
  <si>
    <t>BROCA PARA METAL HSS-TIN 12.5x151mm VASTAGO CILINDRICO</t>
  </si>
  <si>
    <t>BROCA PARA METAL HSS-TIN 13x151mm VASTAGO CILINDRICO</t>
  </si>
  <si>
    <t>Disco de Sierra (230 mm) - Aligerado</t>
  </si>
  <si>
    <t>Disco de Sierra (255 mm) - Aligerado</t>
  </si>
  <si>
    <t>Disco de 4 puntas 255 mm / UR006 / UR016</t>
  </si>
  <si>
    <t>COPA DIAMANTADA CONCRETO 5" x 22mm. SEGMENTOS DOBLE LINEA.</t>
  </si>
  <si>
    <t>Lima Redonda 4.0 mm (12 Und)</t>
  </si>
  <si>
    <t>""FRESA VAST. 6mm RANURA ""V"" 60°-12.7mm ANCHO-ALTURA 16mm"</t>
  </si>
  <si>
    <t>""FRESA VAST. 6mm RANURA ""V"" 90°-19mm ANCHO-ALTURA 16mm"</t>
  </si>
  <si>
    <t>""FRESA VAST. 12mm RANURA ""V"" 90°-19mm ANCHO-ALTURA 16mm"</t>
  </si>
  <si>
    <t>BROCA DE PERFORACIÓN  diametro 3/4""  longitud 1/2""  longitud total 1-3/4"""</t>
  </si>
  <si>
    <t>BROCA PARA METAL HSS (SET 18 PCs)</t>
  </si>
  <si>
    <t>""ESPONJA AMARILLA (GRUESO) 190mm P/ PULIDORA DE 7"""</t>
  </si>
  <si>
    <t>BONETE BLANCO DOBLE CARA DE 230mm  100% LANA TRABAJA</t>
  </si>
  <si>
    <t>""CUCHILLA PLANA 1 SOLO FILO 155mm.""HSS"" P/CEPILLO {1805N} Jgx2u."</t>
  </si>
  <si>
    <t>SET DE BROCAS PARA METAL ,CONCRETO,MADERA (5, 6,8mm) DE CADA UNA 9 PIEZAS</t>
  </si>
  <si>
    <t>DISCO ABRA CORTE INOX   4.5"" x 1.0mm.(WA46R) **</t>
  </si>
  <si>
    <t>DISCO ABRA CORTE INOX   4.5"" x 1.0mm.(WA46R) ** (10 PCS)</t>
  </si>
  <si>
    <t>Kit de Limado Estuche 4.0 mm</t>
  </si>
  <si>
    <t>SET BROCAS HSS TIN METAL 10u. (1-10mm)</t>
  </si>
  <si>
    <t>SET DE BROCAS PARA MADERA 4-5-6-8-10mm 5u.</t>
  </si>
  <si>
    <t>DISCO DE SIERRA PARA ALUMINIO 7 1/4" x 20mm 60 DIENTES (REDUCTOR 5/8")*</t>
  </si>
  <si>
    <t>DISCO SIERRA PARA ALUMINIO 12""  x 25.4.  80 DIENTES*</t>
  </si>
  <si>
    <t>JUEGO DE PUNTAS CON DADO MAGNETICO (7Pcs)</t>
  </si>
  <si>
    <t>JUEGO DE PUNTAS PARA ATORNILLAR (10Pcs)</t>
  </si>
  <si>
    <t>SET DE BROCAS AVELLANADORA (6,8,10,12mm) 4 PIEZAS</t>
  </si>
  <si>
    <t>""DISCO ABRA DESBASTE METAL 4.5""x 6.0mm.(A24P) *"</t>
  </si>
  <si>
    <t>DISCO ABRA DESBASTE METAL 7""   x 6.0mm.(A24P)  *</t>
  </si>
  <si>
    <t>SET BROCAS SDS-PLUS (4 PCs) (6.5  8x  10  12 x160 mm.)</t>
  </si>
  <si>
    <t>CUCHILLAS DE REPUESTO P/D-65713 (10pcs)</t>
  </si>
  <si>
    <t>DISCO DIAMAN.CONTINUO PORCELANATO  76 x 10 x 1.6mm.HUMEDO  (DMC300)**</t>
  </si>
  <si>
    <t>DISCO ABRA CORTE INOX  76mm x 10mm x 1.00 mm.(WA60T) (P/DMC300) **(5PCS)</t>
  </si>
  <si>
    <t>DISCO DIAMAN.SEG.ONDU. PVC/ YESO/ EPOXICO 76 x 10 mm.(P/DCM300)**</t>
  </si>
  <si>
    <t>Barreno para Tierra (Hex) (12 mm) - 100 x 600 mm - Taladro</t>
  </si>
  <si>
    <t>DISCO ABRA CORTE INOX   7""    x 2.0mm.(WA46R)  *</t>
  </si>
  <si>
    <t>DISCO ABRA CORTE INOX   9""    x 2.0mm.(WA46R)  *</t>
  </si>
  <si>
    <t>Kit de Limado con Base Metálica 4.0 mm - Para Atornillador</t>
  </si>
  <si>
    <t>SET DE BROCAS METAL/INOX HSS-Co (ESPECIALIZADO) -2-3-4-5-6-8mm</t>
  </si>
  <si>
    <t>ESPONJA PLANO PARA PULIR 150mm - BAJA REPULSIÓN-MEDIO (BLANCA)(P/PO500C/DPO500)</t>
  </si>
  <si>
    <t>SET BROCA PARA CONCRETO (12 PCS) (4x70mm-5x85mm (2x)-6x100mm(3x)-8x110mm (3x)-10x150(2x)-12x150mm)</t>
  </si>
  <si>
    <t>SET DE BROCAS PARA MADERA (3,4,5,6,7,8,9,10mm) ESTUCHE AZUL MAKITA 7 PIEZAS</t>
  </si>
  <si>
    <t>Vacuum brazed Diamond pin drill bit</t>
  </si>
  <si>
    <t>BROCA PARA METAL HSS-GS (10 PCs) 7 x 109 mm.</t>
  </si>
  <si>
    <t>BROCA PARA METAL HSS-GS (5 PCs) 8.5 x 117 mm.</t>
  </si>
  <si>
    <t>BROCA PARA METAL HSS-GS (5 PCs) 9 x 125 mm.</t>
  </si>
  <si>
    <t>BROCA PARA METAL HSS-GS (5PCs) 9.5 x 125 mm.</t>
  </si>
  <si>
    <t>BROCA PARA METAL HSS-GS (5 PCs) 10.5 x 133 mm.</t>
  </si>
  <si>
    <t>BROCA PARA METAL HSS-GS (5 PCs) 12.5 x 151 mm.</t>
  </si>
  <si>
    <t>Cincel SDS-PLUS PLANO CURVADO 20°  50 X 250 MM</t>
  </si>
  <si>
    <t>Cincel SDS-MAX PLANO CURVADO 20°  50 X 250 MM</t>
  </si>
  <si>
    <t>Glass bit 12x96</t>
  </si>
  <si>
    <t>DISCO DIAMANTADO SEGMENTADO PARA CONCRETO 115 x 22.23 mm. REEMPLAZO DE D-71015</t>
  </si>
  <si>
    <t>PALETA MEZCLADORA CON VASTAGO  M14 MEDIDAS 120x600mm ENCASTRE ROSCADO</t>
  </si>
  <si>
    <t>PALETA MEZCLADORA CON VASTAGO DE 3/8" MEDIDAS 120x600mm IDEAL PARA USO CON MANDRIL</t>
  </si>
  <si>
    <t>PALETA MEZCLADORA PARA MATERIALES VISCOSOS CON VASTAGO DE 3/8" MEDIDAS 120x600mm IDEAL PARA USO CON MANDRIL</t>
  </si>
  <si>
    <t>Offset diamond wheel single 115x22.23mm Dry 1pc</t>
  </si>
  <si>
    <t>Offset diamond wheel double 115mmx22.23mm Dry 1pc</t>
  </si>
  <si>
    <t>DISCO TIPO COPA DIAMANTADO DOBLE SEGMENTO PARA CONCRETO" (7") 180MM X 22.23MM- remplazo de D-62321</t>
  </si>
  <si>
    <t>Offset diamond wheel turbo 115mmx22.23mm Dry 1pc</t>
  </si>
  <si>
    <t>DISCO DE SIERRA PARA ESTACIONARIA CORTE ALUMINIO 12" TCT 305x25,4mmx 100 DIENTES</t>
  </si>
  <si>
    <t>T.C.T. SAW BLADE FOR WOOD 165X20mmX24T (WITH RING 15.88mm)</t>
  </si>
  <si>
    <t>TCT saw blade for circular saw wood general 235x25.4mmx40T</t>
  </si>
  <si>
    <t>Barreno para Tierra (Hex) - 30 x 600 mm - Taladro</t>
  </si>
  <si>
    <t>Barreno para Tierra (Hex) (10 mm) - 45 x 600 mm - Taladro</t>
  </si>
  <si>
    <t>Barreno para Tierra (Hex) (12 mm) - 70 x 600 mm - Taladro</t>
  </si>
  <si>
    <t>Barreno para Tierra (Hex) (10 mm) -100 x 600 mm - Taladro</t>
  </si>
  <si>
    <t>Barreno para Tierra (Hex) (12 mm) - 130 x 600 mm - Taladro</t>
  </si>
  <si>
    <t>Disco de Sierra (230 mm) - Aligerado (Nuevo)</t>
  </si>
  <si>
    <t>Disco de Sierra (255 mm) - Aligerado (Nuevo)</t>
  </si>
  <si>
    <t>TARUGO PLANO (GALLETA) (TIPO #0) 47 x 16 x 4mm. (100 PCs)</t>
  </si>
  <si>
    <t>TARUGO PLANO (GALLETA) (TIPO #10) 53 x 19 x 4mm. (100 PCs)</t>
  </si>
  <si>
    <t>TARUGO PLANO (GALLETA) (TIPO #20) 56 x 23 x 4mm. (100 PCs)</t>
  </si>
  <si>
    <t>Taladro Angular XGT 40 Vmax/Mandril 1/2"/0- 1500 Rpm - 0-400 Rpm/Mandril 1/2"/BL-ADT-XPT/Sin Baterias</t>
  </si>
  <si>
    <t>Taladro Angular 3/8"/450W"</t>
  </si>
  <si>
    <t>Taladro Angular 12V / 3/8" / 0 - 1 100 RPM / 84mm (cabeza) / 2 x 2.0 Ah</t>
  </si>
  <si>
    <t>""Taladro Angular 12V / 3/8"" / 0 - 1 100 RPM / 84mm (cabeza) / Sin Baterías"</t>
  </si>
  <si>
    <t>""Taladro de Rotacion Angular 1/2"" 710W. 2 velocidades 4Kg."</t>
  </si>
  <si>
    <t>Desbrozadora 2 Tiempos 3.1 Hp 45 cc</t>
  </si>
  <si>
    <t>""Clavadora Inalambrica 18v. 5/8""-2"" Calibre 18Ga. Cap.110 pzas. 3.5Kg. S/Baterias"</t>
  </si>
  <si>
    <t>Clavadora  LXT 18V/BL /Cap. 110 Clavos/Cal. 18/ Clavos 35mm/Sin Baterias</t>
  </si>
  <si>
    <t>Clavadora Inalambrica 64mm</t>
  </si>
  <si>
    <t>Clavadora LXT 18V/BL/Cap-110 Clavos/Cal 16/Clavos 15-18-25-30-35mm/XPT/Sin Baterias</t>
  </si>
  <si>
    <t>Clavadora  LXT 18V/BL/XPT/Cap. 108 Clavos/Cal. 18/ Clavos 64mm/Sin Baterias</t>
  </si>
  <si>
    <t>Clavadora  LXT 18V/BL/XPT/Cap. 110 Clavos/Cal. 18/ Clavos 64mm/Sin Baterias</t>
  </si>
  <si>
    <t>Clavadora  LXT 18V/BL/XPT/Cap. 58 Clavos/Cal. 18/ Clavos 90mm/Sin Baterias</t>
  </si>
  <si>
    <t>Lijadora Orbital 18V/5"/ 3 Velocidades/Sin Baterías</t>
  </si>
  <si>
    <t>Lijadora Orbital 1/3 Pliego LXT 18V (93X228mm)/2 Vel./14 000 Opm/Sin Baterías</t>
  </si>
  <si>
    <t>Lijadora Orbital 1/4 Pliego LXT 18V (112X102mm)/2 Vel./14 000 Opm/Sin Baterías</t>
  </si>
  <si>
    <t>Lijadora De Banda 18V/9mm (3/8")/Vel. Var./LXT - BL/Sin Bat"</t>
  </si>
  <si>
    <t>Manta térmica 18V / LXT /  3 niveles / Polyester / Marrón / Sin Baterías</t>
  </si>
  <si>
    <t>Cortadora De Marmol 18V LXT - BL-ADT-AWS/Sin Baterias</t>
  </si>
  <si>
    <t>Cortadora De Concreto 9" LXT 18Vx2 (36Vmax)/BL-Aft-XPT-/ Sin Baterías</t>
  </si>
  <si>
    <t>""Ventilador 18V / 250mm (9 - 7/8"") / 3 velocidades / Sin Baterías"</t>
  </si>
  <si>
    <t>Ventilador 13" (330mm) LXT 18V - Ac/3 Vel./Hasta 220M/Min/Temporizador/Sin Baterías</t>
  </si>
  <si>
    <t>VENTILADOR INALAMBRICO 18V.LXT Litio-Ion - MUESTRA</t>
  </si>
  <si>
    <t>Ventilador LXT 18V/Ca-Cc/330mm (13")/3 Velocidades/Sin Baterías</t>
  </si>
  <si>
    <t>Pistola Calafateadora 18V/5 000 N/0 - 28mm Sec/Sin Baterías</t>
  </si>
  <si>
    <t>Casaca Térmica LXT 18V/5 Zonas De Calor/2Xl/Sin Baterías</t>
  </si>
  <si>
    <t>Casaca Térmica LXT 18V/5 Zonas De Calor/L/Sin Baterías</t>
  </si>
  <si>
    <t>Casaca Térmica LXT 18V/5 Zonas De Calor/M/Sin Baterías</t>
  </si>
  <si>
    <t>Casaca Térmica LXT 18V/5 Zonas De Calor/S/Sin Baterías</t>
  </si>
  <si>
    <t>Casaca Térmica LXT 18V/5 Zonas De Calor/Xl/Sin Baterías</t>
  </si>
  <si>
    <t>Aspiradora Inalámbrica LXT 18V / 650ml / 1.4m3/min / 4.2 kPa (inc bateria 1.5Ah/cargador)</t>
  </si>
  <si>
    <t>Aspiradora Inalámbrica LXT 18 V</t>
  </si>
  <si>
    <t>Aspiradora inal. Bastón Azul LXT 18V / 5.3 KPa / 650ml / 1.4 m³/min (Sin Baterías/Cargador)</t>
  </si>
  <si>
    <t>Aspiradora inal. Blanca LXT 18V / 5.3 KPa / 650ml / 1.4m3/min (Sin baterias/Cargador)</t>
  </si>
  <si>
    <t>Aspiradora Inal Bastón Azul LXT 18V / 5.4 kPa / 500ml / 1.4m3/min  (Sin baterías/cargador)</t>
  </si>
  <si>
    <t>Aspiradora inal. Automotriz LXT 18V / 5.4 KPa / 500ml / 1.4m3/min (Sin Batería/Cargador)</t>
  </si>
  <si>
    <t>Aspiradora Inalámbrica.</t>
  </si>
  <si>
    <t>Aspiradora Inalámbrica LXT 18V / 800ml / 1.5m3/min / 8.2 kPa (inc bateriaX1 5.0 Ah + cargador)</t>
  </si>
  <si>
    <t>Aspiradora Inalámbrica LXT 18V / 800ml / 1.5m3/min / 8.2 kPa (Blanca) inc bateriaX1 5.0 Ah+car.</t>
  </si>
  <si>
    <t>Aspiradora Inalámbrica LXT 18V / 800ml / 1.5m3/min / 8.2 kPa / Sin Baterías</t>
  </si>
  <si>
    <t>Aspiradora Inalámbrica LXT 18V</t>
  </si>
  <si>
    <t>Aspiradora Inal Blanca/Azul LXT 18V / 8.2 kPa / 750ml / 1.5m3/min (Sin Baterías/cargador)</t>
  </si>
  <si>
    <t>Aspiradora inal. Bastón Negra/Azul LXT 18V / 17.5 KPa / 730ml / 1.1 m³/min (Sin Baterías/Cargador)</t>
  </si>
  <si>
    <t>Aspiradora inal. Bastón Blanca LXT 18V / 17.5 KPa / 730ml / 1.1 m³/min (Sin Baterías/Cargador)</t>
  </si>
  <si>
    <t>Aspiradora inal. Bastón Negra LXT 18V / 18 KPa / 250ml / 1.0 m³/min (Sin Baterías/Cargador)</t>
  </si>
  <si>
    <t>Aspiradora inal. Bastón Blanca LXT 18V / 18 KPa / 250ml / 1.0 m³/min (Sin Baterías/Cargador)</t>
  </si>
  <si>
    <t>Aspiradora cyclon Inalambrica  18V  / 250ml. / Flujo 1.3m³ / BL-LXT / Sin Baterías</t>
  </si>
  <si>
    <t>Aspiradora Inalámbrica LXT 18V / 500ml / 1.2m3/min / 10 kPa</t>
  </si>
  <si>
    <t>CAFETERA INALAMBRICA 18V. - 1 7K.g</t>
  </si>
  <si>
    <t>Cafetera 12V/18V /240Ml/Sin Baterías</t>
  </si>
  <si>
    <t>CORTADORA P/DRYWALL INALAMBRICA 18V. - 1 4Kg. S/BATERIA - MUESTRA</t>
  </si>
  <si>
    <t>Cortadora De Drywall 18V/1/4" - 1/8"/32 000 Rpm/LXT - BL - XPT - AWS/Sin Bat"</t>
  </si>
  <si>
    <t>""Motosierra ""one hand"" 22.2cc 3/8"" 10"" 1.02Hp"</t>
  </si>
  <si>
    <t>""Motosierra ""one hand"" 22.2cc 3/8"" 10"" 1.02Hp ""carving"""</t>
  </si>
  <si>
    <t>""Cortador circular  Metal Inal / 18V / Cap. Corte 2-1/4""/ BL-XPT-LXT /  Sin Baterías"</t>
  </si>
  <si>
    <t>Cortadora Circular De Metal 5-3/8" 18V/Cap. Corte 2" /LXT/ Sin Baterías</t>
  </si>
  <si>
    <t>""Cortadora Circular de Metal Inal 5-7/8"" / Cap. Corte 2-1/4"" / BL - XPT - LXT / 2 x 5.0Ah"</t>
  </si>
  <si>
    <t>Cortadora Circular De Metal Inal 5-7/8"/Cap. Corte 2-1/4"/BL - XPT - LXT/ Sin Baterías</t>
  </si>
  <si>
    <t>""Motosierra 72.6 cc. 3/8"" 28"" 5.7 Hp"</t>
  </si>
  <si>
    <t>Motosierra 90cc. 0.404” 29” 6.7 HP</t>
  </si>
  <si>
    <t>Carro Transporte inal. 18V LXT XPT BL Motor (Sin Bateria/Cargador/Accesorios)</t>
  </si>
  <si>
    <t>Carro Transporte a Batería 18Vx2 Incluye Plataforma (Tipo Elevador) 300 Kg  LXT BL XPT (Sin BaterÍa/Cargador)</t>
  </si>
  <si>
    <t>Carro Transporte Inal. 18VX2 LXT XPT BL Motor (sin bateria/cargador/accesorios)</t>
  </si>
  <si>
    <t>Carro Transporte inal. Incluye BUGUI 200L Descarga automática 18Vx2 LXT BL XPT (Sin Bateria/Cargador)</t>
  </si>
  <si>
    <t>Carro Transporte inal. Incluye BUGUI 200L Descarga manual 18Vx2 LXT BL XPT (Sin Bateria/Cargador)</t>
  </si>
  <si>
    <t>Carro Transporte inal. Incluye Rejilla 300 Kg 18Vx2 LXT BL XPT (Sin Bateria/Cargador)</t>
  </si>
  <si>
    <t>Carro Transporte inal. Incluye Tolva 200L / 300 Kg 18Vx2 LXT BL XPT (Sin Bateria/Cargador)</t>
  </si>
  <si>
    <t>Polo mangalarga termico 12V-18V/ 3 Niveles/ Polyester/ Talla L/ Sin baterias</t>
  </si>
  <si>
    <t>Polo mangalarga termico 12V-18V/ 3 Niveles/ Polyester/ Talla M/ Sin baterias</t>
  </si>
  <si>
    <t>Polo mangalarga termico 12V-18V/ 3 Niveles/ Polyester/ Talla XL/ Sin baterias</t>
  </si>
  <si>
    <t>""Taladro Angular 18V x 2= 36V / 1/2"" / BL - ADT / 2 x 5.0 Ah"</t>
  </si>
  <si>
    <t>Taladro Angular 18V X 2= 36V/1/2"/BL - ADT/ Sin Baterías</t>
  </si>
  <si>
    <t>""Taladro Atornillador Inal Hex 1/4"" 18V / 40-23 Nm / BL-XPT - LXT /  2 x 3.0 Ah"</t>
  </si>
  <si>
    <t>""Taladro Atornillador Inal Hex 1/4"" 18V / 40-23 Nm / BL-XPT - LXT /  2 x 5.0 Ah"</t>
  </si>
  <si>
    <t>""Taladro Atornillador Inal Hex 1/4"" 18V / 40-23 Nm / BL-XPT - LXT / Sin Baterías"</t>
  </si>
  <si>
    <t>Taladro Rotacion Inalámbrico 18V. S/BATERIA</t>
  </si>
  <si>
    <t>""Taladro Atornillador 1/2"" 18V / 42-27 Nm / LXT / 2 x 1.5 Ah"</t>
  </si>
  <si>
    <t>""Taladro Atornillador 1/2"" LXT 18V / 42-27 Nm / Sin Baterías"</t>
  </si>
  <si>
    <t>""Taladro Atornillador 1/2"" 18V / 91-58 Nm / XPT - LXT / Sin Baterías"</t>
  </si>
  <si>
    <t>""Taladro Atornillador 1/2"" LXT 18V / 45-25 Nm / BL / Sin Baterías"</t>
  </si>
  <si>
    <t>""Taladro Atornillador 1/2"" 18V / 54 - 36 Nm / BL - LXT / Sin Baterías"</t>
  </si>
  <si>
    <t>""Taladro Atornillador 1/2"" 18V / 115-60 Nm / BL - XPT - LXT / 2 x 5.0Ah"</t>
  </si>
  <si>
    <t>""Taladro Atornillador 1/2"" 18V / 115-60 Nm / BL - XPT - LXT / Sin Baterías"</t>
  </si>
  <si>
    <t>Taladro Atornillador 1/2" 18V /62-36 Nm/XPT - LXT/Sin Baterías</t>
  </si>
  <si>
    <t>""Taladro Atornillador 1/2"" 18V / 40-23 Nm / BL-XPT-LXT / 2 x 3.0Ah"</t>
  </si>
  <si>
    <t>""Taladro Atornillador 1/2"" 18V / 40-23 Nm / BL-XPT-LXT /  Sin Baterías"</t>
  </si>
  <si>
    <t>""Taladro Atornillador 1/2"" 18V / 54-30 Nm / BL-XPT-LXT / Sin Baterías"</t>
  </si>
  <si>
    <t>""Taladro Rotacion Inalámbrico 1/2"" 18V. 3.0 Ah. 0-2000 RPM 1.6 Kg. 54/30 Nm.BL XPT S/Bateria"</t>
  </si>
  <si>
    <t>""Taladro Atornillador 1/2"" 18V / 50-27Nm / BL-XPT-LXT / Sin Baterías"</t>
  </si>
  <si>
    <t>Taladro Atornillador 1/2" 18V/130-65 Nm/BL - XPT - LXT/Sin Baterías</t>
  </si>
  <si>
    <t>""Taladro Atornillador 1/2"" 18V LXT / 130-65 Nm / BL-XPT / Sin Baterías"</t>
  </si>
  <si>
    <t>Taladro Atornillador 1/2" 18V/73-40 Nm/BL - XPT - LXT/2 X 5Ah + Dc18Rc + Makpack</t>
  </si>
  <si>
    <t>Taladro Atornillador 1/2" 18V/73-40 Nm/BL - XPT - LXT/Sin Baterías</t>
  </si>
  <si>
    <t>AHOYADORA 18Vx2 LXT / 200MM / 2 VEL / BL MOTOR-ADT-XPT / DIRECTO (SIN BATERÍA/CARGADOR)</t>
  </si>
  <si>
    <t>Atornillador Inalambrico 3,6V Forma Pistola 4.5Nm + Accesorios Makita</t>
  </si>
  <si>
    <t>ATORNILLADOR 3 8 mm x 32 mm / 0 36 Kg.</t>
  </si>
  <si>
    <t>Taladro Atornillador Percutor XGT 40 Vmax/0 - 2 600 Rpm/68 -140Nm/BL-XPT/2 Baterias - 4 Amperios/Cargador/Makpack</t>
  </si>
  <si>
    <t>Taladro Atornillador XGT 40 Vmax/0-2600 Rpm/68 -140Nm/BL-XPT/Sin Baterias</t>
  </si>
  <si>
    <t>Taladro Atornillador XGT 40 Vmax/0-2 600 Rpm/30-64Nm/BL-XPT/Sin Baterias</t>
  </si>
  <si>
    <t>Taladro Atornillador XGT 40Vmax / 64 -30 nm / BL - XPT / Sin Baterías</t>
  </si>
  <si>
    <t>Taladro Atornillador XGT 40 Vmax/0-2400 Rpm/85-150-180Nm/BL-XPT-AFT/Sin Baterias</t>
  </si>
  <si>
    <t>Atornillador Inal.  7.2V / 5.6 y 3.6 Nm</t>
  </si>
  <si>
    <t>Taladro Atornillador 3/8"/ 320W/42 Nm</t>
  </si>
  <si>
    <t>""Taladro atornillador 1/4"" / 12V / 2 Vel. / BL - XPT / 35 - 21 Nm / 2 x 2.0Ah"</t>
  </si>
  <si>
    <t>""Taladro Atornillador Inal. 1/4"" 12V / 35-21 Nm / BL - CXT / Sin baterías"</t>
  </si>
  <si>
    <t>""Taladro atornillador 1/4"" / 12V / 2 Vel. / 30 - 14 Nm / 2 x 4.0Ah"</t>
  </si>
  <si>
    <t>""Taladro atornillador 1/4"" / 12V / 2 Vel. / 30 - 14 Nm / Sin Baterías"</t>
  </si>
  <si>
    <t>""Taladro Atornillador Inal. 3/8"" / 12V / 24-14 Nm / Blanco / Versapack / 2 Bat 1.3Ah + C"</t>
  </si>
  <si>
    <t>""Taladro Atornillador Inal. 3/8"" / 12V / 24-14 Nm / Blanco / Versapack / Sin baterías"</t>
  </si>
  <si>
    <t>""Taladro atornillador 3/8"" / 12V / 2 Vel. / 30 - 14 Nm /  Sin Baterías"</t>
  </si>
  <si>
    <t>""Taladro atornillador 3/8"" / 12V / 2 Vel. / 35 - 21 Nm / BL /  2 x 2.0 Ah"</t>
  </si>
  <si>
    <t>Taladro Atornillador 3/8"/12V/2 Vel./35 - 21 Nm/BL/  Sin Baterías</t>
  </si>
  <si>
    <t>""ATORNILLADOR INALAMBRICO 12V MAX 10 mm (3/8"")- S/BATERIA"</t>
  </si>
  <si>
    <t>Taladro Atornillador 3/8"/12V/2 Vel./30 - 14 Nm/  Sin Baterías</t>
  </si>
  <si>
    <t>Taladro Atornillador Inal. 1/2"" 18V / 42-24 Nm / G-Battery / 2 Bat 1.5 Ah + C</t>
  </si>
  <si>
    <t>""Taladro Atornillador Inal. 1/2"" 18V / 42-24 Nm / G-Battery / Sin B/C"</t>
  </si>
  <si>
    <t>""Taladro Atornillador 1/2"" G-Battery 18V / 2 Vel. / 42-24 Nm / 2 x 2.0Ah + C. Estándar"</t>
  </si>
  <si>
    <t>Casaca Ventilador 12V-18V / 3 Niv. de Temp + turbo /  L / LXT - CXT /Sin Baterías</t>
  </si>
  <si>
    <t>Casaca termica refrigerante 18v.-14v. Talla M Color Blanco S/Bateria</t>
  </si>
  <si>
    <t>Casaca Ventilador 12V-18V / 3 Niv. de Temp + turbo/ Uso general /  2XL / LXT - CXT /Sin Baterías</t>
  </si>
  <si>
    <t>Casaca Ventilador 12V-18V / 3 Niv. de Temp + turbo/ Uso general /  3XL / LXT - CXT /Sin Baterías</t>
  </si>
  <si>
    <t>Casaca Ventilador 12V-18V / 3 Niv. de Temp + turbo/ Uso general /  L / LXT - CXT /Sin Baterías</t>
  </si>
  <si>
    <t>Casaca Ventilador 12V-18V / 3 Niv. de Temp + turbo/ Uso general /  M / LXT - CXT /Sin Baterías</t>
  </si>
  <si>
    <t>Casaca Ventilador 12V-18V / 3 Niv. de Temp + turbo/ Uso general /  XL / LXT - CXT /Sin Baterías</t>
  </si>
  <si>
    <t>Casaca Ventilador 12V-18V / 3 Niv. de Temp + turbo/ Uso general /  S / LXT - CXT /Sin Baterías</t>
  </si>
  <si>
    <t>Casaca Ventilador 12V - 18V / 3 Niveles / Anti UV - Anti Infrarrojo / 2XL / Sin Baterías</t>
  </si>
  <si>
    <t>Casaca Ventilador 12V - 18V / 3 Niveles / Anti UV - Anti Infrarrojo / 3XL / Sin Baterías</t>
  </si>
  <si>
    <t>Casaca Ventilador 12V - 18V / 3 Niveles / Anti UV - Anti Infrarrojo / L / Sin Baterías</t>
  </si>
  <si>
    <t>Casaca Ventilador 12V - 18V / 3 Niveles / Anti UV - Anti Infrarrojo / M / Sin Baterías</t>
  </si>
  <si>
    <t>Casaca Ventilador 12V - 18V / 3 Niveles / Anti UV - Anti Infrarrojo / S / Sin Baterías</t>
  </si>
  <si>
    <t>Casaca Ventilador 12V - 18V / 3 Niveles / Anti UV - Anti Infrarrojo / XL / Sin Baterías</t>
  </si>
  <si>
    <t>Casaca Ventilador 12V - 18V / 3 Niveles / Uso General / L / Sin Baterías</t>
  </si>
  <si>
    <t>Casaca Ventilador 12V - 18V / 3 Niveles / Uso General / M / Sin Baterías</t>
  </si>
  <si>
    <t>Casaca Ventilador 12V - 18V / 3 Niveles / Uso General / XL / Sin Baterías</t>
  </si>
  <si>
    <t>Casaca Ventilador 12V - 18V / 3 Niveles / Reflectante/ L / Sin Baterías</t>
  </si>
  <si>
    <t>Casaca Ventilador 12V - 18V / 3 Niveles / Reflectante/ M / Sin Baterías</t>
  </si>
  <si>
    <t>Casaca Ventilador 12V - 18V / 3 Niveles / Reflectante/ XL / Sin Baterías</t>
  </si>
  <si>
    <t>Casaca Ventilador 12V-18V / 3 Niv. de Temp + turbo/ Antichispas - esmerilado /2XL / LXT - CXT</t>
  </si>
  <si>
    <t>Casaca Ventilador 12V-18V / 3 Niv. de Temp + turbo/ Antichispas - esmerilado /  3XL / LXT - CXT</t>
  </si>
  <si>
    <t>Casaca Ventilador 12V-18V / 3 Niv. de Temp + turbo/ Antichispas -  esmerilado /  L / LXT - CXT /</t>
  </si>
  <si>
    <t>Casaca Ventilador 12V-18V / 3 Niv. de Temp + turbo/ Antichispas -  esmerilado /  XL / LXT - CXT /</t>
  </si>
  <si>
    <t>Casaca Ventilador 12V - 18V / 3 Niveles / Para Esmerilado / 2XL / Sin Baterías</t>
  </si>
  <si>
    <t>Casaca Ventilador 12V - 18V / 3 Niveles / Para Esmerilado / 3XL / Sin Baterías</t>
  </si>
  <si>
    <t>Casaca Ventilador 12V - 18V / 3 Niveles / Para Esmerilado / L / Sin Baterías</t>
  </si>
  <si>
    <t>Casaca Ventilador 12V - 18V / 3 Niveles / Para Esmerilado / M / Sin Baterías</t>
  </si>
  <si>
    <t>Casaca Ventilador 12V - 18V / 3 Niveles / Para Esmerilado / S / Sin Baterías</t>
  </si>
  <si>
    <t>Casaca Ventilador 12V - 18V / 3 Niveles / Para Esmerilado / XL / Sin Baterías</t>
  </si>
  <si>
    <t>Casaca Ventilador 12V-18V / 3 Niv. de Temp + turbo/ Antireflectante /  2XL / LXT - CXT /Sin Baterías</t>
  </si>
  <si>
    <t>Casaca Ventilador 12V-18V / 3 Niv. de Temp + turbo/ Antireflectante /  L / LXT - CXT /Sin Baterías</t>
  </si>
  <si>
    <t>Casaca Ventilador 12V-18V / 3 Niv. de Temp + turbo/ Antireflectante /  M / LXT - CXT /Sin Baterías</t>
  </si>
  <si>
    <t>Casaca Ventilador 12V-18V / 3 Niv. de Temp + turbo/ Antireflectante /  S / LXT - CXT /Sin Baterías</t>
  </si>
  <si>
    <t>Casaca Ventilador 12V-18V / 3 Niv. de Temp + turbo/ Antireflectante /  XL / LXT - CXT /Sin Baterías</t>
  </si>
  <si>
    <t>Casaca Ventilador 12V - 18V / 3 Niveles / Reflectante/ 2X / Sin Baterías</t>
  </si>
  <si>
    <t>Casaca Ventilador 12V - 18V / 3 Niveles / Reflectante/ 3X / Sin Baterías</t>
  </si>
  <si>
    <t>""ATORNILLADOR INALAMBRICO 18V.- 9.5Mmm (3/8"") - 2.5Kg."</t>
  </si>
  <si>
    <t>Clavadora  LXT 18V (Acabado Duro)/(5/8" - 1-3/8")/Cal. 18/Sin Baterías</t>
  </si>
  <si>
    <t>""Atornillador Drywall  1/4"" 18V / Push Drive Technology / BL / Sin baterías"</t>
  </si>
  <si>
    <t>Atornillador para Drywall Inalámbrico 18V. BL S/Bateria</t>
  </si>
  <si>
    <t>Atornillador Drywall  1/4" 18V/Push Drive Technology/BL/Sin Baterías</t>
  </si>
  <si>
    <t>""Atornillador Drywall  1/4"" 18V / Push Drive Technology / BL - XPT / 2 x 3.0Ah"</t>
  </si>
  <si>
    <t>""Atornillador Drywall  1/4"" 18V / Push Drive Technology / BL - XPT / Sin Baterías"</t>
  </si>
  <si>
    <t>Chaleco Ventilador 12V - 18V / BL / 3 Niv. de Temp + turbo / Talla M / Sin Baterías</t>
  </si>
  <si>
    <t>Chaleco Ventilador 12V - 18V / BL / 3 Niv. de Temp + turbo / Talla L / Sin Baterías</t>
  </si>
  <si>
    <t>Ahoyadora 40V XGT / 200mm / 2 Vel / BL Motor (Sin Bateria/Cargador)</t>
  </si>
  <si>
    <t>Ahoyadora a Batería 40V XGT / 200mm / 2 Vel / BL - ADT - XPT / Directo (Sin Batería/Cargador)</t>
  </si>
  <si>
    <t>Esmeril Angular 4-1/2"  18V/11 000 Rpm - LXT/2 X 3.0Ah</t>
  </si>
  <si>
    <t>Esmeril Angular 4-1/2"  18V/11 000 Rpm - LXT/Sin Baterías</t>
  </si>
  <si>
    <t>ESMERIL ANGULAR INALAMBRICO 115MM - 18v LXT Li-ion - MUESTRA</t>
  </si>
  <si>
    <t>""Esmeril Angular 4-1/2""  18V / 8 500 RPM / BL  XPT / Hombre Muerto /  2 x 5.0 Ah"</t>
  </si>
  <si>
    <t>""Esmeril Angular 4-1/2""  18V / 8 500 RPM / BL  XPT / Hombre Muerto /  Sin Baterías"</t>
  </si>
  <si>
    <t>""Esmeril Angular 4-1/2""  18V / 8 500 RPM / BL  XPT / Int. Superior/ F.E. / Sin Baterías"</t>
  </si>
  <si>
    <t>""Esmeril Angular 4-1/2""  18V / 8 500 RPM / BL  XPT / Hombre Muerto/ F.E. / 2 x 4.0Ah"</t>
  </si>
  <si>
    <t>Esmeril Angular 18V LXT H.M/BL - XPT 8500Rpm/2Baterias de 5 Amperios/Makpack</t>
  </si>
  <si>
    <t>Esmeril Angular 4-1/2"  18V/8 500 Rpm/BL  XPT/Hombre Muerto/ F.E./Sin Baterías</t>
  </si>
  <si>
    <t>""Esmeril Angular 4-1/2""  18V / Vel. Variable / BL  XPT AWS / Hombre Muerto/ F.E. / Sin Baterías"</t>
  </si>
  <si>
    <t>Esmeril Angular Inalámbrico 115MM. S/Bateria</t>
  </si>
  <si>
    <t>Esmeril Angular 4-1/2""  18V / X-LOCK / BL  XPT AWS / 2 x 5.0Ah</t>
  </si>
  <si>
    <t>Esmeril Angular 4-1/2"  18V/X-Lock/BL  XPT AWS/Sin Baterías</t>
  </si>
  <si>
    <t>Esmeril Angular 5" (125mm) 18V LXT/8500 Rpm/BL/XPT/AWS/ADT/2 Baterias 5 Amperios/Maleta</t>
  </si>
  <si>
    <t>Esmeril Angular 5" (125mm) 18V LXT/8500 Rpm/BL/XPT/AWS/ADT/Sin Baterias</t>
  </si>
  <si>
    <t>""Esmeril Angular 7"" 18V x 2 = 36V / 7 800 RPM / BL - XPT / F.E.  / 2 x 5.0Ah 2"</t>
  </si>
  <si>
    <t>""Esmeril Angular 7"" 18V x 2 = 36V / 7 800 RPM / BL - XPT / F.E.  / Sin Baterías"</t>
  </si>
  <si>
    <t>""Esmeril Angular 7"" 18V x 2 = 36V / 7 800 RPM / BL - XPT - AWS / F.E.  / Sin Baterías"</t>
  </si>
  <si>
    <t>""Esmeril Angular 9"" LXT 18Vx2 (36V) / 6 000 RPM / BL-F.E.-ADT-AFT-XPT / 2x5.0Ah + C. Doble + Maleta"</t>
  </si>
  <si>
    <t>Esmeril Angular 9" 18V X 2 = 36V/6 000 Rpm/BL - XPT/F.E. /Sin Baterías</t>
  </si>
  <si>
    <t>""Esmeril Angular 9"" 18V x 2 = 36V / 6 000 RPM / BL - XPT -AWS / F.E.  / Sin Baterías"</t>
  </si>
  <si>
    <t>Esmeril Recto 18V/1/4" /26 000 Rpm/Nariz Larga/Sin Baterías</t>
  </si>
  <si>
    <t>Esmeril Recto 18V/1/4" /25 000 Rpm/Nariz Corta/Sin Baterías</t>
  </si>
  <si>
    <t>Pistola Engrasadora 18V/10 000 Psi - 2 Vel. /Sin Baterias</t>
  </si>
  <si>
    <t>Pistola engrasadora 18V / 10 000 PSI - 2 Vel.  / Sin baterias</t>
  </si>
  <si>
    <t>Pistola De Calor LXT 18V +Maleta/Hasta 550°C/2 Vel./Sin Baterías</t>
  </si>
  <si>
    <t>Desquinchador 18V/Sds Plus/3.1 Joules/10mm/BL - AVT - XPT/Sin Baterías</t>
  </si>
  <si>
    <t>""Taladro Percutor 1/2"" 18V / 2 Vel.  / 42-27 Nm / LXT / 2 x 3.0 Ah"</t>
  </si>
  <si>
    <t>Taladro Percutor 1/2"" LXT 18V / 2 Vel. / 42-27 Nm / 2 x 1.5Ah + C. Estándar</t>
  </si>
  <si>
    <t>""Taladro Percutor 1/2"" 18V / 2 Vel.  / 42-27 Nm / LXT / 1 x 1.5Ah"</t>
  </si>
  <si>
    <t>Taladro Percutor 1/2" 18V/2 Vel. /38 Nm/XPT-LXT/01 Bat. 1.5 Ah + Carg</t>
  </si>
  <si>
    <t>Taladro Percutor 1/2" 18V/2 Vel. /42-27 Nm/LXT/ Sin Baterías</t>
  </si>
  <si>
    <t>Taladro Percutor Inal. 1/2" 18V /2 Vel. / 50-36 Nm /LXT / 2 Bat 3.0Ah + C rÃ¡pido</t>
  </si>
  <si>
    <t>""Taladro Percutor 1/2"" 18V / 2 Vel. / 50-36 Nm /LXT  / Sin baterías"</t>
  </si>
  <si>
    <t>Taladro Percutor 1/2" 18V/2 Vel./91-58 Nm/XPT-LXT/2 X 3.0Ah</t>
  </si>
  <si>
    <t>""Taladro Percutor 1/2"" 18V / 2 Vel. / 91-58 Nm / XPT-LXT / 2 x 3.0Ah"</t>
  </si>
  <si>
    <t>Taladro Percutor 1/2" 18V/2 Vel./91-58 Nm/XPT-LXT/Sin Baterías</t>
  </si>
  <si>
    <t>""Taladro Percutor Inal. 1/2"" 18V / 2 Vel. / 45-25 Nm / BL-LXT / 3 Bat 3.0Ah + C rápido"</t>
  </si>
  <si>
    <t>""Taladro Percutor 1/2"" 18V / 2 Vel. / 45-25 Nm / BL-LXT /  Sin Baterías"</t>
  </si>
  <si>
    <t>TALADRO PERCUTOR INALAMBRICO 13 mm.</t>
  </si>
  <si>
    <t>Taladro Percutor 1/2" 18V / 2 Vel. / 115-60 Nm / BL- XPT-LXT /2 x 3.0Ah</t>
  </si>
  <si>
    <t>Taladro Percutor 1/2" 18V / 2 Vel. / 115-60 Nm / BL- XPT_LXT /2 x 5.0Ah</t>
  </si>
  <si>
    <t>""Taladro Percutor 1/2"" 18V / 2 Vel. / 115-60 Nm / BL- XPT_LXT / Sin Baterías"</t>
  </si>
  <si>
    <t>""Taladro Percutor 1/2"" 18V / 2 Vel. / 62-36 Nm / XPT-LXT /2 x 4.0Ah"</t>
  </si>
  <si>
    <t>Taladro Percutor 1/2" 18V / 2 Vel.  / 62-36 Nm / XPT-LXT / 01 Bat. 1.5 Ah + Carg</t>
  </si>
  <si>
    <t>Taladro Percutor 1/2" 18V/2 Vel. /62-36 Nm/XPT-LXT/Sin Baterías</t>
  </si>
  <si>
    <t>Taladro Percutor 1/2" 18V / 2 Vel./ 40-23 Nm / BL - XPT - LXT /2 x 3.0Ah</t>
  </si>
  <si>
    <t>""Taladro Percutor 1/2"" 18V /2 Vel. / 54-30 Nm / BL - XPT -LXT / Sin baterías"</t>
  </si>
  <si>
    <t>Taladro Percutor 1/2" 18V LXT/ 2 Vel./60-27 Nm/BL-XPT /Incluye Cargador Dc18Wc + 2 Baterias BL1830B + Makpack Tipo 2</t>
  </si>
  <si>
    <t>Taladro Percutor 1/2" 18V /2 Vel./50-27 Nm/BL - XPT -LXT/Sin Baterías</t>
  </si>
  <si>
    <t>""Taladro Percutor 1/2"" 18V / 2 Vel. / 115-60 Nm / BL- XPT-LXT /2 x 3.0Ah"</t>
  </si>
  <si>
    <t>""Taladro Percutor 1/2"" LXT 18V /2 Vel. / 130-65 Nm / BL - XPT / 2 x 5.0Ah"</t>
  </si>
  <si>
    <t>Taladro Percutor 1/2" LXT 18V /2 Vel./130-65 Nm/BL - XPT/Sin Baterías</t>
  </si>
  <si>
    <t>""Taladro Percutor 1/2"" 18V LXT /2 Vel. / 130-65 Nm / BL - XPT / Sin baterias"</t>
  </si>
  <si>
    <t>Taladro Percutor 1/2"" 18V LXT /2 Vel. / 40-23 Nm / BL - XPT</t>
  </si>
  <si>
    <t>Taladropercutor Dhp487 1/2" 18V LXT/ 2 Vel./40-23 Nm/BL - XPT +1Bat 3.0Amp+Carg</t>
  </si>
  <si>
    <t>Taladro Percutor 1/2" LXT 18V/2 Vel./40-25 Nm/BL - XPT/2 X 1.5Ah + C. Estandar</t>
  </si>
  <si>
    <t>Taladro Percutor 1/2" LXT 18V (Negro)/2 Vel./40-25 Nm/BL - XPT/2 X 1.5Ah + C. Estandar"</t>
  </si>
  <si>
    <t>Taladro Percutor 1/2" 18V LXT /2 Vel./40-23 Nm/BL - XPT/Sin Baterias</t>
  </si>
  <si>
    <t>""Taladro Percutor 1/2"" 18V LXT /2 Vel. / 40-23 Nm / BL - XPT / Sin baterias"</t>
  </si>
  <si>
    <t>Taladropercutor Dhp489 1/2" 18V LXT/ 2 Vel./40-23 Nm/BL/XPT +2Bat 3.0Amp+Carg+Makpack</t>
  </si>
  <si>
    <t>Taladro Percutor 1/2" LXT 18V/2 Vel./70-36 Nm/BL-XPT/Sin Baterías</t>
  </si>
  <si>
    <t>Taladro Percutor 1/2" LXT 18V/2 Vel./65-50-27Nm/BL-XPT /Con 2 Bateria 2 Amp Y Cargador+Maletin</t>
  </si>
  <si>
    <t>Taladro Percutor 1/2" LXT 18V/2 Vel./65-50-27Nm/BL-XPT /Con 1 Bateria 2 Amp Y Cargador+Maletin</t>
  </si>
  <si>
    <t>Rotomartillo 18V /SDS- Plus/ 16mm / 2 Funciones /1.3 Joules / XPT-LXT / 2 x 3.0ah</t>
  </si>
  <si>
    <t>Martillo Perforador LXT 18V/Sds- Plus/ 16mm/2 Funciones/1.3 Joules /XPT/Sin Baterías</t>
  </si>
  <si>
    <t>Martillo Perforador LXT 18V/SDS-PLUS/17mm /2 Funciones /1.2 Joules/BL/Sin Baterías</t>
  </si>
  <si>
    <t>Rotomartillo 18V /SDS-Plus / 18mm  / 3 Funciones /1.7 Joules / BL-LXT-AVT-AWS /  2 x 5.0Ah</t>
  </si>
  <si>
    <t>Martillo Perforador LXT 18V/SDS-PLUS/18mm /3 Funciones /1.7 Joules/BL-AVT-AWS/ Sin Baterías</t>
  </si>
  <si>
    <t>Rotomartillo Inal. 18V /SDS-Plus / 18mm S/Bateria</t>
  </si>
  <si>
    <t>Martillo Perforador LXT 18V/SDS-PLUS/18mm/  2 Funciones/ 1.7 Joules /BL-AVT-XPT/ S/Bateria</t>
  </si>
  <si>
    <t>Rotomartillo 18V /SDS-Plus/ 20mm / 3 Funciones / 1.9 Joules / LXT / Sin Baterías</t>
  </si>
  <si>
    <t>Rotomartillo 18V /SDS- Plus/ 20mm/ 3 Funciones / 1.9 Joules / LXT / 2 x 3.0Ah</t>
  </si>
  <si>
    <t>Rotomartillo 18V /SDS- Plus/ 20mm/ 3 Funciones / 1.9 Joules / LXT / 2 x 1.5Ah</t>
  </si>
  <si>
    <t>Rotomartillo 18V /SDS- Plus/ 20mm / 3 Funciones / 1.9 Joules  / LXT / Sin baterías</t>
  </si>
  <si>
    <t>Rotomartillo 18V /SDS-Plus/ 24mm/3 Funciones/ 2.0 Joules / BL-XPT-LXT / 2 x 3.0ah</t>
  </si>
  <si>
    <t>Martillo Perforador LXT 18V/SDS-PLUS/ 24mm/3 Funciones/ 2.0 Joules/BL-XPT/ Sin Baterías</t>
  </si>
  <si>
    <t>Rotomartillo 18V x 2 = 36V / SDS-Plus / 26mm / 3 Funciones / 2.5 J / XPT - LXT / Sin Baterías</t>
  </si>
  <si>
    <t>Rotomartillo 18V x 2 = 36V / SDS-Plus / 28mm / 3 Funciones / 2.8 J / BL - AVT - XPT - LXT / 2 x 5.0A</t>
  </si>
  <si>
    <t>Rotomartillo 18V x 2 = 36V / SDS-Plus / 28mm / 3 Funciones / 2.8 J / BL - AVT - XPT - LXT / Sin Bate</t>
  </si>
  <si>
    <t>Martillo Perforador 18V X 2 = 36V/SDS-MAX/40mm/2 Funciones/8.0J/BL - AVT - XPT - LXT/Sin Baterí</t>
  </si>
  <si>
    <t>Sierra Circular 6-1/2" 18V/5000 Rpm/Cap Corte 2-1/4"/XPT - BL - ADT - LXT /Sin Baterías</t>
  </si>
  <si>
    <t>""Sierra circular 6-1/2"" 18V / 5000 RPM / Cap corte 2-1/4"" / XPT - BL - ADT - LXT / Sin Baterías"</t>
  </si>
  <si>
    <t>""SIERRA INALAMBRICA 18V Li-ion 3Ah.-165mm (6-1/2"") S/BATERIA - MUESTRA"</t>
  </si>
  <si>
    <t>Sierra Circular 7-1/2"/2 X 18 =36V/5 100Rpm/ Cap Corte  2- 11/16"/Sin Baterías</t>
  </si>
  <si>
    <t>""Sierra Circular 7-1/4"" 2 x 18 = 36V / Cap Corte  2 -3/8"" / base  riel / BL / 2 x 5.0Ah"</t>
  </si>
  <si>
    <t>Sierra Circular 7-1/4" 2 X 18 = 36V/Cap Corte  2 -3/8"/Base  Riel/BL/Sin Baterías</t>
  </si>
  <si>
    <t>Sierra circular Inal. 190MM/ Sin Baterías</t>
  </si>
  <si>
    <t>""Sierra Circular 7-1/4"" 2 x 18 = 36V / base p riel / BL - AWS/ 2 x 5.0Ah"</t>
  </si>
  <si>
    <t>""Sierra Circular 7-1/4"" 2 x 18 = 36V / base p riel / BL - AWS/ Sin Baterías"</t>
  </si>
  <si>
    <t>""Sierra Circular 9-1/4"" 2 x 18 = 36V / Base Riel / BL - ADT  - X PT - AWS / Sin baterías"</t>
  </si>
  <si>
    <t>Sierra Circular 9-1/4" 2 X 18 = 36V/Base Riel/BL - ADT  - XPT/Sin Baterías</t>
  </si>
  <si>
    <t>Hidrolavadora Inal. 55Bar 330l/h 18VX2 LXT XPT BL MOTOR  (inc. bateriaX2 5Ah/cargador doble)</t>
  </si>
  <si>
    <t>Hidrolavadora inal. 55 Bar 330 L/h 18Vx2 LXT XPT BL Motor (Sin Bateria/Cargador)</t>
  </si>
  <si>
    <t>Hidrolavadora de mano 18V LXT (Boquilla 5 en 1) / (Sin Batería/Cargador)</t>
  </si>
  <si>
    <t>Hidrolavadora Inal. 55Bar 330l/h 18VX2 LXT XPT BL MOTOR  (sin bateria/cargador)</t>
  </si>
  <si>
    <t>Roedora 18V/1.6mm/1 900 Cpm/Sin Baterías</t>
  </si>
  <si>
    <t>Sierra sable (reciproca) 18V/ 13mm carrera / XPT - LXT / Sin Baterías</t>
  </si>
  <si>
    <t>Sierra Sable (Reciproca) 18V/ 13mm Carrera/XPT - LXT/Sin Baterías</t>
  </si>
  <si>
    <t>Sierra sable (reciproca) 18V / 32mm carrera / XPT - LXT /2 x 5.0 Ah</t>
  </si>
  <si>
    <t>Sierra Sable (Reciproca) 18V/32mm Carrera/XPT - LXT/Sin Baterías</t>
  </si>
  <si>
    <t>Sierra sable (reciproca) 18V / 32mm carrera / BL - XPT  - LXT / Sin Baterías</t>
  </si>
  <si>
    <t>Sierra Sable (Reciproca) 18V/20mm Carrera/BL - XPT  - LXT/Motor Abajo /Sin Baterías</t>
  </si>
  <si>
    <t>SIERRA RECIPROCA INALAMBRICO 18V Li-ion 3Ah. S/BATERIA</t>
  </si>
  <si>
    <t>Sierra Sable (Reciproca) 18V/20mm Carrera/BL - XPT  - LXT/Sin Baterías</t>
  </si>
  <si>
    <t>Sierra sable (reciproca) 18V x 2 = 36V /32mm carrera / BL - LXT / Sin Baterías</t>
  </si>
  <si>
    <t>Cizalla Recta 18V /1.6 mm/4 300 Cpm/Sin Baterías</t>
  </si>
  <si>
    <t>Sierra Caladora 18V / 26mm largo/ 800 - 3 500 RPM / Sin Baterías</t>
  </si>
  <si>
    <t>Sierra Caladora LXT 18V Sin Carbones / 23mm carrera / BL-F.E.-SOFT-XPT / 2 x 5.0Ah + Makpac</t>
  </si>
  <si>
    <t>Sierra Caladora 18V/23mm Largo/ 0 - 3 000 Rpm/BL-XPT/ Sin Baterías</t>
  </si>
  <si>
    <t>Kit Makita XGT:Taladro Percutor Inalambrico 1/2" Hp001Gz + Atornillador De Impacto Td003Gz/2 Baterias 2.5Amperios/Cargador/Makpack</t>
  </si>
  <si>
    <t>GA4530 (Esmeril Ang.) + HP1630 (Taladro Percutor) + Disco Abrasivo para Acero (A-80640)</t>
  </si>
  <si>
    <t>HP330DWE (Taladro Percutor Inal.) + MR051 (Radio) + ToolBag 12V.</t>
  </si>
  <si>
    <t>HP330DW (Atorn. Perc.) + JV100DW (Sierra Calad.) 12V. Blanco</t>
  </si>
  <si>
    <t>Cepillo 18V/82mm/2.0mm Profundidad/14 000 Rpm/Sin Baterías</t>
  </si>
  <si>
    <t>Cepillo 18V/82mm/ 3.0mm Profundidad/BL  - ADT - AWS/Sin Baterías</t>
  </si>
  <si>
    <t>Cepillo 18V / 82mm / Sin Baterías</t>
  </si>
  <si>
    <t>Cepillo 18V / 82mm / 3.0mm profundidad / BL  - ADT - AWS / Sin Baterías</t>
  </si>
  <si>
    <t>Cortacesped inal. 330 mm (13") 18V LXT XPT (Sin Bateria/Cargador)</t>
  </si>
  <si>
    <t>""Cortacesped Inal. 330 mm (13"") 18VX2 (sin bateria/cargador)"</t>
  </si>
  <si>
    <t>Cortacesped Inal. 380 mm (15") 18VX2 (inc. bateriaX2 3Ah/cargador)</t>
  </si>
  <si>
    <t>""Cortacesped Inal. 380 mm (15"") 18VX2 (sin bateria/cargador)"</t>
  </si>
  <si>
    <t>""Cortacesped Inalambrico 380 mm (15"") 18VX2 (sin bateria/cargador)"</t>
  </si>
  <si>
    <t>""Cortacesped Inal. 430 mm (17"") 18VX2 (inc bateriaX2 5Ah/cargador doble estandar)"</t>
  </si>
  <si>
    <t>""Cortacesped Inal. 430 mm (17"") 18VX2 (inc bateriaX2 5Ah/cargador doble rapido)"</t>
  </si>
  <si>
    <t>""Cortacesped Inal. 430 mm (17"") 18VX2 (sin bateria/cargador)"</t>
  </si>
  <si>
    <t>""Cortacesped Inal. 380 mm (15"") 575 m2 / 18VX2 (sin bateria/cargador) (Cubierta Plastico)"</t>
  </si>
  <si>
    <t>""Cortacesped Inal. 460 mm (17"") 18VX2 (sin bateria/cargador)"</t>
  </si>
  <si>
    <t>""Cortacesped Inal. 460 mm (18"") 18VX2 (sin bateria/cargador)"</t>
  </si>
  <si>
    <t>Cortacesped Inal. 480 mm (19"") 18VX2 (sin bateria/cargador)</t>
  </si>
  <si>
    <t>""Cortacesped Inal. 480 mm (19"") 18VX2 (sin bateria/cargador)"</t>
  </si>
  <si>
    <t>""Cortacesped Inal. 530mm (21"") 18VX2 / 70L (sin bateria/cargador)"</t>
  </si>
  <si>
    <t>Cortacesped Inal. 530mm (21"") 18VX2 7 60L / C/Tracción (sin bateria/cargador)</t>
  </si>
  <si>
    <t>""Cortacesped Inal. 530mm (21"") 18VX2 7 60L / C/Tracción  de aluminio (sin bateria/cargador)"</t>
  </si>
  <si>
    <t>""Cortacesped Inal. 530mm (21"") 18VX2 / 70L / C/Tracción (sin bateria/cargador)"</t>
  </si>
  <si>
    <t>""Sierra Ingleteadora 10 -1/4"" / 18V x 2 = 36V /  BL - DXT / 2 x 5.0 Ah"</t>
  </si>
  <si>
    <t>Sierra Ingleteadora 10 -1/4"/18V X 2 = 36V/ BL - DXT/Sin Baterías</t>
  </si>
  <si>
    <t>Sierra Ingleteadora</t>
  </si>
  <si>
    <t>Sierra Ingleteadora Telescopica 12"/18V X 2 = 36V/BL - ADT - DXT  -AWS/Sin Baterías</t>
  </si>
  <si>
    <t>""Sierra Ingleteadora Telescopica 12"" / 18V x 2 = 36V / BL - ADT - DXT/ 2 x 5.0Ah"</t>
  </si>
  <si>
    <t>Sierra Ingleteadora Telescopica 12"/18V X 2 = 36V/BL - ADT - DXT/Sin Baterías</t>
  </si>
  <si>
    <t>INGLETEADORA TELOSCOPICA INALAMBRICA 36V (18V x 2) LI-ION S/BATERIA</t>
  </si>
  <si>
    <t>Tronzadora 18V X 2 = 36V/14"/3 800 Rpm/Sin Baterías</t>
  </si>
  <si>
    <t>HP458D (Taladro Perc.) + TD146D (Atorn. Impac.) + 3 BL1830 (Batería) + DC185C (Cargador)</t>
  </si>
  <si>
    <t>DHR263Z (Rotomartillo) + DHP481Z (Taladro Percutor) + 2 BL1840 (BaterÃ­a) + Cargador - 18V.</t>
  </si>
  <si>
    <t>DGA454 (Esmeril Ang.) + DHR242 (Rotomartillo) + 2 BL1830 (Bateria) + DC18RC (Cargador) + Maleta Alu.</t>
  </si>
  <si>
    <t>Kit BL Taladro Percutor Percutor Dhp485Z + Atornillador De Impacto Dtd153Z + 2 Baterias 3.0Amp+Carg+Toolbag</t>
  </si>
  <si>
    <t>Kit Makita Taladro Dhp453 + Atornillador Imp Dtd156 + 2 Bat 1.5Ah + C</t>
  </si>
  <si>
    <t>Kit Makita LXT:Taladro Percutor Inalambrico 1/2" Dhp485+Atornillador De Impacto Dtd156 +2Bat(3Ah)+C+Makpack</t>
  </si>
  <si>
    <t>KIT LXT 18V (Negro): Taladro DHP487 + Atornillador Impacto DTD157 + 2 x 1.5Ah + C. Estandar</t>
  </si>
  <si>
    <t>Cortadora Angular 3"(76mm) 18V/20,000 Rpm/ LXT-BL-Aft-XPT/ Sin Batería</t>
  </si>
  <si>
    <t>Linterna 18V / 100 lms / LXT</t>
  </si>
  <si>
    <t>Linterna De Casco LXT 18V/100Lms/Cabezal Movible /IPX-4/Sin Baterías</t>
  </si>
  <si>
    <t>Linterna LXT 18V/240 Lms/Cabezal Movible/Sin Baterias</t>
  </si>
  <si>
    <t>Linterna 18V / 160 lms / cabezal aluminio-movible / LXT</t>
  </si>
  <si>
    <t>Linterna LXT 18V/Con Gancho/170 Lms/2 Niveles /Sin Bateria</t>
  </si>
  <si>
    <t>Linterna LXT 18V/Tipo Farol 360° O 180°/620 Lms Max/Sin Baterías</t>
  </si>
  <si>
    <t>Linterna LXT 18V/Tipo Farol 360° O 180°/610 Lms Max /Ip65/Sin Baterías</t>
  </si>
  <si>
    <t>Linterna LXT 18V/Función Zoom/200 Lms Max/Sin Baterías</t>
  </si>
  <si>
    <t>Lintera LXT 18V O 2X18V=36V/Tipo Boya/Sin Baterías</t>
  </si>
  <si>
    <t>Reflector 18V /3 niveles / 3 000 lms max / LXT - IP65</t>
  </si>
  <si>
    <t>Linterna LXT 18V/4 Modos/Foco-Proyector-Foco/Proyector-Estroboscópica/Sin Baterías</t>
  </si>
  <si>
    <t>Linterna LXT 18V/Tipo Farol 360° O 180°/Hasta 3000 Lumenes/Ip65/Sin Baterias</t>
  </si>
  <si>
    <t>Linterna LXT18V/12 Posiciones/160 Lms /Sin Baterías</t>
  </si>
  <si>
    <t>Linterna LXT 18V/De Mano /Hasta 300 Lúmenes /Sin Baterías</t>
  </si>
  <si>
    <t>Linterna LXT 18V/Telescopica /Hasta 1700 Lúmenes/03 Niveles/Sin Baterías</t>
  </si>
  <si>
    <t>Inflador 18V/10L/Min/Sin Baterías</t>
  </si>
  <si>
    <t>Inflador 18V/22L Min/Sin Baterías</t>
  </si>
  <si>
    <t>Inflador LXT 18V / 161 PSI máx / 22L/min / 3 vel. / XPT / Sin Baterías</t>
  </si>
  <si>
    <t>Radio Con Linterna (3 Tonos De Luz) 18V/ LXT-XPT-Bt/ Sin Baterías</t>
  </si>
  <si>
    <t>Parlante 12V - 18V/BLuetooth/Sin Pantalla</t>
  </si>
  <si>
    <t>Parlante 12V - 18V / BlueTooth / Pantalla Led</t>
  </si>
  <si>
    <t>Parlante 12V - 18V / BlueTooth / Pantalla Lcd</t>
  </si>
  <si>
    <t>Parlante 12V - 18V/BLuetooth/Conecta Hasta 10 Equipos A La Vez/LXT</t>
  </si>
  <si>
    <t>Parlante 12V - 18V/BLuetooth/Conecta Hasta 10 Equipos A La Vez/LXT C</t>
  </si>
  <si>
    <t>""Pulidora Orbital 5"" / 18V / BL / Sin Baterías"</t>
  </si>
  <si>
    <t>""Taladro de Rotacion 1/4"" 370W. 0-4 200 RPM 1.0Kg."</t>
  </si>
  <si>
    <t>Taladro De Rotacion 1/2" 750W. 0-950 Rpm 2.5Kg</t>
  </si>
  <si>
    <t>Taladro De Rotacion 1/2" (13mm) 630W. 1.9Kg Acero Velocidad VariaBLe</t>
  </si>
  <si>
    <t>""Taladro de Rotacion 1/2"</t>
  </si>
  <si>
    <t>""Taladro de Rotacion 1/2"" 510W. 0-550 RPM 2.2Kg."</t>
  </si>
  <si>
    <t>""Sierra de Banda Inalámbrica 18V. Cap.Corte 2.1/2"" 3.2 Kg. S/Baterias"</t>
  </si>
  <si>
    <t>Sierra de Banda Inalámbrica 18V. S/Baterias</t>
  </si>
  <si>
    <t>Sierra De Banda LXT 18V/Estructura Aluminio/Cap Corte 66X66 mm/BL - LXT/Sin Baterías</t>
  </si>
  <si>
    <t>Engalletadora 18V/6,500 Rpm/4" Cuchilla/Corte Max 3/4"/Sin Baterías</t>
  </si>
  <si>
    <t>Pulidora Orbital Aleatoria 5"/18V/BL-XPT/Sin Baterías</t>
  </si>
  <si>
    <t>Perforador De Metal Punzonadora LXT 18V /Fuerza Hidraulica/Cap 20mm /Sin Baterías</t>
  </si>
  <si>
    <t>Clavadora LXT 18V/Cap. 130 Clavos/5 Med. Largo/LXT/Sin Baterías</t>
  </si>
  <si>
    <t>Clavadora Inalambrica 18v.</t>
  </si>
  <si>
    <t>Pulidora-Lijadora 18V LXT 2" (50mm) /2 Vel :2800-9500 Rpm/BL/Sin Baterias</t>
  </si>
  <si>
    <t>""Pulidora-Lijadora 18V LXT 2"" (50mm) /2 Vel :2800-9500 RPM / BL / Sin baterias"</t>
  </si>
  <si>
    <t>Aspiradora Robot 18V / Bolsa 2.5L / 0.3 m-seg / BL LXT /(Sin Batería/Cargador)</t>
  </si>
  <si>
    <t>Aspiradora Robot 18V / Bolsa 3.0L / 0.3 m/seg / Sensor Lidar (2D) BL LXT / (Sin Batería/Cargador)</t>
  </si>
  <si>
    <t>Aspiradora Robot 18V / Bolsa 2.5L / 0.3 m-sec / BL-LXT /Sin Baterías</t>
  </si>
  <si>
    <t>Sierra Circular 7-1/4" 18V X 2 = 36V/ Cap Corte 2-11/16"/XPT - BL - ADT - LXT/Sin Baterías</t>
  </si>
  <si>
    <t>Fresadora 1/4"-3/8" LXT 18V/Vel. Var./BL/Sin Baterías</t>
  </si>
  <si>
    <t>""Recortadora 1/4"" - 3/8"" / 18V / Vel. Var. / BL - LXT / 4 Bases / Sin Baterías"</t>
  </si>
  <si>
    <t>Fresadora 1/4 - 3/8/18V/Vel. Var./BL - LXT/3 Bases/Sin Baterías</t>
  </si>
  <si>
    <t>Remachadora 18V/10 000N/2.4/3.2/4.0/4.8 mm/BL/Sin Baterias</t>
  </si>
  <si>
    <t>Remachadora 18V/20 000N/4.8/5/6/6.4 mm/BL/Sin Baterías</t>
  </si>
  <si>
    <t>""TALADRO 13 mm (1/2"") 950 W"</t>
  </si>
  <si>
    <t>""Taladro Rotación 1/2"" 750W / Mango en D"</t>
  </si>
  <si>
    <t>Taladro De Rotacion 5/8" 750W. 600 Rpm 3Kg.</t>
  </si>
  <si>
    <t>Cortadora De Varilla Rosacada 18V/W5/16  M3/8  M1/2  M8  M10  M12/BL/Sin Baterias</t>
  </si>
  <si>
    <t>Cortadora De Varilla De Acero 18V. Vel.Corte 5.5 Seg. Cap.Corte 1/8"-3/4" 10.4 Kg. S/Baterias</t>
  </si>
  <si>
    <t>Cortadora de varillas acero 18V / Tipo Esmeril/ Cap. Corte 3.5 - 25 mm/ BL-ADT-LXT / Sin Bat.</t>
  </si>
  <si>
    <t>Cortadora De Varillas Acero 18V/Tipo Esmeril/ Cap. Corte 3.5 - 25 mm/ BL-ADT-LXT/Sin Bat.</t>
  </si>
  <si>
    <t>Cortador De Drywall Inal 18V/0 - 6 000 Spm/6mm Carrera/CXT/Sin Baterías</t>
  </si>
  <si>
    <t>""Lijadora Drywall 8 -7/8"" / Hasta 1.52m /velo. Variable /BL - AWS / Sin Baterías"</t>
  </si>
  <si>
    <t>CORTADORA DE DRYWALL INALAMBRICA 225mm 18V. S/BATERIA</t>
  </si>
  <si>
    <t>Lijadora De Pared/Techo/Drywall 225mm Ds801 LXT/BL/AWS /Sin Baterias</t>
  </si>
  <si>
    <t>Sierra Circular Incisión 18V/6-1/2"/BL - ADT/Sin Baterías</t>
  </si>
  <si>
    <t>""Sierra circular incisión 18V / 6-1/2"" / BL - ADT - AWS / Sin Baterías"</t>
  </si>
  <si>
    <t>""Sierra circular 5-3/8"" 18V / 3600 RPM / Cap corte 2"" / LXT / Sin Baterías"</t>
  </si>
  <si>
    <t>""Clavadora 18V / 10mm (3/8"") / 98Clavos Cap. / 2 x 3.0 Ah"</t>
  </si>
  <si>
    <t>Engrapadora LXT 18V/10mm (3/8")/98 Grapas/Sin Baterias</t>
  </si>
  <si>
    <t>Engrapadora LXT 18V/Calibre 18/110 Grapas/1800 Disparos/BL /XPT/Sin Baterias</t>
  </si>
  <si>
    <t>Cortadora de Cable LXT 18V/Capacidad de Apertura de Cuchilla 50mm/Sin Baterias</t>
  </si>
  <si>
    <t>Cortadora de Cable LXT 18V/Capacidad de Apertura de Cuchilla 105mm/Estilo Tijera/Sin Baterias</t>
  </si>
  <si>
    <t>""Atornillador de Impacto 1/4"" 18V. 3.0 Ah. 3 Velocidades 1.5 Kg. 170 Nm. BL"</t>
  </si>
  <si>
    <t>Atornillador de impacto 1/4" / 18V / 3 Vel. /175 Nm / BL-XPT-LXT / 2 x 3.0Ah</t>
  </si>
  <si>
    <t>TALADRO ATORNILLADOR DE IMPACTO INALAMBRICO 18V Li-ion 3Ah. - MUESTRA</t>
  </si>
  <si>
    <t>""Atornillador de impacto Inal. 1/4"" / 18V  /165 Nm / XPT-LXT / Sin Baterías"</t>
  </si>
  <si>
    <t>""Atornillador de impacto 1/4"" / 18V /170 Nm / BL-XPT-LXT / Sin Baterías"</t>
  </si>
  <si>
    <t>Atornillador De Impacto LXT 18V/170Nm/3 Velocidades/BL-XPT/Sin Baterías</t>
  </si>
  <si>
    <t>""ATORNILLADOR DE IMPACTO INALAMBRICO 18V - 137mm(5-3/8"") S/BATERIA"</t>
  </si>
  <si>
    <t>""Atornillador de impacto 1/4"" / 18V /2 Vel/135 Nm /BL-XPT / A-Mode / LXT / 2 x 3.0Ah  rap"</t>
  </si>
  <si>
    <t>""Atornillador de impacto 1/4"" / 18V /2 Vel/135 Nm /BL-XPT / A-Mode / LXT / Sin Baterías"</t>
  </si>
  <si>
    <t>""Atornillador de impacto 1/4"" / 18V /1 Vel/155 Nm / 2 x 5.0 Ah + Makpac"</t>
  </si>
  <si>
    <t>Atornillador De Impacto LXT 18V/155Nm/Sin Baterías</t>
  </si>
  <si>
    <t>Atornillador De Impacto LXT 18V/140Nm/2 Velocidades/BL-XPT/Sin Baterías</t>
  </si>
  <si>
    <t>Atornillador de impacto 1/4"" 18V LXT /2 Vel /140 Nm /BL-XPT / A-Mode / Sin Baterías</t>
  </si>
  <si>
    <t>Atornillador De Impacto LXT 18V/170Nm/3 Velocidades/BL-XPT/2 Baterias - 3 Amperios/Makpack</t>
  </si>
  <si>
    <t>""Atornillador de impacto 1/4"" / 18V / 4 Vel /175 Nm / A-Mode/ T-Mode/BL-XPT-LXT / Sin Baterías"</t>
  </si>
  <si>
    <t>""ATORNILLADOR DE IMPACTO INALAMBRICO 18V - 137mm(5-3/8"") - 1.3Kg. S/BATERIA"</t>
  </si>
  <si>
    <t>""Atornillador de impacto 1/4"" / 18V / 4 Vel /175 Nm / A-Mode / T-Mode/BL-XPT-LXT / Sin Baterías"</t>
  </si>
  <si>
    <t>""Atornillador de impacto Inal. 1/4"" / 18V / 4 Vel /175 Nm / A-Mode/ T-Mode/BL-XPT-LXT / Sin Baterías"</t>
  </si>
  <si>
    <t>Atornillador De Impacto LXT 18V/180Nm/4 Velocidades/LXT-XPT/2 Baterias - 5 Amperios /Cargador /Makpack</t>
  </si>
  <si>
    <t>Atornillador De Impacto LXT 18V/180Nm/4 Velocidades/BL-XPT/Sin Baterías</t>
  </si>
  <si>
    <t>Atornillador de Impacto DTD173Z Hex 1/4" 18V LXT/ 4 Vel./ 180 Nm/BL/XPT +2Bat 3.0Amp+Carg+Makpack</t>
  </si>
  <si>
    <t>Atornillador De Impacto LXT 18V/180Nm/4 Velocidades - Back/BL-XPT/Sin Baterías</t>
  </si>
  <si>
    <t>Atornillador De Impacto LXT 18V/170Nm/3 Velocidades/BL-XPT/2 Baterias - 5 Amperios/Makpack</t>
  </si>
  <si>
    <t>Llave De Impacto Angular LXT 18V/530Nm/BL-XPT Cabezal Metalico/Sin Baterias</t>
  </si>
  <si>
    <t>Multiherramienta LXT 18V / OIS / 6 000 - 20 000 OPM / Oscilación izq/der 1.6° / Sin Baterías</t>
  </si>
  <si>
    <t>Multi Tool 18V / 6 000 - 20 000 OPM /12 ángulos ajuste / LXT  / 2 x 3.0Ah /+ accesorios</t>
  </si>
  <si>
    <t>Multiherramienta LXT 18V/6000-20000 Opm/1.9 Kg./Ajuste Rapido S/Baterias</t>
  </si>
  <si>
    <t>Multi Tool 18V / 6 000 - 20 000 OPM /12 ángulos ajuste / LXT  / Sin Baterías /+ accesorios</t>
  </si>
  <si>
    <t>Multiherramienta LXT 18V/BL-AVT-XPT/OIS/ 10.000 - 20.000/Oscilación Izq/Der 1.8°/Sin Baterías</t>
  </si>
  <si>
    <t>Multiherramienta LXT 18V/BL-XPT/OIS/ 10.000 - 20.000/Oscilación Izq/Der 3.2°/Sin Baterías</t>
  </si>
  <si>
    <t>Atornillador De Impacto LXT 18V/150Nm/4 Velocidades/BL-LXT/Sin Baterías</t>
  </si>
  <si>
    <t>Amarradora de varillas 18V / alambre 0.8mm / Sin Baterías</t>
  </si>
  <si>
    <t>Amarradora De Varillas LXT 18V/Alambre 0.8mm/BL-XPT/Sin Baterías/Makpack</t>
  </si>
  <si>
    <t>Amarradora De Varillas LXT 18V/Alambre 0.8mm/BL-XPT/Sin Baterías</t>
  </si>
  <si>
    <t>Atornillador De Impacto LXT 18V/40Nm/3 Velocidades/BL-LXT/Bajo Impulso/Sin Baterías</t>
  </si>
  <si>
    <t>Llave De Impacto 3/4"/18V/3 Vel./1 050 Nm/BL - LXT/2 X 5.0Ah</t>
  </si>
  <si>
    <t>Llave De Impacto 3/4"/18V/3 Vel./1 050 Nm/BL - LXT/Sin Baterías</t>
  </si>
  <si>
    <t>ATORNILLADOR DE IMPACTO INALAMBRICO 18V LXT Li-ion S/BATERIA</t>
  </si>
  <si>
    <t>""Llave de impacto 1/2"" / 18V / 3 Vel. / 1 000 Nm / BL - LXT /2 x 3.0A"</t>
  </si>
  <si>
    <t>Llave De Impacto 1/2"/18V/3 Vel./1 000 Nm/BL - LXT /2 X 5.0A"</t>
  </si>
  <si>
    <t>Llave De Impacto 1/2"/18V/3 Vel./1 000 Nm/BL - LXT/Sin Baterías</t>
  </si>
  <si>
    <t>Llave De Impacto 3/4" 18V LXT/3 Vel./1360 Nm/Cuello Largo/BL - XPT/Sin Baterías</t>
  </si>
  <si>
    <t>""Llave de impacto 3/8"" / 18V / 2 Vel. / 180Nm / BL - XPT / 2 x 3.0Ah"</t>
  </si>
  <si>
    <t>""Llave de impacto 3/8"" / 18V / 2 Vel. / 180Nm / BL - XPT / Sin Baterías"</t>
  </si>
  <si>
    <t>""Llave de impacto 1/2"" / 18V / 2 Vel. / 210Nm / BL - XPT /  2 x 3.0Ah"</t>
  </si>
  <si>
    <t>Llave De Impacto 1/2"/18V/2 Vel./210Nm/BL - XPT/Sin Baterías</t>
  </si>
  <si>
    <t>Llave De Impacto 1/2"/18V/ 190 Nm/LXT /2 X 3.0Ah</t>
  </si>
  <si>
    <t>""Llave de impacto 1/2"" / 18V /  190 Nm / LXT /2 x 5.0Ah"</t>
  </si>
  <si>
    <t>Llave De Impacto Inal. 1/2"/18V/ 190 Nm/LXT/Sin Baterías</t>
  </si>
  <si>
    <t>""Llave de impacto 1/2"" / 18V / 230 Nm / LXT / Sin Baterías"</t>
  </si>
  <si>
    <t>Llave de impacto 1/2" / 18V / 3 Vel.  / 280 Nm / BL-XPT-LXT /2 x 3.0Ah</t>
  </si>
  <si>
    <t>Llave de impacto 1/2" / 18V / 3 Vel.  / 280 Nm / BL-XPT-LXT /2 x 5.0Ah</t>
  </si>
  <si>
    <t>""Llave de impacto 1/2"" / 18V / 3 Vel.  / 280 Nm / BL-XPT-LXT / Sin Baterías"</t>
  </si>
  <si>
    <t>Llave De Impacto 1/2"/18V/4 Vel. /330 Nm/BL-XPT-LXT /2 X 5.0Ah + Makpac</t>
  </si>
  <si>
    <t>Llave De Impacto 1/2" /18V/4 Vel./330 Nm /BL-XPT-LXT/2 X 5.0Ah +Dc18Rc + Makpac + Set De Dados De Impacto</t>
  </si>
  <si>
    <t>Llave De Impacto 1/2"/18V/4 Vel. /330 Nm/BL-XPT-LXT/Sin Baterías</t>
  </si>
  <si>
    <t>""Llave de impacto 1/2"" / 18V / 440 Nm / LXT / Sin Baterías"</t>
  </si>
  <si>
    <t>Llave De Impacto 1/2" 18V LXT/4 Vel./700 Nm/BL - XPT/Sin Baterías</t>
  </si>
  <si>
    <t>""Llave de impacto 7/16"" / 18V / 3 vel. / 800Nm / BL / Sin Baterías"</t>
  </si>
  <si>
    <t>Podadora Telescópica 8" - 80 TXL - 1.1 mm / 18V / 1.4 - 2.6 m / LXT BL XPT (Sin Batería/Cargador)</t>
  </si>
  <si>
    <t>Podadora Telescópica 12" / 18+18V / 2.5 - 3.8 m / LXT / BL / AFT / XPT (Sin bateria/Cargador)</t>
  </si>
  <si>
    <t>Sierra de cadena telescópica 18V LXT 2 6-3 8m (sin batería/cargador)</t>
  </si>
  <si>
    <t>Sopladora Inal. 2.6m3/min 18V LXT</t>
  </si>
  <si>
    <t>Sopladora Inal. 12.7m3/min 18V LXT XPT BL Motor (inc bateriaX1 5Ah/cargador)</t>
  </si>
  <si>
    <t>Sopladora inal. 12.7m3/min 18V LXT XPT BL (Sin Batería/Cargador)</t>
  </si>
  <si>
    <t>Sopladora Inal.  18V LXT S/BAT.</t>
  </si>
  <si>
    <t>Sopladora De Aire 3.1M3/Min 18V LXT (Sin Bateria/Cargador)</t>
  </si>
  <si>
    <t>Sopladora Inal.  3.1m3/min 18V LXT (sin bateria/cargador).</t>
  </si>
  <si>
    <t>Sopladora Inal.  3.1m3/min 18V LXT (inc Bols Recol / Boq Larg)(sin bateria/cargador)</t>
  </si>
  <si>
    <t>Sopladora/Aspiradora inal. (4.2/6.1 m3/min) Bolsa 25 L 18V LXT BL XPT (Sin Batería/Cargador)</t>
  </si>
  <si>
    <t>Sopladora Inal. 4.4m3/min 18VX2 LXT XPT (sin bateria/cargador)</t>
  </si>
  <si>
    <t>Sopladora Inal. 13.4m3/min 18VX2 LXT XPT (inc. bateriaX4 5Ah/cargador) + Maleta</t>
  </si>
  <si>
    <t>Sopladora Inal. 13.4m3/min 18VX2 LXT XPT (inc. bateriaX2 5Ah/cargador)</t>
  </si>
  <si>
    <t>Sopladora Inalambrico 13.4m3/min 18VX2 LXT(sin bateria/cargador)</t>
  </si>
  <si>
    <t>Sopladora/Aspiradora Inal. 13.4m3/min 18VX2 LXT XPT (inc bateriaX2 5Ah/cargador doble) (inc. Bolsa</t>
  </si>
  <si>
    <t>Sopladora/Aspiradora inal. 13.4m3/min 18Vx2 LXT XPT (Sin Bateria/Cargador) (Inc. bolsa recolec)</t>
  </si>
  <si>
    <t>Sierra de Poda 4" 18V LXT BL / Inc. Portalima + Lima (BL1830/DC18RC)</t>
  </si>
  <si>
    <t>Sierra de Poda 4" 18V LXT BL / Inc. Portalima + Lima (Sin Bateria/Cargador)</t>
  </si>
  <si>
    <t>""Sierra de cadena 10"" 18VX2 LXT XPT (sin bateria/cargador)"</t>
  </si>
  <si>
    <t>Sierra de Cadena 10" 18V LXT XPT BL Motor (Sin Bateria/Cargador)</t>
  </si>
  <si>
    <t>""Sierra de cadena 10"" 36V LXT XPT BL Motor (sin bateria/cargador)"</t>
  </si>
  <si>
    <t>Sierra de Cadena 10" 18V LXT XPT BL Motor (Sin Bateria/Cargador) NUEVA</t>
  </si>
  <si>
    <t>""Sierra de cadena 12"" 18VX2 LXT XPT (sin bateria/cargador)"</t>
  </si>
  <si>
    <t>""Sierra de cadena 12"" 36V LXT XPT BL Motor (sin bateria/cargador)"</t>
  </si>
  <si>
    <t>Sierra de cadena 16"" 18VX2 LXT XPT BL Motor (sin bateria/cargador)</t>
  </si>
  <si>
    <t>""Sierra de cadena 16"" 18VX2 LXT XPT BL Motor (sin bateria/cargador) tuercas"</t>
  </si>
  <si>
    <t>Sierra de cadena 16" 18VX2 LXT XPT BL Motor (inc. bateriaX2 5Ah/cargador) one hand</t>
  </si>
  <si>
    <t>""Sierra de cadena 16"" 36V LXT XPT BL Motor (sin bateria/cargador)"</t>
  </si>
  <si>
    <t>Sierra de Cadena 16" 18V LXT XPT BL (Sin Batería/Cargador)</t>
  </si>
  <si>
    <t>Cortasetos Inal. 550 mm 18VX2 LXT XPT (sin bateria/cargador)</t>
  </si>
  <si>
    <t>Cortasetos Inal. 600 mm 18V LXT XPT (inc. bateriaX1 5Ah/cargador)</t>
  </si>
  <si>
    <t>Cortasetos inal. 600 mm 18V LXT XPT (Sin Bateria/Cargador)</t>
  </si>
  <si>
    <t>CORTASETOS INALAMBRICA 600mm</t>
  </si>
  <si>
    <t>Cortasetos Inal. 600 mm 18V LXT XPT (recoge hojas) (sin bateria/cargador)</t>
  </si>
  <si>
    <t>Cortasetos inal. 18V 600 mm BL XPT (Sin Bateria/Cargador)</t>
  </si>
  <si>
    <t>Cortasetos inal. 600mm LXT (Sin Bat/Cargador)</t>
  </si>
  <si>
    <t>Cortasetos Inal. 750 mm 18V LXT XPT (inc. bateriaX1 5Ah/cargador)</t>
  </si>
  <si>
    <t>Cortasetos Inal. 750 mm 18V LXT XPT (sin bateria/cargador)</t>
  </si>
  <si>
    <t>CORTASETOS INALAMBRICA 750mm</t>
  </si>
  <si>
    <t>Cortasetos Inal. 750 mm 18V LXT XPT (recoge hojas) (sin bateria/cargador)</t>
  </si>
  <si>
    <t>Tijeras cortahierbas 110mm 18V LXT (con bateria/cargador)</t>
  </si>
  <si>
    <t>Tijeras Cortahierbas 110mm 18V LXT (Con Bateria/Cargador)</t>
  </si>
  <si>
    <t>Tijeras Cortahierbas 160mm 18V LXT</t>
  </si>
  <si>
    <t>CORTASETOS INALAMBRICO 160mm</t>
  </si>
  <si>
    <t>Cortasetos inal. 18V 500 mm XPT Bl Motor (Cabezal 45° - 70°) (Largo Total 2,511 mm) (Sin Bateria/Cargador)</t>
  </si>
  <si>
    <t>Cortasetos inal 18V 460 mm LXT XPT (Largo total 2,115 mm) (Sin Bateria/Cargador)</t>
  </si>
  <si>
    <t>Tijera de Poda 18V LXT BL XPT Corte Máx 1-3/16" / 30 mm (Sin Batería/Cargador) - Cable</t>
  </si>
  <si>
    <t>Tijera de Poda 18V LXT BL XPT Corte Máx 1-3/16" / 30 mm (BL1830/DC18SD)</t>
  </si>
  <si>
    <t>Tijera de Poda 18V LXT BL XPT Corte Máx 1-3/16" / 30 mm (Sin Batería/Cargador)</t>
  </si>
  <si>
    <t>Tijera podadora Inal. 18VX2 LXT XPT (inc. bateriaX2 4Ah/cargador) new arnes</t>
  </si>
  <si>
    <t>Tijera podadora Inal. 18VX2 LXT XPT (sin bateria/cargador)</t>
  </si>
  <si>
    <t>Tijera podadora Inal. 18VX2 LXT XPT (sin bateria/cargador) new arnes</t>
  </si>
  <si>
    <t>Tijera Podadora inal. 18Vx2 LXT XPT (Sin Bateria/Cargador) }</t>
  </si>
  <si>
    <t>Desbrozadora manillar D Inal. 18V LXT (sin bateria/cargador)</t>
  </si>
  <si>
    <t>Desbrozadora manillar D Inal. 18V LXT XPT BL Motor (inc. Bateria 3Ah/cargador)</t>
  </si>
  <si>
    <t>Desbrozadora manillar D Inal. 18V LXT XPT BL Motor ( sin bateria/cargador)</t>
  </si>
  <si>
    <t>Desbrozadora manillar U Inal. 18V LXT XPT BL Motor (inc. bateria/cargador)</t>
  </si>
  <si>
    <t>Desbrozadora manillar D Inal. 18V LXT XPT BL Motor (sin bateria/cargador)</t>
  </si>
  <si>
    <t>Desbrozadora manillar D Inal. 18V LXT XPT BL Motor ADT (2xbateria 3Ah/cargador)</t>
  </si>
  <si>
    <t>Desbrozadora manillar D Inal. 18V LXT XPT BL Motor ADT (sin bateria/cargador)</t>
  </si>
  <si>
    <t>Desbrozadora Inal. 18V LXT XPT BL Motor (sin bateria/cargador)</t>
  </si>
  <si>
    <t>Desbrozadora manillar U Inal. 18V LXT XPT BL Motor ADT (sin bateria/cargador)</t>
  </si>
  <si>
    <t>Desbrozadora manillar D inal. 18V / LXT / Plegable (Inc. Bateria 3Ah/Cargador)</t>
  </si>
  <si>
    <t>Desbrozadora manillar D Inal. 18V LXT 203W (baterÃ­a 3Ah / carg stand)</t>
  </si>
  <si>
    <t>Desbrozadora manillar D Inal. 18V LXT 203W (sin batería/cargador)</t>
  </si>
  <si>
    <t>Desbrozadora manillar U Inal. 18V LXT XPT BL Motor (inc. bateriaX2 3Ah/cargador)</t>
  </si>
  <si>
    <t>Desbrozadora manillar U Inal. 18V LXT XPT BL Motor (sin bateria/cargador)</t>
  </si>
  <si>
    <t>Desbrozadora manillar D Inal. 18VX2 LXT XPT BL Motor (sin bateria/cargador)</t>
  </si>
  <si>
    <t>Desbrozadora manillar U Inal. 18VX2 LXT XPT BL Motor (inc. bateriaX2 4Ah/cargador doble)</t>
  </si>
  <si>
    <t>Desbrozadora manillar U Inal. 18VX2 LXT XPT BL Motor (sin bateria/cargador)</t>
  </si>
  <si>
    <t>Desbrozadora manillar U Inal. 18VX2 LXT XPT BL Motor AFT ADT(sin bateria/cargador)</t>
  </si>
  <si>
    <t>Desbrozadora manillar U Inal. 18VX2 LXT BL Motor ADT AFT (sin bateria/cargador)</t>
  </si>
  <si>
    <t>Desbrozadora manillar U Inal.</t>
  </si>
  <si>
    <t>Pulverizadora inal. 18V / 0.3 MPa / 5 L / LXT (Sin Batería/Cargador)</t>
  </si>
  <si>
    <t>Pulverizadora inal. 18V / 0.5 MPa / 15 L / LXT XPT (Sin Batería/Cargador)</t>
  </si>
  <si>
    <t>Mezcladora 18V / Mandril con llave / 2 Veloc. /BL - XPT / 2 x 5.0Ah</t>
  </si>
  <si>
    <t>Mezcladora 18V/ Eje Roscado/2 Veloc. /BL - XPT/Sin Baterías</t>
  </si>
  <si>
    <t>Escarificadora a Batería 18V / 320 mm / 30 L / LXT BL XPT / (Sin Batería/Cargador)</t>
  </si>
  <si>
    <t>320mm Cordless Scarifier(18V×1)</t>
  </si>
  <si>
    <t>Multifuncional inal. 18V LXT XPT AFT BL Motor (Sin Bateria/Cargador/Accesorios)</t>
  </si>
  <si>
    <t>Multifuncional Inal. 18VX2 LXT XPT AFT BL Motor (sin bateria/cargador/accesorios)</t>
  </si>
  <si>
    <t>Multifuncional Inal. 18VX2 LXT XPT AFT BL Motor (sin bateria/cargador) + Acc. Desbrozadora + Maleta</t>
  </si>
  <si>
    <t>Aspiradora Híbrida (Húmedo y Seco) AC/24KpA / DC/9kPa / Polvo 15L/Agua 6L (limpieza)</t>
  </si>
  <si>
    <t>Aspiradora Híbrida (Seco) AC/24KpA / DC/9kPa / 15L (limpieza)</t>
  </si>
  <si>
    <t>Aspiradora inal. 18+18=36V / BL-LXT / Sin bateria</t>
  </si>
  <si>
    <t>Aspiradora Inalámbrica (Seco) DC/9.8 kPa / Polvo 15L / Filtro HEPA (limpieza)</t>
  </si>
  <si>
    <t>Aspiradora Inalámbrica AWS (Bluetooth) 9.8 kPa / Polvo 15L / Filtro HEPA</t>
  </si>
  <si>
    <t>Aspiradora Inal. (Húmedo/Seco) 18VX2/11kPa/Polvo 15L/Agua 12L/Clase L (sin batería/cargador)</t>
  </si>
  <si>
    <t>Aspiradora Inalámbrica</t>
  </si>
  <si>
    <t>Aspiradora inal. 18+18=36V / tipo mochila / 1.5m³/min / 7.1 kPa / 25-45W  Succ. / BL-LXT /Sin Bat</t>
  </si>
  <si>
    <t>Aspiradora inal. 18+18=36V / tipo mochila / 1.5m³/min / 7.1 kPa / 25-45W  Succión / BL-LXT /S.Bate</t>
  </si>
  <si>
    <t>Aspiradora inal. 18+18=36V / tipo mochila / 1.8m³/min / 11 kPa / 25-45W  Succión / BL-LXT /Sin Bat</t>
  </si>
  <si>
    <t>Aspiradora inal. 18+18=36V / tipo mochila / 1.5m³/min / 7.1 kPa / 25-45W  Succión / BL-LXT /S.Bat</t>
  </si>
  <si>
    <t>Aspiradora/Sopladora inal. 18V / Tipo Maleta / 1.4m3/min / 6.0 KPa / LXT (Sin Baterías/Cargador)</t>
  </si>
  <si>
    <t>Aspiradora Vertical 36V / Alfombras / 1.9m³/min / 12KPa / BL HEPA / 5.0L /  (Limpieza) (Sin Batería/Cargador)</t>
  </si>
  <si>
    <t>Aspiradora inal. 18+18=36V / Tipo Mochila / 2.2m³/min/ 11 KPa/BL LXT / 6.0 L / (Limpieza) (Sin Baterias/Cargador)</t>
  </si>
  <si>
    <t>Aspiradora inal. 18+18=36V / tipo mochila / 2.2m³/min / 11 kPa / BL-LXT / 6.0 L / Sin Baterías (AWS)</t>
  </si>
  <si>
    <t>Aspiradora/Sopladora inal. 18V / Tipo Maleta / 1.4m3/min/ 6.4 KPa / LXT BL Motor HEPA (Sin Batería/Cargador)</t>
  </si>
  <si>
    <t>Aspiradora Híbrida (Húmedo y Seco) AC/24KpA / DC/9kPa / Polvo 8L/Agua 6L</t>
  </si>
  <si>
    <t>ASPIRADORA INALAMBRICA 1050W 36 V =&gt; 2 x 18 V Li-Ion S/BATERIA</t>
  </si>
  <si>
    <t>Aspiradora Inalámbrica (Húmedo y Seco) DC/9.8 kPa / Polvo 8L/Agua 6L</t>
  </si>
  <si>
    <t>Aspiradora Inalámbrica AWS (Bluetooth) 9.8 kPa / Polvo 8L / Filtro HEPA (limpieza)</t>
  </si>
  <si>
    <t>Aspirador inalámbrico 2x18 V con Bluetooth (sin batería + cargador)</t>
  </si>
  <si>
    <t>Aspiradora Inalámbrica AWS (Bluetooth) 9.8 kPa / Polvo 8L / Filtro HEPA</t>
  </si>
  <si>
    <t>Pulverizadora Inal. 18V LXT (sin bateria/cargador)</t>
  </si>
  <si>
    <t>Bomba de Vacio 18V / 18v. / 50 L/min./ 20 Pa / 115 ml cap. / LXT / Sin Baterías</t>
  </si>
  <si>
    <t>Bomba De Vacio LXT 18V/ 50 L/Min./ 20 Pa/115 Ml Cap./LXT/Sin Baterías</t>
  </si>
  <si>
    <t>Bomba De Vacio LXT 18Vx2 (36V)/113 L/Min - Cap. 300 Ml/Sin Baterías + Maleta</t>
  </si>
  <si>
    <t>Vibrador De Concreto Inalámbrico 1" Manguera 2.4 M. 12.500 Vpm 5.2 Kg. S/Baterias</t>
  </si>
  <si>
    <t>Ratchet 1/4" - 3/8" 18V/47.5 Nm/Sin Baterías LXT"</t>
  </si>
  <si>
    <t>Degolladora 18V X 2 = 36V/14 Rpm/804Nm/Sin Baterías</t>
  </si>
  <si>
    <t>DISCO RECTIFICADOR 115x6x22.23</t>
  </si>
  <si>
    <t>DISCO DE CORTE 115x1.2x22.23</t>
  </si>
  <si>
    <t>DISCO RECTIFICADOR 125x6x22.23</t>
  </si>
  <si>
    <t>DISCO CORTE 125x1.2x22.23</t>
  </si>
  <si>
    <t>Nylon 2.0 mm (4 Hojas) 15 m - DUR192 - UR002 - UR006</t>
  </si>
  <si>
    <t>Nylon 4 Hojas - 2.7 mm - 15 m</t>
  </si>
  <si>
    <t>""DISCO DIAMANTADO SEG LISO CONCRETO 4.5"" x 22.23 x 1.6mm **** (X-LOCK)"</t>
  </si>
  <si>
    <t>""SET DADOS IMPACTO CORTO 1/2"" x 8u.{8 10 12 13 14 17 19 21mm}"</t>
  </si>
  <si>
    <t>PUNTA PHILLIPS Ph1 x  25mm.2u.Impact PREMIER</t>
  </si>
  <si>
    <t>PUNTA PHILLIPS Ph2 x 25mm.2u.Impact PREMIER</t>
  </si>
  <si>
    <t>PUNTA PHILLIPS Ph2 x 25mm.2u.Impact PREMIER (SLIM)</t>
  </si>
  <si>
    <t>PUNTA PHILLIPS Ph3 x 25mm.2u.Impact PREMIER</t>
  </si>
  <si>
    <t>PUNTA TORX T10 x 25mm.2u.Impact PREMIER</t>
  </si>
  <si>
    <t>PUNTA TORX T15 x 25mm.2u.Impact PREMIER</t>
  </si>
  <si>
    <t>PUNTA TORX T20 x 25mm.2u.Impact PREMIER</t>
  </si>
  <si>
    <t>PUNTA TORX T25 x 25mm.2u.Impact PREMIER</t>
  </si>
  <si>
    <t>PUNTA TORX T30 x 25mm.2u.Impact PREMIER</t>
  </si>
  <si>
    <t>PUNTA PHILLIPS Ph2 x 25mm.15u.Impact PREMIER</t>
  </si>
  <si>
    <t>PUNTA POZIDRIV Pz2 x 25mm.10u.Impact PREMIER</t>
  </si>
  <si>
    <t>PUNTA PHILLIPS Ph1 x  50mm.2u.Impact PREMIER</t>
  </si>
  <si>
    <t>PUNTA PHILLIPS Ph3 x  50mm.2u.Impact PREMIER</t>
  </si>
  <si>
    <t>PUNTA POZIDRIV Pz3 x 50mm.2u.Impact PREMIER</t>
  </si>
  <si>
    <t>PUNTA TORX T10 x 50mm.2u.Impact PREMIER</t>
  </si>
  <si>
    <t>PUNTA TORX T15 x 50mm.2u.Impact PREMIER</t>
  </si>
  <si>
    <t>PUNTA TORX T20 x 50mm.2u.Impact PREMIER</t>
  </si>
  <si>
    <t>PUNTA TORX T25 x 50mm.2u.Impact PREMIER</t>
  </si>
  <si>
    <t>PUNTA TORX T30 x 50mm.2u.Impact PREMIER</t>
  </si>
  <si>
    <t>PUNTA PHILLIPS Ph2 x  50mm.10u.Impact PREMIER</t>
  </si>
  <si>
    <t>PUNTA POZIDRIV Pz2 x 50mm.10u.Impact PREMIER</t>
  </si>
  <si>
    <t>PORTA PUNTA ULTRA MAGNETICO 1/4"" x 79mm.Impact PREMIER</t>
  </si>
  <si>
    <t>""ADAPTADOR A 3/8""x 50mm.ANGULO DE 0°a15° PARA DADOS DE IMPACTO Impact PREMIER.VASTAGO HEXAG.1/4"""</t>
  </si>
  <si>
    <t>""SIERRA COPA BI-METAL   16mm.(8% Cobalto) Ezychange.      5 / 8"""</t>
  </si>
  <si>
    <t>""SIERRA COPA BI-METAL   25mm.(8% Cobalto) Ezychange.        1"""</t>
  </si>
  <si>
    <t>""SIERRA COPA BI-METAL   27mm.(8% Cobalto) Ezychange  1-1 /16"""</t>
  </si>
  <si>
    <t>""SIERRA COPA BI-METAL   44mm.(8% Cobalto) Ezychange. 1- 3 / 4"""</t>
  </si>
  <si>
    <t>BROCA GUIA  P/EZYCHANGE HSS-G 1/4" x 85mm.VASTAGO HEXAGONAL</t>
  </si>
  <si>
    <t>BROCA PARA CONCRETO 4x70mm ***</t>
  </si>
  <si>
    <t>BROCA PARA CONCRETO 5x85mm ***</t>
  </si>
  <si>
    <t>BROCA PARA CONCRETO 6x100mm ***</t>
  </si>
  <si>
    <t>BROCA PARA CONCRETO 6x150mm ***</t>
  </si>
  <si>
    <t>BROCA PARA CONCRETO 7x100mm ***</t>
  </si>
  <si>
    <t>BROCA PARA CONCRETO 8x110mm ***</t>
  </si>
  <si>
    <t>BROCA PARA CONCRETO 8x150mm ***</t>
  </si>
  <si>
    <t>BROCA PARA CONCRETO 9x150mm ***</t>
  </si>
  <si>
    <t>BROCA PARA CONCRETO 10x150mm ***</t>
  </si>
  <si>
    <t>BROCA PARA CONCRETO 12x150mm ***</t>
  </si>
  <si>
    <t>DISCO SIERRA PARA MADERA   8-1/2" x 25.4 x 2.00mm. 45 DIENTES (P/LS002G) -EFFICUT-</t>
  </si>
  <si>
    <t>Broca Barreno 100 x 800 mm - DG001 - DG002 - DDG461</t>
  </si>
  <si>
    <t>Broca Barremo 150 x 800 mm - DG001 - DG002 - DDG461</t>
  </si>
  <si>
    <t>Broca Barremo 200 x 800 mm - DG001 - DG002 - DDG461</t>
  </si>
  <si>
    <t>Extensión Broca Barreno 540mm - DG001 - DG002 - DDG461</t>
  </si>
  <si>
    <t>Pin Broca Barreno - DG001 - DG002 - DDG461</t>
  </si>
  <si>
    <t>Cuchilla para Barreno 100 mm</t>
  </si>
  <si>
    <t>Cuchilla para Barreno 150 mm</t>
  </si>
  <si>
    <t>SET DE BROCAS PLANA (PALETA) PARA MADERA (12,14,16,18,20,22,25,32mm) 8 PIEZAS</t>
  </si>
  <si>
    <t>SET HERRAMIENTA MANUAL 120 pcs (MAKPACK SERIES)</t>
  </si>
  <si>
    <t>DISCO ABRA CORTE INOX 4.5"x 0.8mm.(Z60U) ****  ESPECIAL P/INALAMBRICO</t>
  </si>
  <si>
    <t>1.9M Guide Rail Protective Holder</t>
  </si>
  <si>
    <t>DISCO SIERRA PARA MADERA 190 x 20.0 x 2.00mm. 45 DIENTES SIERRA INGLETEADORA (REDUCTOR 5/8") -EFFICUT-</t>
  </si>
  <si>
    <t>SET DE PUNTAS 8u (PH1  2PH2  PH3; PZ1  PZ2  PZ3 + PORTA PUNTA) IMPAC BLACK</t>
  </si>
  <si>
    <t>""DISCO DE SIERRA TCT EFFICUT METAL 12"" x 25.4 x 1.75mm 63D"</t>
  </si>
  <si>
    <t>SET DE DADOS DE IMPACTO 8u (HEX 1/4""  6  7  8  10  11  12  13mm + ADAPTADOR HEX 1/4"" a 1/4"" P/ATOR</t>
  </si>
  <si>
    <t>COPA DE CORTE DE BARRAS DE REFUERZO DE 3/4" x 4"</t>
  </si>
  <si>
    <t>COPA DE CORTE DE BARRAS DE REFUERZO DE 7/8" x 4"</t>
  </si>
  <si>
    <t>COPA DE CORTE DE BARRAS DE REFUERZO DE 1" x 4"</t>
  </si>
  <si>
    <t>""DISCO DE SIERRA TCT EFFICUT METAL 7 1/4"" x 20 x 1.2mm 45D"</t>
  </si>
  <si>
    <t>""DISCO DE SIERRA TCT EFFICUT METAL 7 1/4"" x 20 x 1.2mm 60D"</t>
  </si>
  <si>
    <t>PORTA CELULAR MAKITA - 115x40x20mm</t>
  </si>
  <si>
    <t>DISCO DIAMAN.SEG. CONCRETO  14""x 25.4 (P/CE001G)****</t>
  </si>
  <si>
    <t>DESTORNILLADOR PARA VARILLAS DE TIERRA P/MARTILLOS SDS-MAX (22.2mm)</t>
  </si>
  <si>
    <t>SET DE BROCAS Y PUNTAS (METAL) 42Pcs</t>
  </si>
  <si>
    <t>CINCEL SDS-MAX PUNTA AUTOAFILABLE (Punta Espiralada) x 400mm.</t>
  </si>
  <si>
    <t>""DISCO DE SIERRA PARA ALUMINIO 12"" x 30 x 2mm 81 DIENTES (REDUCTOR 1"" - 5/8"") EFFICUT-METAL"</t>
  </si>
  <si>
    <t>""DISCO DE SIERRA PARA ALUMINIO 12"" x 30 x 2mm 96 DIENTES (REDUCTOR 1"" - 5/8"") EFFICUT-METAL"</t>
  </si>
  <si>
    <t>ATORNILLADOR PH2 x 100mm</t>
  </si>
  <si>
    <t>DESTORNILLADOR SL4.5x100</t>
  </si>
  <si>
    <t>DESTORNILLADOR SL5.5x100</t>
  </si>
  <si>
    <t>Broca Barreno 50 x 800 mm - DG001 - DG002 - DDG461</t>
  </si>
  <si>
    <t>Broca Barreno 80 x 800 mm - DG001 - DG002 - DDG461</t>
  </si>
  <si>
    <t>Cuchilla para Barreno 50 mm</t>
  </si>
  <si>
    <t>Cuchilla para Barreno 80 mm</t>
  </si>
  <si>
    <t>""DISCO ABRA CORTE INOX   7"" x 1.6mm.(A60U) ***"</t>
  </si>
  <si>
    <t>""DISCO ABRA CORTE INOX   9"" x 1.9mm.(A60U) ***"</t>
  </si>
  <si>
    <t>SET DE BROCAS SDS PLUS P/CONCRETO 4 CORTES  5-6-8-10mm x 160mm</t>
  </si>
  <si>
    <t>SET DE BROCAS MULTIPROPOSITO (OMNIBOHRER) 4-5-6-8-10mm  5u</t>
  </si>
  <si>
    <t>""DISCO SIERRA PARA ACERO GRUESO 7-1/4""x20.0x 2.0mm.38 DIENTES (4131)-HASTA 12mm- (REDUCTOR 5/8"")"</t>
  </si>
  <si>
    <t>SET DE BROCAS Y PUNTAS 75 Pcs - CAJA TRANSPARENTE</t>
  </si>
  <si>
    <t>Drill Holster Universal L/R Handed</t>
  </si>
  <si>
    <t>SET DADOS MAGNETICO MILIMETRICOS MEDIDAS (6,7,8,10,12,13mm) LARGO DE 50mm AZUL MAKITA IMPACT BLACK 6 PIEZAS</t>
  </si>
  <si>
    <t>Set x30 pzs de puntas para atornillar (PH, PZ, HEX)</t>
  </si>
  <si>
    <t>SET DADOS PARA LLAVE DE IMPACTO ENCASTRE 1/2"  CORTOS  (8,10,12,13,14,17,19,21mm) 8 PIEZAS</t>
  </si>
  <si>
    <t>TCT Saw Blade EFFICUT Aluminum</t>
  </si>
  <si>
    <t>Barreno para Tierra (Hex) (12 mm) - 40 x 600 mm - Taladro</t>
  </si>
  <si>
    <t>PAPEL LIJA (GR 60) 93 x 228 mm.</t>
  </si>
  <si>
    <t>DISCO ABRA CORTE INOX ULTRA DELGADO 115X0.8X22.23MM ALTO RENDIMIENTO (x12UN)</t>
  </si>
  <si>
    <t>DISCO DE SIERRA PARA CIRCULAR DE 16" TCT EFFICUT 415x25,4mmx35 DIENTES NEGRO</t>
  </si>
  <si>
    <t>PRO PACK BROCA SDS PLUS TCT DOS CORTES MEDIDAS (6X 110) 2 und (8,10,12X160) 3 und CONTIENE EL BLISTER Y EL PACK CONTIENE 12</t>
  </si>
  <si>
    <t>E-25454</t>
  </si>
  <si>
    <t>STARLOCK CUTSAW 45 TMA088 BIM</t>
  </si>
  <si>
    <t>Broca Barreno 50 x 800 mm - DG001 - DG002 - DDG461 (Nuevo)</t>
  </si>
  <si>
    <t>Broca Barreno 80 x 800 mm - DG001 - DG002 - DDG461 (Nuevo)</t>
  </si>
  <si>
    <t>Broca Barreno 100 x 800 mm - DG001 - DG002 - DDG461 (Nuevo)</t>
  </si>
  <si>
    <t>Broca Barremo 150 x 800 mm - DG001 - DG002 - DDG461 (Nuevo)</t>
  </si>
  <si>
    <t>Broca Barremo 200 x 800 mm - DG001 - DG002 - DDG461 (Nuevo)</t>
  </si>
  <si>
    <t>Pin Broca Barreno - DG001 - DG002 - DDG461 (Nuevo)</t>
  </si>
  <si>
    <t>Extensión Broca Barreno 540mm - DG001 - DG002 - DDG461 (Nuevo)</t>
  </si>
  <si>
    <t>Cuchilla para Barreno 50 mm (Nuevo)</t>
  </si>
  <si>
    <t>Cuchilla para Barreno 80 mm (Nuevo)</t>
  </si>
  <si>
    <t>Cuchilla para Barreno 100 mm (Nuevo)</t>
  </si>
  <si>
    <t>Cuchilla para Barreno 150 mm (Nuevo)</t>
  </si>
  <si>
    <t>Metal impact drill bit HSS TiAlN with 1/4inch Hex shank 4.0×71(22)</t>
  </si>
  <si>
    <t>Metal impact drill bit HSS TiAlN with 1/4inch Hex shank 10.0×112(67)</t>
  </si>
  <si>
    <t>Metal impact drill bit HSS TiAlN with 1/4inch Hex shank 13.0×125(75)</t>
  </si>
  <si>
    <t>NECESER DE LONA MAKITA NEGRO 20x26x21cm</t>
  </si>
  <si>
    <t>RECIPRO SAW BLADE CAST IRON PIPES TC/HM  152mmX1.0mm 10TPI 1PCS</t>
  </si>
  <si>
    <t>RECIPRO SAW BLADE CAST IRON PIPES TC/HM  228mmX1.1mm 10TPI 1PCS</t>
  </si>
  <si>
    <t>""Motosierra 32cc 3/8"" 16"" 1.8 Hp"</t>
  </si>
  <si>
    <t>""Motosierra 45.6 cc. 3/8"" 18"" 3.0 Hp"</t>
  </si>
  <si>
    <t>""Motosierra 55.7 cc. 3/8"" 21"" 4.1 Hp"</t>
  </si>
  <si>
    <t>""Motosierra 60.7 cc 3/8"" 24"" 4.6 Hp"</t>
  </si>
  <si>
    <t>Sopladora de mochila MM4 53 cc 15 m3/min</t>
  </si>
  <si>
    <t>Sopladora de mochila 4 Tiempos 3.7 Hp  75.6 cc  19 m3/min</t>
  </si>
  <si>
    <t>Sopladora de mochila MM4 3.7 Hp 75.6 cc 20 m3/min</t>
  </si>
  <si>
    <t>DESMALEZADORA 0.69 Kw - 0.5 L - 4 TIEMPOS</t>
  </si>
  <si>
    <t>Desbrozadora MM4 1.0 Hp 24.5cc</t>
  </si>
  <si>
    <t>Desbrozadora 4 Tiempos 1.5 Hp 33.5 cc</t>
  </si>
  <si>
    <t>Motopulverizador MM4 1.0 Hp 24.5cc 15L</t>
  </si>
  <si>
    <t>Generador</t>
  </si>
  <si>
    <t>Generador a Gasolina 60 Hz. 120/240V 2.4 KVA</t>
  </si>
  <si>
    <t>GENERATOR 12 L (MOTOR: EX21 (211 mL))</t>
  </si>
  <si>
    <t>""CORTA SETOS A GASOLINA 600 mm (23-5/8"") 0.4 L - 0.68 kW"</t>
  </si>
  <si>
    <t>""Cortadora de Concreto MM4 (14"") 4.1 Hp 75.6cc"</t>
  </si>
  <si>
    <t>""Cortadora de Concreto 2T (16"") 5.7 Hp 81cc"</t>
  </si>
  <si>
    <t>Motoguadaña 2 Tiempos 1 Hp 24.5 cc</t>
  </si>
  <si>
    <t>Motoguadaña 2 Tiempos 1.6 Hp 34 cc</t>
  </si>
  <si>
    <t>DESMALEZADORA  1.07 Kw - 0.65 L - 4 TIEMPOS</t>
  </si>
  <si>
    <t>Desbrozadora Mochila MM4 2.1 Hp 43cc</t>
  </si>
  <si>
    <t>DESBROZADORA (ANTI-VIBRACION) 1.5 Kw - 43.0 CC - 0.68 L  - 4 TIEMPOS</t>
  </si>
  <si>
    <t>Desbrozadora MM4 2.1Hp 43cc</t>
  </si>
  <si>
    <t>Cortasetos MM4 1.1 Hp 25.4 cc (eje largo/cabezal 0° - 135°) 2m</t>
  </si>
  <si>
    <t>Cortasetos MM4 1.1 Hp 25.4 cc (eje corto/cabezal 0° - 135°) 1m</t>
  </si>
  <si>
    <t>Cortasetos 4T 1.1 Hp 25.4 cc (eje corto/cabezal fijo)</t>
  </si>
  <si>
    <t>""Orilladora ""eje curvo"" 2T 1.1Hp 25.7cc"</t>
  </si>
  <si>
    <t>Motopulverizador MM4 1.0 Hp 24.5cc 20L</t>
  </si>
  <si>
    <t>""BOMBA DE AGUA 76mm (3"") / 3.2L - - 169CC- 1000L"</t>
  </si>
  <si>
    <t>Desbrozadora Multiacciones MM4 1.1 Hp 25.4 cc</t>
  </si>
  <si>
    <t>Desbrozadora Multiacciones MM4 1.1 Hp 25.4 cc (inc. acc. Desbrozadora)</t>
  </si>
  <si>
    <t>Podadora Telescópica MM4 1.1 Hp 3.92 m altura (máx)</t>
  </si>
  <si>
    <t>CARRETE DE TORNILLOS PARA DRYWALL PH2, 3,9 x 25 mm X 1000 UND</t>
  </si>
  <si>
    <t>CARRETE DE TORNILLOS PARA DRYWALL PH2, 3,9 x 55 mm X 1000 UND</t>
  </si>
  <si>
    <t>CARRETE DE TORNILLOS PARA DRYWALL PH2, 3,9 x 41 mm X 1000UND</t>
  </si>
  <si>
    <t>Clavadora  XGT 40V/BL /Cap. 100 Clavos/Cal. 18/ Clavos 15-18-25-30-35-40mm/Sin Baterias</t>
  </si>
  <si>
    <t>""Clavadora 40V XGT / BL / (acabado duro) / (5/8"" - 1-5/8"") / Cal. 18 / Sin Baterias"</t>
  </si>
  <si>
    <t>""Atornillador Drywall 1/4"" 570w. 0-2500 RPM 1.6Kg. Luz Led"</t>
  </si>
  <si>
    <t>""Atornillador Drywall 1/4"" 570w. 0-2500 RPM 1.5Kg. Luz Led/extractor de punta facil"</t>
  </si>
  <si>
    <t>Atornillador Drywall 1/4" 570W. 0-2500 Rpm 1.8Kg. Luz Led/Control De Torque 6 Posiciones</t>
  </si>
  <si>
    <t>Atornillador Drywall 1/4"" 570w. 0-4000 RPM 1.3Kg.</t>
  </si>
  <si>
    <t>Atornillador Para Drywall 5 mm (3/16") 570 W"</t>
  </si>
  <si>
    <t>Atornillador Drywall 1/4" 570W. 0-6000 Rpm 1.4Kg. Luz Led</t>
  </si>
  <si>
    <t>""Esmeril Angular 4-1/2""  XGT 40Vmax / 8500 RPM / BL- ADT-AFT-XPT / Hombre Muerto/ 1 x 4.0Ah + C"</t>
  </si>
  <si>
    <t>Esmeril Angular 4-1/2""  XGT 40Vmax / 8500 RPM / BL- ADT-AFT-XPT / Hombre Muerto/ Sin Baterías</t>
  </si>
  <si>
    <t>Esmeril Angular 4-1/2""  XGT 40Vmax/Vel. VariaBLe/BL- ADT-Aft-XPT/Hombre Muerto/ 2 X 4.0Ah + C"</t>
  </si>
  <si>
    <t>Esmeril Angular  4 1/2" XGT 40Vmax/11 000 Rpm/BL-Hombre Muerto-Brake-Aft-XPT/Velocidad VariaBLe/Sin Baterias</t>
  </si>
  <si>
    <t>Esmeril Angular  5" XGT 40Vmax/8 500 Rpm/BL-Hombre Muerto-Brake-Aft-XPT/2 Baterias - 4 Amperios/Cargador/Makpack</t>
  </si>
  <si>
    <t>Esmeril Angular  7" XGT 40Vmax/7800 Rpm/BL-Brake-AFT-ADT-XPT/2 Baterias 5 Amperios/Makpack</t>
  </si>
  <si>
    <t>Esmeril Angular  7" XGT 40Vmax/7 800 Rpm/BL-Brake-AFT-ADT-XPT/Sin Baterias</t>
  </si>
  <si>
    <t>Esmeril Angular  9" XGT 40Vmax/6600 Rpm/BL-AWS-AFT-Brake-XPT/Sin Baterías</t>
  </si>
  <si>
    <t>Esmeril Angular  4 1/2" XGT 40Vmax/X-Lock/11 000 Rpm/BL-Hombre Muerto-Brake-Aft-XPT/Velocidad VariaBLe/Sin Baterías</t>
  </si>
  <si>
    <t>Cut?Off/Angle Grinder</t>
  </si>
  <si>
    <t>Esmeril Angular  4 1/2" XGT 40Vmax/X-Lock/8 500 Rpm/BL-Brake-Aft-XPT/2 Bateria - 4 Amperios/Cargador</t>
  </si>
  <si>
    <t>Esmeril Angular  4 1/2" XGT 40Vmax/X-Lock/11 000 Rpm/BL-Hombre Muerto-Brake-Aft-XPT/Sin Baterías</t>
  </si>
  <si>
    <t>Esmeril Angular  4 1/2" XGT 40Vmax/11 000 Rpm/BL-Hombre Muerto-Brake-Aft-XPT/Sin Baterias</t>
  </si>
  <si>
    <t>Esmeril Angular XGT 40Vmax / 11,000 RPM / BL-Hombre Muerto-F.E.-AFT-XPT / Sin Baterías</t>
  </si>
  <si>
    <t>Esmeril Angular 5" XGT 40Vmax/9000Rpm /Cabeza Plana/Bl-Switch-Brake-AFT-XPT/Velocidad Variable/Sin Baterias</t>
  </si>
  <si>
    <t>Esmeril Angular 5" XGT 40Vmax/9000Rpm /Cabeza Plana/Bl-H.M.-Brake-AFT-XPT/Velocidad Variable/Sin Baterias</t>
  </si>
  <si>
    <t>Esmeril Angular 4 1/2"  720W</t>
  </si>
  <si>
    <t>""Esmeril Angular 4.1/2"" 720w. 1.8Kg. Anti Restart"</t>
  </si>
  <si>
    <t>""ESMERIL ANGULAR 115 mm (4-1/2"") 720 W"</t>
  </si>
  <si>
    <t>""Esmeril Angular 4.1/2"" 1100w. 2.4Kg. SJSII"</t>
  </si>
  <si>
    <t>Esmeril Angular 4.1/2" 1400W. 2.5Kg. Veloc. VariaBLe Sjsii</t>
  </si>
  <si>
    <t>""ESMERIL ANGULAR CON FUNCION ANTI-REINICIO 115 mm (4-1/2"") - 1400 W - SJS II"</t>
  </si>
  <si>
    <t>""Esmeril Angular 4 1/2"" 1400w. 2.7Kg. Velocidad Variable/Freno Electrico SJSII Anti Restart"</t>
  </si>
  <si>
    <t>""Esmeril Angular 4 1/2"" 1100w. 2.6Kg. Freno Electrico SJSII Anti Restart"</t>
  </si>
  <si>
    <t>Esmeril Angular 4 1/2" 1300W 2.4Kg"</t>
  </si>
  <si>
    <t>""Esmeril Angular 4 1/2"" SJSII Anti Restart"</t>
  </si>
  <si>
    <t>Esmeril Angular</t>
  </si>
  <si>
    <t>Esmeril Angular 4-1/2" 1,900W Sjs Ii/Aft/Anti Restart/V.VariaBLe</t>
  </si>
  <si>
    <t>Esmeril Angular 4-1/2" 1,900W SJS II / AFT / Anti restart</t>
  </si>
  <si>
    <t>Esmeril Angular 4-1/2" 1,900W (Paleta) Sjs Ii/Aft/Anti Restart/V.VariaBLe</t>
  </si>
  <si>
    <t>Esmeril Angular 4-1/2" 1,900W (Paleta) Sjs Ii/Aft/Anti Restart</t>
  </si>
  <si>
    <t>Esmeril Angular 5" 1 050W. 2.7Kg. Sjs</t>
  </si>
  <si>
    <t>""Esmeril Angular 5"" 1 450w. 2.9Kg. SJS"</t>
  </si>
  <si>
    <t>Esmeril Angular 5" 1400W X-Lock (Switch Lateral)/1200 Rpm/Sjs</t>
  </si>
  <si>
    <t>Esmeril Angular 5"  850W/Vel. VariaBLe/2.2Kg</t>
  </si>
  <si>
    <t>""Esmeril Angular 7"" 2200w. 5.5Kg."</t>
  </si>
  <si>
    <t>Esmeril Angular 7" 2400W. 6.0Kg.</t>
  </si>
  <si>
    <t>Esmeril Angular 7" 2600W. 6.4Kg</t>
  </si>
  <si>
    <t>Esmeril Angular 7" 2000W. 4.5Kg</t>
  </si>
  <si>
    <t>""ESMERILADORA ANGULAR 180 mm (7"") 2000 W"</t>
  </si>
  <si>
    <t>Esmeril Angular 7" 2200W. 5.5Kg</t>
  </si>
  <si>
    <t>180mm[7""] / 230mm[9""] ESMERIL ANGULAR</t>
  </si>
  <si>
    <t>""Esmeril Angular 7"" 2200w. 5.5Kg. / AntiRestart"</t>
  </si>
  <si>
    <t>""Esmeril Angular 7"" 2200W - SJS II / Anti-Restart"</t>
  </si>
  <si>
    <t>""Esmeril Angular 7"" 2200w. 5.5Kg. / Mango en D"</t>
  </si>
  <si>
    <t>Esmeril Anguar 7" 2800W, 8500Rpm, Brake, Anti-Restart, Aft, Soft Start</t>
  </si>
  <si>
    <t>Esmeril Anguar 7" 2800W, 8500Rpm, Brake, Anti-Restart, Aft, Soft Start, AVT/H.M</t>
  </si>
  <si>
    <t>Esmeril Anguar 7" 2700W, 8500Rpm</t>
  </si>
  <si>
    <t>Esmeril Angular 7" (180mm) 2200W. 5.1Kg.</t>
  </si>
  <si>
    <t>""Esmeril Angular 9"" 2400w. 6.3Kg."</t>
  </si>
  <si>
    <t>Esmeril Angular 9" 2600W. 6.7Kg</t>
  </si>
  <si>
    <t>Esmeril Angular 9" 2000W. 4.8Kg</t>
  </si>
  <si>
    <t>Esmeril Angular 9" 2200W. 5.5Kg</t>
  </si>
  <si>
    <t>""Esmeril Angular 9"" 2200W - SJS II / Anti-Restart"</t>
  </si>
  <si>
    <t>Esmeril Anguar 9" 2800W, 6600Rpm, Brake, Anti-Restart, Aft Soft Start</t>
  </si>
  <si>
    <t>Esmeril Anguar 9" 2700W, 6600Rpm</t>
  </si>
  <si>
    <t>Esmeril Angular 9" (230mm) 2200W. 5.3Kg.</t>
  </si>
  <si>
    <t>Cuchilla 13" 330 mm - DLM330Z</t>
  </si>
  <si>
    <t>Bolsa Recolectora 25L - DUB187Z</t>
  </si>
  <si>
    <t>Esmeril De Banco 6" 250W. 3450 Rpm 9.2Kg</t>
  </si>
  <si>
    <t>Esmeril De Banco 8" 550W. 3450 Rpm 19.8Kg.</t>
  </si>
  <si>
    <t>Esmeril Recto XGT 40V/1/4"/29000rpm/Nariz Larga/Sistema SWTICH/Sin Baterias</t>
  </si>
  <si>
    <t>Esmeril Recto XGT 40V /1/4"/29 000 Rpm/Nariz Larga/Sistema Hm/Sin Baterias</t>
  </si>
  <si>
    <t>Rectificadora De Matrices 1/4" 400W. 25.000 Rpm 1.7Kg.</t>
  </si>
  <si>
    <t>""Rectificadora de Matrices 1/4"" 240w. 28.000 RPM 0.97Kg. (incluye dos accesorios)"</t>
  </si>
  <si>
    <t>Rectificadora De Matrices 1/4" 750W. 7 000-28 000 Rpm 1.6Kg. Sjs</t>
  </si>
  <si>
    <t>Rectificadora De Matrices 1/4" 750W. 7 000-29 000 Rpm 2.0Kg. Sjs Security Switch</t>
  </si>
  <si>
    <t>""Rectificadora de Matrices 1/4"" 750w. 1 800-7 000 RPM 2.5Kg. SJS"</t>
  </si>
  <si>
    <t>Esmeril Recto 5" 750W. 5600 Rpm 5.0Kg.</t>
  </si>
  <si>
    <t>Esmeril Recto 6" 750W. 5600 Rpm 5.2Kg.</t>
  </si>
  <si>
    <t>""Lijadora De disco 5"" 440W / 4 500 RPM"</t>
  </si>
  <si>
    <t>Lijadora De Disco 7" 550W. 4 700 Rpm 2.1Kg</t>
  </si>
  <si>
    <t>Taladro Base Magnetica 35mm (1-3/8") 1 050W/850 Rpm - Sujecion 8 000 N/17.9Kg.</t>
  </si>
  <si>
    <t>Taladro Base Magnetica Weldon 2" 1150W. 350-650 Rpm 17.9Kg. Sujecion 9 300 Nm</t>
  </si>
  <si>
    <t>Pistola De Calor XGT 40Vmax/600° Grados/4 Volumenes de temperatura/Sin Baterias</t>
  </si>
  <si>
    <t>Pistola de calor 1600W - 350°-500°</t>
  </si>
  <si>
    <t>Pistola De Calor 1 600W/300 - 500°C/350 - 500 L/Min</t>
  </si>
  <si>
    <t>Pistola de Calor 2 000W / 50 - 600°C / 150 - 500 L/min</t>
  </si>
  <si>
    <t>Pistola De Calor 2 000W/50 - 600°C/Pant. Digital .</t>
  </si>
  <si>
    <t>Pistola De Calor 2 000W/50 - 600°C/+ Boquillas /Pant. Digital</t>
  </si>
  <si>
    <t>Martillo Demoledor 40Vmax XGT/SDS-MAX/9,4J - 6.3Kg/BL-AVT-AWS-XPT /Sin Baterias</t>
  </si>
  <si>
    <t>Martillo demoledor SDS-Max 40V XGT / 18mm / 9.4 J / 6.3 Kg  / BL-AVT-AWS-XPT /Sin Baterias</t>
  </si>
  <si>
    <t>Martillo Demoledor 40Vx2 (80Vmax) XGT/SDS-MAX/20,9J - 12 Kg /BL-AVT-AWS-XPT /Sin Baterias</t>
  </si>
  <si>
    <t>Martillo demoledor SDS-Max 40V x2 =80Vmax XGT / 18mm / 20.9 J / 12.0 Kg  / BL-AVT-AWS-XPT/Sin Bateri</t>
  </si>
  <si>
    <t>Martillo Demoledor SDS-Max 40Vmax XGT / 18mm / 9.4 J / 6.3 Kg  / BL-AVT-AWS-XPT /Sin Baterias</t>
  </si>
  <si>
    <t>Martillo Demoledor 40Vx2 (80Vmax) XGT/HEX 28mm/72,8J - 32 Kg /BL-AVT-AWS-XPT /Sin Baterias</t>
  </si>
  <si>
    <t>""MARTILLO DEMOLEDOR 17 mm (11/16"") 900 W"</t>
  </si>
  <si>
    <t>Martillo demoledor Hex. 900W / 7.2 J. / 17mm / 6.3 Kg</t>
  </si>
  <si>
    <t>Martillo Demoledor SDS-MAX 1 100W/7.6 Joules/5.1 Kg</t>
  </si>
  <si>
    <t>Martillo Demoledor SDS-MAX 1 100W/8.1 Joules/5.6 Kg/AVT</t>
  </si>
  <si>
    <t>Martillo Demoledor SDS-MAX 1300w. 17 Joules 7.3Kg.</t>
  </si>
  <si>
    <t>Martillo Demoledor SDS-MAX 1 300W/11.2 Joules/7.8 Kg/AVT</t>
  </si>
  <si>
    <t>Martillo demoledor Hex. 1 130W / 21 mm / 9.1 Kg</t>
  </si>
  <si>
    <t>Martillo Demoledor SDS-MAX 1 510W/19.1 Joules/9.7 Kg</t>
  </si>
  <si>
    <t>Martillo Demoledor SDS-MAX 1 510W/18.6 Joules/10.8Kg/AVT</t>
  </si>
  <si>
    <t>Martillo Demoledor SDS-MAX 1 510W/19.9 Joules/12.3Kg/AVT/Motor Lineal</t>
  </si>
  <si>
    <t>Martillo Demoledor HEX. 1 510W/28.6mm/23.6 J/17.3 Kg</t>
  </si>
  <si>
    <t>Martillo Demoledor HEX. 1 510W/30.0mm/25.0 J/17.0 Kg/AVT</t>
  </si>
  <si>
    <t>Martillo Demoledor HEX. 1 510W/28.6mm/26.5 J/19.0 Kg /AVT</t>
  </si>
  <si>
    <t>Martillo Demoledor HEX. 1 850W/28.6mm/48.5 J/20.4 Kg /AVT</t>
  </si>
  <si>
    <t>Martillo demoledor Hex. 1 850W / 28.6mm / 48.5 J / 20.4 Kg  / AVT + ACCESORIOS</t>
  </si>
  <si>
    <t>Rompepavimento Hex / 2 000W / 28.6mm / 71.4 J / 29.4 Kg</t>
  </si>
  <si>
    <t>""DEMOLEDOR 28.6 mm (1-1/8"") 2000 W - AVT"</t>
  </si>
  <si>
    <t>Rompepavimento HEX/2 000W/28.6mm/72.8 J/31.3 Kg/AVT</t>
  </si>
  <si>
    <t>Taladro Atornillador Percutor XGT 40 Vmax/0-2600 Rpm/68 -140Nm/BL-XPT/2 Baterias - 4 Amperios/Cargador/Makpack</t>
  </si>
  <si>
    <t>Taladro Atornillador Percutor XGT 40 Vmax/0-2600 Rpm/68 -140Nm/BL-XPT/Sin Baterias</t>
  </si>
  <si>
    <t>Taladro Atornillador Percutor XGT 40 Vmax/0-2600 Rpm/30-64Nm/BL-XPT/Sin Baterias</t>
  </si>
  <si>
    <t>Taladro Atornillador Percutor XGT 40 VMAX /0-2600 Rpm/85-150-180Nm/BL-XPT/2 baterias-4 Amperios BL4040F/Cargador/Makpack</t>
  </si>
  <si>
    <t>Taladro Atornillador Percutor XGT 40 Vmax/0-2400 Rpm/85-150-180Nm/BL-XPT-AFT/Sin Baterias</t>
  </si>
  <si>
    <t>Taladro Percutor 3/8"/ 320W/42 Nm</t>
  </si>
  <si>
    <t>Taladro Percutor 1/2" 710W. 0-3 200 Rpm  2.1Kg.</t>
  </si>
  <si>
    <t>""TALADRO PERCUTOR 16 mm (5/8"") 710 W"</t>
  </si>
  <si>
    <t>""Taladro Percutor 1/2"" 710w. 0-3 200 RPM 2.1Kg. Ajuste rapido"</t>
  </si>
  <si>
    <t>""Taladro Percutor 1/2"" 680w. 0-2 800 RPM 2.0Kg."</t>
  </si>
  <si>
    <t>""Taladro Percutor 1/2"" 680w. 0-2 800 RPM 2.0Kg. Ajuste rapido"</t>
  </si>
  <si>
    <t>""TALADRO PERCUSION CON LUZ LED DE TRABAJO 20 mm (3/4"") 720 W"</t>
  </si>
  <si>
    <t>Taladro Percutor 1/2" 720W. 2 Vel 0-1 200/0-2 900 Rpm 2.5Kg. Maletin Luz Led</t>
  </si>
  <si>
    <t>""Taladro Percutor 1/2"" 720w. 2 Vel 0-1 200/0-2 900 RPM 2.5Kg. Maletin"</t>
  </si>
  <si>
    <t>Taladro Percutor 1/2" 1010W. 2 Vel 0-1 200/0-2 900 Rpm 2.6Kg. Maletin</t>
  </si>
  <si>
    <t>""Taladro Percutor 5/8"" 1010w. 2 Vel 0-1 200/0-2 900 RPM 2.6Kg. Maletin/ broca min 1/4"""</t>
  </si>
  <si>
    <t>""Taladro Percutor Inal. 3/8"" / 12V / 2 Vel. / Versapack / 2 Bat 1.3Ah + C"</t>
  </si>
  <si>
    <t>Taladro Percutor 3/8" 12V / 2 Vel. / 30-14 Nm / CXT /2 Bat 2.0Ah.</t>
  </si>
  <si>
    <t>Taladro Percutor 3/8" 12V / 2 Vel. / 30-14 Nm / CXT /2 Bat 2.0Ah + 74 Accesorios</t>
  </si>
  <si>
    <t>""Taladro Percutor  3/8"" 12V / 2 Vel. / 30-14 Nm / CXT / Sin Baterías"</t>
  </si>
  <si>
    <t>Taladro Percutor  3/8" 12V / 2 Vel. / 35-21 Nm / BL - CXT /2 Bat 2.0Ah</t>
  </si>
  <si>
    <t>Taladro Percutor  3/8" 12V /2 Vel./35-21 Nm/BL - CXT/Sin Baterías</t>
  </si>
  <si>
    <t>""Taladro Percutor 3/8"" CXT 12V / 2 Vel. / 30 - 14 Nm / 2x2.0Ah + C. Ráp +Maleta"</t>
  </si>
  <si>
    <t>Taladro Percutor 3/8" CXT 12V/2 Vel./30 - 14 Nm/1X2.0Ah + C. Est +Maleta-Rosado</t>
  </si>
  <si>
    <t>""Taladro Percutor  3/8"" 12V / 2 Vel. / 30 - 14 Nm / 2 Bat 1.5Ah + C"</t>
  </si>
  <si>
    <t>HP333D (Blue Housing)+DC10WD+BL1016+Carton</t>
  </si>
  <si>
    <t>HP333D (Black Housing)+DC10WD+BL1016+Carton</t>
  </si>
  <si>
    <t>Taladro Percutor  3/8" 12V/2 Vel./30 - 14 Nm/ Sin Baterías</t>
  </si>
  <si>
    <t>Taladro Percutor Inal. 1/2" 18V / 42-24 Nm / G-Battery / 2Bat 1.5 Ah + C</t>
  </si>
  <si>
    <t>""ROTOMARTILLO INALAMBRICO 13 mm (1/2"") 18 V"</t>
  </si>
  <si>
    <t>Taladro Percutor Inal. 1/2" 18V / 42-24 Nm / G-Battery S/Batt y C</t>
  </si>
  <si>
    <t>""Taladro Percutor 1/2"" G-Baterry 18V / 2 Vel. / 42-24 Nm / 2 x 2.0Ah + C. Estándar"</t>
  </si>
  <si>
    <t>Atornilladora taladradora de percusión con 2 baterías  Li-Ion  18 V  2 ah  38 nm  caja de plastico</t>
  </si>
  <si>
    <t>Martillo Perforador XGT 40vmax /SDS-Plus / 28mm / AVT - BL - AFT / 1 x 4.0Ah</t>
  </si>
  <si>
    <t>Martillo Perforador XGT 40vmax /SDS-Plus / 28mm / AVT - BL - AFT - AWS / Sin Baterías</t>
  </si>
  <si>
    <t>Martillo Perforador XGT 40Vmax/SDS-PLUS/28mm/3J/AVT-BL-Aft-XPT/2 Baterias -4 Amperios/Cargador</t>
  </si>
  <si>
    <t>Martillo Perforador XGT 40Vmax/SDS-PLUS/28mm/3J/AVT-BL-Aft-XPT/Sin Baterías</t>
  </si>
  <si>
    <t>Martillo Perforador XGT 40vmax /SDS-Max/ 40mm / AVT - BL - AFT - AWS / 2 x 4.0Ah + C</t>
  </si>
  <si>
    <t>Martillo Perforador XGT 40Vmax/SDS-MAX/40mm /8 Joules /AVT-BL-Aft-AWS-XPT/Sin Baterías</t>
  </si>
  <si>
    <t>Martillo Perforador XGT 40vmax /SDS-Max/ 40mm / AVT - BL - AFT - AWS / Sin Baterías</t>
  </si>
  <si>
    <t>Martillo Perforador XGT 40V (80Vmax)/SDS-MAX/52mm/21.4J/AVT-BL-Aft-AWS-XPT/Sin Baterías</t>
  </si>
  <si>
    <t>Martillo Perforador SDS-Max 40V x2 =80Vmax XGT / 52mm / 21.4 J /AVT - BL - AFT - AWS / Sin Baterías</t>
  </si>
  <si>
    <t>Martillo Perforador SDS- Plus XGT 40vmax / 28mm / 3.0 J. / BL-AFT-AVT-AWS-XPT / 2 x 4.0Ah + C. Rp</t>
  </si>
  <si>
    <t>Martillo Perforador XGT 40Vmax/SDS-PLUS/28mm/3J/AVT-BL-Aft-AWS-XPT/Sin Baterías</t>
  </si>
  <si>
    <t>Martillo Perforador XGT 40Vmax/SDS-PLUS/30mm/3.9J/AVT-BL-Aft-AWS-XPT/Sin Baterías</t>
  </si>
  <si>
    <t>Martillo Perforador XGT 40Vmax/SDS-PLUS/20mm/2.1J/AVT-BL-Aft-AWS-XPT/Sin Baterías</t>
  </si>
  <si>
    <t>Martillo Perforador XGT 40Vmax/SDS-PLUS/28mm /3.3 Joules/AVT-BL-AFT-AWS-XPT/2 Baterias 4 Amperios/Makpack</t>
  </si>
  <si>
    <t>Martillo Perforador XGT 40Vmax/SDS-PLUS/28mm /3.3 Joules/AVT-BL-AFT-AWS-XPT/Sin Baterías</t>
  </si>
  <si>
    <t>Rotomartillo  12V /SDS-Plus/14mm/ 2 Func. /1.0 J / 2 x 2.0Ah</t>
  </si>
  <si>
    <t>Rotomartillo  12V /SDS-Plus/14mm/ 2 Func. /1.0 J / 2 x 2.0Ah + Acc</t>
  </si>
  <si>
    <t>Martillo Perforador CXT 12V/SDS-PLUS/14mm/ 2 Func. /1.0 J/Sin Baterías</t>
  </si>
  <si>
    <t>Rotomartillo  12V / SDS-Plus / 16mm  / 1.1 Joules / BL-CXT / 2 x 2.0Ah + Acc</t>
  </si>
  <si>
    <t>Martillo Perforador CXT 12V/SDS-PLUS/16mm /1.1 Joules/BL-CXT/Sin Baterías</t>
  </si>
  <si>
    <t>Martillo perforador SDS-Plus 440w / 1.2 J. / 18mm / 2 Func / 1.9Kg</t>
  </si>
  <si>
    <t>Martillo perforador SDS-Plus 470w / 1.4 J. / 18mm / 2 Func / 1.9Kg</t>
  </si>
  <si>
    <t>Martillo perforador SDS-Plus 470w / 1.4 J. / 18mm / 2 Func / 2.0Kg / AVT / Luz Led</t>
  </si>
  <si>
    <t>Martillo Perforador SDS-PLUS 710W/2.2 Joules/22mm/2 Func/2.6Kg</t>
  </si>
  <si>
    <t>Martillo Perforador SDS-PLUS 780W/2.4 Joules/24mm/3 Func/2.8Kg</t>
  </si>
  <si>
    <t>Martillo Rotativo SDS-PLUS 800w. 2.9 Joules 2.8Kg. 2 funciones Cap.Max 26mm.</t>
  </si>
  <si>
    <t>""ROTOMARTILLO ADAPTADO PARA SDS-PLUS 26 mm (1"") 800 W - AVT"</t>
  </si>
  <si>
    <t>""ROTOMARTILLO COMBINADO ADAPTADO PARA SDS-PLUS 26 mm (1"") 800 W"</t>
  </si>
  <si>
    <t>Martillo Rotativo SDS-PLUS 800w. 2.9 Joules 2.9Kg. 3 funciones Cap.Max 26mm. + Chuck</t>
  </si>
  <si>
    <t>Martillo Rotativo SDS-PLUS 800w. 2.9 Joules 2.9Kg. 3 funciones Cap.Max 26mm. + Chuck / Luz Led</t>
  </si>
  <si>
    <t>Martillo perforador SDS-Plus 800w / 2.4 J. / 26mm / 3 Func / 2.8Kg</t>
  </si>
  <si>
    <t>Martillo Perforador SDS-PLUS 800W/2.4 Joules/26mm/3 Func/2.8Kg + Makpac</t>
  </si>
  <si>
    <t>Martillo Rotativo SDS-PLUS 800w. 2.9 Joules 2.8Kg. 3 funciones Cap.Max 26mm. Maletin Alu. + 5 Brocas</t>
  </si>
  <si>
    <t>Martillo Perforador SDS-PLUS 800W/2.4 Joules/26mm/3 Func/2.9Kg /AVT/Luz Led</t>
  </si>
  <si>
    <t>ROTOMARILLO PERFORADOR AVT 26mm</t>
  </si>
  <si>
    <t>Martillo Perforador SDS-PLUS 800W. 2.9 Joules 3.1Kg. 3 Func Cap.Max 26mm. Mango D AVT</t>
  </si>
  <si>
    <t>Martillo Perforador SDS-PLUS 800W/2.2 Joules/26mm/3 Func/3.0G /AVT/Recolector Polvo</t>
  </si>
  <si>
    <t>Martillo Perforador SDS-PLUS 800W/3 Joules/26mm/2 Func/2.9Kg</t>
  </si>
  <si>
    <t>Martillo Perforador SDS-PLUS 800W/2.8 Joules/28mm/3 Func/3.4G /Motor L</t>
  </si>
  <si>
    <t>Martillo Perforador SDS-PLUS 800W/2.8 Joules/28mm/3 Func/3.4G  /Chuck/Motor  L</t>
  </si>
  <si>
    <t>Martillo perforador SDS-Plus 1050W  3.9 J. / 30mm / 3 Func  5.2Kg - Incluye Makpac  DX10 / AVT</t>
  </si>
  <si>
    <t>Martillo Perforador SDS-PLUS 850W/5.0 Joules/32mm/3 Func/5.2Kg/AVT</t>
  </si>
  <si>
    <t>Martillo perforador SDS-Max 1 100w / 8.3 J. / 40mm / 2 Func / 6.2 Kg</t>
  </si>
  <si>
    <t>""ROTOMARTILLO ADAPTADO PARA SDS-MAX 40 mm (1-9/16"") 1100 W - AVT"</t>
  </si>
  <si>
    <t>Martillo Perforador SDS-MAX 1 100W/8.0 Joules/40mm/2 Func/6.8 Kg/AVT</t>
  </si>
  <si>
    <t>Martillo Perforador SDS-MAX 1 510W/19.1 Joules/52mm/2 Func/10.9 Kg</t>
  </si>
  <si>
    <t>""ROTOMARTILLO ADAPTADO PARA SDS-MAX 52 mm (2"") - 1500 W - AVT"</t>
  </si>
  <si>
    <t>Martillo Perforador SDS-MAX 1 510W/20.0 Joules/52mm/2 Func/11.9 Kg/AVT</t>
  </si>
  <si>
    <t>""Sierra Circular 7-1/4"" XGT 40Vmax /  Cap. Corte 2-11/16 / BL - ADT - AFT - XPT / 2 x 4.0Ah + C"</t>
  </si>
  <si>
    <t>Sierra Circular XGT 40Vmax/7 1/4"/6000 Rpm/Capacidad De Corte 62mm/ BL-ADT-Brake-XPT/Sin Baterias</t>
  </si>
  <si>
    <t>Sierra Circular XGT 40Vmax/7 1/4"/6000 Rpm/Capacidad De Corte 62mm/BL-ADT-Brake-XPT/Sin Baterias</t>
  </si>
  <si>
    <t>""Sierra Circular 9-1/4"" XGT 40Vmax / Base Riel / 4 000 RPM / F.E.-BL-AWS-XPT / 2 x 5.0Ah + C. Rápido"</t>
  </si>
  <si>
    <t>Sierra Circular XGT 40Vmax/9 1/4"/4000 Rpm/Capacidad De Corte 85mm/ BL-ADT-Brake-XPT/Sin Baterias</t>
  </si>
  <si>
    <t>Sierra Circular XGT 40Vmax/6 1/2"/5200 Rpm/Capacidad De Corte 57mm/BL-ADT-Brake-XPT/Sin Baterias</t>
  </si>
  <si>
    <t>Sierra Circular XGT 40Vmax/16 1/4"/2100 Rpm/Capacidad De Corte 158mm/BL-ADT-XPT/Sin Baterias</t>
  </si>
  <si>
    <t>Sierra Circular 10-5/8" 2000W 4100 Rpm Cap Corte 3-13/16""</t>
  </si>
  <si>
    <t>SIERRA CIRCULAR INALAMBRICA 260mm</t>
  </si>
  <si>
    <t>""Sierra Circular Inalámbrica 3.3/8"" 12V. 1400 RPM Cap.Corte 1"" 1.5Kg. 1.3 Ah. Blanco"</t>
  </si>
  <si>
    <t>Sierra circular Inal. 3-3/8" 12V / 1500 RPM / Cap Corte 1" / CXT /2 Bat 2.0Ah + C rÃ¡pido</t>
  </si>
  <si>
    <t>""Sierra circular  3-3/8"" 12V / 1500 RPM / Cap Corte 1"" / CXT / Sin Baterías"</t>
  </si>
  <si>
    <t>""SIERRA CIRCULAR 165mm[6-1/2""]"</t>
  </si>
  <si>
    <t>Sierra Circular 7-1/4"/1 600W/Maleta Plástica"</t>
  </si>
  <si>
    <t>""SIERRA CIRCULAR CON FRENO ELECTRONICO Y DOBLE LUZ DE TRABAJO 190 mm (7-1/2"") 1400 W"</t>
  </si>
  <si>
    <t>Sierra Circular 7.1/4" 1200W 5200 Rpm Cap Corte 2-1/2"</t>
  </si>
  <si>
    <t>Hidrolavadora inal. 85 Bar 420 L/h 40V XGT BL (Sin Bateria/Cargador)</t>
  </si>
  <si>
    <t>Hidrolavadora 1300W 100 Bar (1450 PSI) 360L/h 6.5Kg</t>
  </si>
  <si>
    <t>Hidrolavadora 1600W 120Bar 420l/h 9.7kg</t>
  </si>
  <si>
    <t>Hidrolavadora 1800W 130Bar 420l/h 10.3kg</t>
  </si>
  <si>
    <t>Roedora 3 2 mm. 660w.</t>
  </si>
  <si>
    <t>Roedora 710W/Cap 3.2mm/1 300 Cpm</t>
  </si>
  <si>
    <t>Sierra Sable (Reciproca) XGT 40Vmax  / 32mm carrera / BL - XPT / 2 x 4.0Ah + C</t>
  </si>
  <si>
    <t>Sierra Sable XGT 40 Vmax/Carrera 32mm/0 - 3 000 Rpm/BL-XPT/Sin Baterias</t>
  </si>
  <si>
    <t>Sierra Sable XGT 40 Vmax/Carrera 32mm/0 - 3 000 Rpm/Con Pendulo/Velocidad VariaBLe/BL-XPT/Sin Baterias</t>
  </si>
  <si>
    <t>Sierra Sable (Reciproca) Con Cadena/XGT 40V max/26mm Carrera/BL-XPT/Sin Baterias</t>
  </si>
  <si>
    <t>Sierra sable (reciproca) Inal. 12V / 0 - 3 300 SPM / 13mm largo carrera/ Versapack / 2 Bat 1.3Ah + C</t>
  </si>
  <si>
    <t>Sierra Sable 12V / CXT / 13mm  / 2 x 1.5 Ah</t>
  </si>
  <si>
    <t>Sierra sable (reciproca)  12V / 0 - 3 300 SPM / 13mm  carrera / CXT /2 Bat 2.0Ah</t>
  </si>
  <si>
    <t>Sierra sable (reciproca) 12V / 0 - 3 300 SPM / 13mm  carrera / CXT / 1 Bat 2.0Ah + Acc + Cooler</t>
  </si>
  <si>
    <t>Sierra sable (reciproca)  12V / 0 - 3 300 SPM / 13mm  carrera / CXT / Sin baterías</t>
  </si>
  <si>
    <t>SIERRA RECIPROCA INALAMBRICO S/BATERIA -18V Li-ion 3Ah. S/BATERIA</t>
  </si>
  <si>
    <t>Sierra Sable 1010W. 0-2 800 CPM 3.3Kg.</t>
  </si>
  <si>
    <t>Sierra Sable 1 200W 0 -3 000 Cpm</t>
  </si>
  <si>
    <t>Sierra sable 1 250W / 32mm carrera / 0 - 3 000 SPM</t>
  </si>
  <si>
    <t>Sierra Sable 1510W. 0-2 800 Cpm 4.6Kg. AVT</t>
  </si>
  <si>
    <t>Cizalla 1 6 mm. 300w. 4000 CPM. 1.8Kg.</t>
  </si>
  <si>
    <t>Cizalla 1 6 mm. 380W. 4000 Cpm. 1.6Kg.</t>
  </si>
  <si>
    <t>CIZALLA 3.2 mm - 660 W</t>
  </si>
  <si>
    <t>Cizalla 3 2 mm. 710W. 1600 Cpm. 3.4Kg.</t>
  </si>
  <si>
    <t>Sierra Caladora XGT 40V /26mm Largo/BL-XPT/ 800 - 3500 Rpm/2 Baterias - 4 Amperios/Cargador</t>
  </si>
  <si>
    <t>Sierra Caladora XGT 40V /26mm Largo/BL-XPT/ 800 - 3500 Rpm/Sin Baterías</t>
  </si>
  <si>
    <t>Sierra Caladora XGT 40V /26mm Largo/BL-XPT/ 0 - 3000 Rpm/Sin Baterías</t>
  </si>
  <si>
    <t>Sierra Caladora 650W. 500-3 100 Cpm 2.4Kg. Maletin</t>
  </si>
  <si>
    <t>Sierra Caladora Inalámbrica 10.8V. 0-2400 cpm cap.max. 65mm. 1.7Kg. 1.3 Ah.</t>
  </si>
  <si>
    <t>Sierra Caladora  12V/18mm  Carrera/CXT/Sin Baterías</t>
  </si>
  <si>
    <t>Sierra caladora  12V / 23mm  carrera / CXT - BL /  2 x 2.0 Ah</t>
  </si>
  <si>
    <t>Sierra caladora Inal. 18V/ 18mm largo carrera / G-Battery / 2 Bat 1.5Ah + C</t>
  </si>
  <si>
    <t>Sierra caladora Inal. 18V/ 18mm largo carrera / G-Battery / Sin baterías</t>
  </si>
  <si>
    <t>Cepillo XGT 40V /82 mm./ 4mm Profundidad/ BL-AWS-XPT/ Sin Baterías</t>
  </si>
  <si>
    <t>Cepillo 82 mm. 620W. 2.6Kg.</t>
  </si>
  <si>
    <t>""CEPILLO 82 mm (3-1/4"") (PROFUNDIDAD: 2.5 mm) 620 W"</t>
  </si>
  <si>
    <t>Cepillo 82 mm. 1050W. 3.4Kg.</t>
  </si>
  <si>
    <t>Motocultor 4T 6Hp 3 Vel.</t>
  </si>
  <si>
    <t>Hervidor XGT 40Vmax/Capacidad 800Ml/Apagado Automatico - Acero InoxidaBLe/Sin Baterías</t>
  </si>
  <si>
    <t>Hervidor XGT 40Vmax / Capacidad 800ml / Antiderrame - Acero inoxidable</t>
  </si>
  <si>
    <t>Sierra Cinta 12" 900W. 500-1000 Rpm. 81.2 Kg.</t>
  </si>
  <si>
    <t>Tronzadora De Metal 12" 1750W. 1 300 Rpm 19.3Kg. P/Discos Carburados</t>
  </si>
  <si>
    <t>DF330DWEW (Taladro Rotacion Inal.) + TD090DWEW (Atornillador Impacto) 12V. Maletin Alu. Blanco</t>
  </si>
  <si>
    <t>DF330DZ + TD090DZ + ML100 (Linterna) 12V. Maletin Alu. + Set 24 pzas.</t>
  </si>
  <si>
    <t>Medidor De Distancia Laser 30M Makita</t>
  </si>
  <si>
    <t>Medidor De Distancia Laser 50M Makita</t>
  </si>
  <si>
    <t>Medidor De Distancia Laser 80M Makita</t>
  </si>
  <si>
    <t>Medidor de Distancia Laser 80M. Sensor de Inclinacion</t>
  </si>
  <si>
    <t>Medidor De Distancia Laser 80M Sensor De Inclinacion Makita</t>
  </si>
  <si>
    <t>Sierra Combinada 10" 1 650W (Ingleteadora Y De Banco)/Flipper/2 700 Rpm/36 Kg</t>
  </si>
  <si>
    <t>Sierra Combinada 10" XGT 40V max (Ingleteadoras Y de Banco)/Sin Baterias</t>
  </si>
  <si>
    <t>Sierra Ingleteadora Con Base Superior 12" 1650W. 3 800 Rpm 20.7 Kg. (Reemplaza A Lh1200Fl)</t>
  </si>
  <si>
    <t>""Cortacesped Inal. 480mm (18 7/8"") 64V / 62L / S/Tracción (inc. bateria/cargador)"</t>
  </si>
  <si>
    <t>Cortacesped 40V Máx. XGT 530mm (21") 70L / Acero C/Tracción/ Descarga posterior (Sin Bateria/Cargador)</t>
  </si>
  <si>
    <t>""Cortacesped Inal. 534mm (21"") 64V / 70L / S/Tracción (inc. Batería/cargador)"</t>
  </si>
  <si>
    <t>""Cortacesped Inal. 534mm (21"") 64V / 70L / S/Tracción (inc. bateria/cargador)"</t>
  </si>
  <si>
    <t>Cortacesped 40V Max. xgt 430mm (17") 50 L (Sin Batería/Cargador)</t>
  </si>
  <si>
    <t>Sierra Ingleteadora XGT 40Vmax/12"/4 400 Rpm/BL-DXT-AWS-XPT/Sin Baterias</t>
  </si>
  <si>
    <t>Sierra Ingleteadora XGT 40Vmax/10"/3 600 Rpm/BL-DXT-AWS-XPT/Sin Baterias</t>
  </si>
  <si>
    <t>""Sierra Ingleteadora 8.1/2"" 1400w. 5 000 RPM 14.1 Kg. Luz/Laser"</t>
  </si>
  <si>
    <t>""Sierra Ingleteadora 10"" 1510w. 3 200 RPM 24.1 Kg. DXT"</t>
  </si>
  <si>
    <t>""Sierra Ingleteadora 10"" 1430w. 4 200 RPM 19.5 Kg."</t>
  </si>
  <si>
    <t>Sierra Ingleteadora 10" 1430W. 4 600 Rpm 20.6 Kg. Corte Doble Bisel</t>
  </si>
  <si>
    <t>""Sierra Ingleteadora Telescópica 10"" 1 510W  - Doble Bisel - DXT"</t>
  </si>
  <si>
    <t>Sierra Ingleteadora Compuesta 255 mm (10") 1650 W</t>
  </si>
  <si>
    <t>Sierra Ingleteadora 10" 1650W.  4 600  Rpm  12.6 Kg.  Luz</t>
  </si>
  <si>
    <t>Sierra Ingletadora Telescópica, 1.450 W, Disco 260 mm, Luz Led</t>
  </si>
  <si>
    <t>""Sierra Ingleteadora Telescópica 12"" 1 800W  - Doble Bisel - DXT"</t>
  </si>
  <si>
    <t>Sierra Ingleteadora Telescópica 12" 1 800W  - DoBLe Bisel -  DXT"</t>
  </si>
  <si>
    <t>Sierra Ingleteadora 12" 1650W. 4 000 Rpm 16.8 Kg.</t>
  </si>
  <si>
    <t>""TRONZADORA 355mm (14"") 2000 W"</t>
  </si>
  <si>
    <t>Tronzadora de Metal 14" 2200w. 3 800 RPM 17.0Kg. Incluye 5 Discos /Ajuste rapido de disco</t>
  </si>
  <si>
    <t>Tronzadora De Metal 14” 2200W</t>
  </si>
  <si>
    <t>Tronzadora de Metal 14" 2200w. 3 800 RPM 16.6Kg. Incluye 5 Discos</t>
  </si>
  <si>
    <t>Boquilla para Espuma (Shampoonera) - DHW180</t>
  </si>
  <si>
    <t>Adapatador de Botella Plástica Hidrolavadora - DHW180</t>
  </si>
  <si>
    <t>Boquilla Angular Hidrolavadora - DHW180</t>
  </si>
  <si>
    <t>Cepillo Ruedas-Aros Hidrolavadora - DHW180</t>
  </si>
  <si>
    <t>Cortadora De Marmol 4.3/8" 1200W. 13000 Rpm 2.6Kg. Makita MT</t>
  </si>
  <si>
    <t>""Cortadora de Concreto 4.3/8"" 1200w. 13000 RPM 2.6Kg. MT"</t>
  </si>
  <si>
    <t>""Taladro 3/8"" 350w. 1.2Kg. MT"</t>
  </si>
  <si>
    <t>Taladro Percutor 1/2" 500W. 0-2900 Rpm 1.7Kg. Makita MT"</t>
  </si>
  <si>
    <t>Taladro Percutor 1/2" 500W. 0-2900 Rpm 1.7Kg. Makita MT Maletin BLue"</t>
  </si>
  <si>
    <t>""Taladro Percutor 1/2"" 500W. 0-2900 RPM 1.7Kg. MT Maletin"</t>
  </si>
  <si>
    <t>""Esmeril Angular 4.1/2"" 540w. 12000 RPM 1.7Kg. MT"</t>
  </si>
  <si>
    <t>Esmeril Angular 7" 2200W. 8500 Rpm 5.0Kg./Makita MT</t>
  </si>
  <si>
    <t>""Esmeril Angular 7"" 2200w. 8500 RPM 5.0Kg. MT"</t>
  </si>
  <si>
    <t>Esmeril Angular 9" 2200W. 6600 Rpm 5.3Kg./Makita MT</t>
  </si>
  <si>
    <t>""Esmeril Angular 9"" 2200w. 6600 RPM 5.3Kg. MT"</t>
  </si>
  <si>
    <t>Cepillo 82mm/750W/Makita Makita MT</t>
  </si>
  <si>
    <t>Cepillo 82mm/580W/Makita MT</t>
  </si>
  <si>
    <t>Cepillo 82mm / 580W / Makita MT</t>
  </si>
  <si>
    <t>""Sierra Ingleteadora 10"" 1500w. Cap.Corte 130mm. 14.7Kg. MT"</t>
  </si>
  <si>
    <t>""Tronzadora 14"" 2000w. 3800 RPM 15.7Kg. MT"</t>
  </si>
  <si>
    <t>Tronzadora De Metal 14"/2 000W/Makita MT"</t>
  </si>
  <si>
    <t>""Tronzadora de Metal 14"" / 2 000W / Makita MT"</t>
  </si>
  <si>
    <t>""TRONZADORA 14"" 2000w. 3800 RPM"</t>
  </si>
  <si>
    <t>Ruteadora 1650W. 22000 Rpm Collet 1/2"-1/4" 5.5Kg./Makita MT</t>
  </si>
  <si>
    <t>""Ruteadora 1650w. 22000 RPM Collet 1/2""-1/4"" 5.5Kg. MT"</t>
  </si>
  <si>
    <t>Ruteadora 900W. 27000 Rpm Collet 5/16"-1/4" 2.7Kg./Makita MT</t>
  </si>
  <si>
    <t>""Ruteadora 900w. 27000 RPM Collet 5/16""-1/4"" 2.7Kg. MT"</t>
  </si>
  <si>
    <t>Fresadora 1/4" 530W. 35000 Rpm 1.4Kg./Makita MT</t>
  </si>
  <si>
    <t>""Recortadora 1/4"" 530w. 35000 RPM 1.4Kg. MT"</t>
  </si>
  <si>
    <t>Sopladora De Aire 530W/0 - 2.9 M3-Min/8 500 -16 000 Rpm/Makita MT</t>
  </si>
  <si>
    <t>Sopladora 530W / 0 - 2.9 m3-min / 8 500 -16 000 RPM / Makita MT</t>
  </si>
  <si>
    <t>Sopladora De Aire 600W/0 - 4.1 M3-Min/0-5.7 Kpa/0 -16 000 Rpm/Makita Makita MT B</t>
  </si>
  <si>
    <t>Sierra Caladora 450W. 0-3100 Cpm Cap.Corte 65mm. 1.9Kg./Makita MT</t>
  </si>
  <si>
    <t>Sierra Caladora 450w. 0-3100 CPM Cap.Corte 65mm. 1.9Kg. MT</t>
  </si>
  <si>
    <t>Sierra Sable 1010W 0 -2800 Cpm/Corte En Madera 255mm/Makita MT</t>
  </si>
  <si>
    <t>Sierra Reciproca 1010w. 0-2800 CPM Cap.Corte 130mm. 3.1Kg. MT</t>
  </si>
  <si>
    <t>Sierra Circular 7.1/4" 1020W. 4900 Rpm 3.7Kg./Makita MT"</t>
  </si>
  <si>
    <t>""Sierra Circular 7.1/4"" 1020w. 4900 RPM 3.7Kg. MT"</t>
  </si>
  <si>
    <t>""Sierra Circular 7.1/2"" 1050w. 4900 RPM 4.0Kg. MT"</t>
  </si>
  <si>
    <t>""Taladro Rotación 3/8"" 450w. 0-3000 RPM 1.3Kg. MT"</t>
  </si>
  <si>
    <t>Taladro Rotación 3/8" 450W. 0-3000 Rpm 1.3Kg. Makita MT</t>
  </si>
  <si>
    <t>Taladro Rotación 1/2" 750W. 600 Rpm 2.7Kg. - Alto Torque/Makita MT</t>
  </si>
  <si>
    <t>Taladro Rotación 1/2"" 750w. 600 RPM 2.7Kg. MT Alto Torque</t>
  </si>
  <si>
    <t>Taladro Rotación 1/4" 230W. 0-4500 Rpm 0.95Kg. Makita MT</t>
  </si>
  <si>
    <t>Taladro Mezclador M12-M14 800W. 0-700 Rpm 3.4Kg. - Incluye Aspa/Makita MT</t>
  </si>
  <si>
    <t>Taladro Mezclador M12-M14 800w. 0-700 RPM 3.4Kg. MT Incluye Aspa</t>
  </si>
  <si>
    <t>Taladro Percutor 1/2" 710W. 0-3200 Rpm 2.1Kg. - Maletin/Makita MT"</t>
  </si>
  <si>
    <t>""Taladro Percutor 1/2"" 710w. 0-3200 RPM 2.1Kg. MT Maletin"</t>
  </si>
  <si>
    <t>Martillo Demoledor HEX. 17mm 900W/7.2 J/5.4Kg/Makita MT</t>
  </si>
  <si>
    <t>Martillo demoledor Hex. 900W / 7.2 J / 5.4Kg / Makita MT</t>
  </si>
  <si>
    <t>Martillo perforador SDS- Plus 710W / 1.9 J. / 22mm / 2.5 Kg / Makita MT</t>
  </si>
  <si>
    <t>Martillo Perforador Sds- Plus 800W/2.3 Joules/26mm/2.7 Kg/Makita MT</t>
  </si>
  <si>
    <t>Martillo perforador SDS- Plus 800W / 2.3 J. / 26mm / 2.7 Kg / Makita MT</t>
  </si>
  <si>
    <t>Martillo Rotatorio SDS PLUS 26mm. 2.3 joules 800w. 2.7Kg. MT</t>
  </si>
  <si>
    <t>""Esmeril Angular 5"" 1050w. 11.00 RPM 2.8Kg. MT"</t>
  </si>
  <si>
    <t>Rectificadora Matrices  6mm (1/4") 480W/Makita MT</t>
  </si>
  <si>
    <t>""Rectificadora Matrices  6mm (1/4"") 480W / Makita MT"</t>
  </si>
  <si>
    <t>Lijadora Orbital ¼ Pliego 180W. 14000 Opm 0.89Kg. Makita MT</t>
  </si>
  <si>
    <t>Lijadora Orbital 1/4 Pliego 180w. 14000 OPM 0.89Kg. MT</t>
  </si>
  <si>
    <t>Lijadora Orbital 1/3 Pliego 180W. 12000 Opm 1.4Kg./Makita MT</t>
  </si>
  <si>
    <t>Lijadora Orbital 1/3 Pliego 180w. 12000 OPM 1.4Kg. MT</t>
  </si>
  <si>
    <t>Lijadora Orbital 1/3 Pliego 190w. 12000 OPM 1.3Kg. MT</t>
  </si>
  <si>
    <t>Lijadora Rotorbital 5” 240W. 12000 Opm 1.2Kg. Makita MT</t>
  </si>
  <si>
    <t>""Lijadora Rotorbital 5"" 240w. 12000 OPM 1.2Kg. MT"</t>
  </si>
  <si>
    <t>Lijadora De Banda 4"X24" 380M/Min. 6.2Kg./Makita MT</t>
  </si>
  <si>
    <t>""Lijadora de Banda 4""x24"" 380m/min. 6.2Kg."</t>
  </si>
  <si>
    <t>Esmeril Angular 4-1/2” 720W. 11 000 Rpm Makita MT</t>
  </si>
  <si>
    <t>""Esmeril Angular 4-1/2"" 720w. 11 000 RPM MT"</t>
  </si>
  <si>
    <t>Esmeril Angular 4-1/2” 850W. 11 000 Rpm Makita MT</t>
  </si>
  <si>
    <t>""Esmeril Angular 4-1/2"" 850w. 11 000 RPM MT"</t>
  </si>
  <si>
    <t>Multiherramienta 200W Makita MT Azul/OIS/15 000 - 22 000 Opm/Oscilación Izq/Der 1.6°</t>
  </si>
  <si>
    <t>Multiherramienta  200W/V. VariaBLe/+  Accesorios/Makita MT</t>
  </si>
  <si>
    <t>MultiTool 200W / V. Variable / Makita MT</t>
  </si>
  <si>
    <t>""Esmeril Angular 4 1/2"" (115 mm)"</t>
  </si>
  <si>
    <t>""Taladro Percutor 13mm (1/2"") 430W 0 - 2 800 RPM"</t>
  </si>
  <si>
    <t>""Taladro Percutor 13 mm (1/2"") 430W - SSP"</t>
  </si>
  <si>
    <t>Linterna XGT 40Vmax/Lampara De Mano /Hasta 710 Lúmenes /Sin Baterías</t>
  </si>
  <si>
    <t>Linterna XGT 40Vmax-Lxt 18V/Reflector /Hasta 1 100 Lúmenes/03 Niveles/Ip65/Sin Baterías</t>
  </si>
  <si>
    <t>Linterna XGT 40Vmax -Lxt 18V/Reflector/Hasta 3 600 Lúmenes/03 Niveles/Ip65/Sin Baterías</t>
  </si>
  <si>
    <t>Linterna XGT 40Vmax/Giratoria/Hasta 500 Lúmenes/03 Niveles/Sin Baterías</t>
  </si>
  <si>
    <t>Linterna XGT 40Vmax/Lampara De Mano/Hasta 1250 Lúmenes/Sin Baterías</t>
  </si>
  <si>
    <t>Linterna Reflector XGT 40Vmax-Lxt 18V/Hasta 10,000 Lúmenes/3 Niveles-Ip65/Sin Baterías</t>
  </si>
  <si>
    <t>Linterna XGT 40Vmax/De Area/Hasta 5 500 Lúmenes/Sin Baterías</t>
  </si>
  <si>
    <t>Linterna XGT 40Vmax/Giratoria/Hasta 300 Lúmenes/01 Puerto Usb/Sin Baterías</t>
  </si>
  <si>
    <t>Linterna XGT 40Vmax/Telescopica /Hasta 1 700 Lúmenes/03 Niveles/Sin Baterías</t>
  </si>
  <si>
    <t>Linterna 12V / Modo Farol / 100 lms / Versapack</t>
  </si>
  <si>
    <t>Linterna CXT 12Vmax/Compacta/100 Lms/Sin Baterías</t>
  </si>
  <si>
    <t>Linterna CXT 12Vmax/Tipo Farol 360° O 180° /710 Lms /Sin Baterías</t>
  </si>
  <si>
    <t>Linterna CXT 12Vmax/160 Lms/Cabezal Aluminio-Movible/Sin Baterías</t>
  </si>
  <si>
    <t>Linterna CXT 12Vmax/Función Zoom/190 Lms Max/Sin Baterías</t>
  </si>
  <si>
    <t>Linterna CXT 12V/4 Posiciones/Batería Niquel Metal (Ni-Mh)/Sin Baterías</t>
  </si>
  <si>
    <t>Sierra Ingleteadora Compuesta 10" (255 mm.) 1500 W. -14.7 Kg"</t>
  </si>
  <si>
    <t>Sierra De Banco 10" 1500W. 4300 Rpm 34.1 Kg.</t>
  </si>
  <si>
    <t>Inflador 40Vmax XGT/ 161 Psi/Sin Baterías</t>
  </si>
  <si>
    <t>Inflador XGT 40Vmax / 161 PSI máx / 22L/min / 3 vel. / XPT / Sin Baterías</t>
  </si>
  <si>
    <t>Inflador 12V / 10L / min / Sin Baterías</t>
  </si>
  <si>
    <t>Radio BLuetooth XGT 40Vmax - LXT 18V - CXT 12V - Ac/Ip65/Sin Baterías</t>
  </si>
  <si>
    <t>Radio BLuetooth XGT 40Vmax - LXT 18V - Ac/Ip65/Amplificador De Sonido/Sin Baterías</t>
  </si>
  <si>
    <t>Radio de Trabajo 12V / CXT  / 0.56 Kg</t>
  </si>
  <si>
    <t>""TALADRO 10 mm (3/8"")"</t>
  </si>
  <si>
    <t>""ESMERIL ANGULAR 115 mm (4-1/2"")"</t>
  </si>
  <si>
    <t>Kit Makita Makita MT:Taladro Percutor 1/2" 500W M0801B+Esmeril Angular 4-1/2" 540W M0901B</t>
  </si>
  <si>
    <t>Kit Makita Makita MT:Martillo Perforador SDS-PLUS 800W M8701B+Esmeril Angular 4-1/2" 540W M0901B</t>
  </si>
  <si>
    <t>Microondas XGT 40Vmax/8Lts/ 350-500W/ Sin Baterías</t>
  </si>
  <si>
    <t>Sierra Circular 9.1/4" 2000W 4100 Rpm Cap Corte 3-3/8"</t>
  </si>
  <si>
    <t>BROCA SDS-MAX 32 x 570 mm.</t>
  </si>
  <si>
    <t>BROCA SDS-PLUS (4-PLUS) 6.5 x 160 mm.</t>
  </si>
  <si>
    <t>BROCA SDS-PLUS (4-PLUS) 8 x 160 mm.</t>
  </si>
  <si>
    <t>BROCA SDS-PLUS (4-PLUS) 8 x 260 mm.</t>
  </si>
  <si>
    <t>BROCA SDS-PLUS (4-PLUS) 12 x 310 mm.</t>
  </si>
  <si>
    <t>MALETA ACCESORIOS 100 PCs  SET DE COMBINACION</t>
  </si>
  <si>
    <t>MALETA ACCESORIOS 85 PCs  SET DE COMBINACION</t>
  </si>
  <si>
    <t>MALETA ACCESORIOS 9 PCs (DADOS DE IMPACTO)</t>
  </si>
  <si>
    <t>CONECTOR DE EXTENSION SDS-MAX (DRECONNECT) 30 x 190mm</t>
  </si>
  <si>
    <t>EXTENSION SDS-MAX 320 mm. DIAMETRO 18 mm.</t>
  </si>
  <si>
    <t>CONECTOR PARA EXTENSIONES SDS-MAX (DRECONNECT) 30 x 190 mm.</t>
  </si>
  <si>
    <t>EXTENSION SDS-MAX 1100 mm. DIAMETRO 18 mm.</t>
  </si>
  <si>
    <t>BROCA SDS-MAX   16 x 200 x 340mm.ZENTRO PUNTO</t>
  </si>
  <si>
    <t>BROCA SDS-MAX   22 x 200 x 320mm.ZENTRO PUNTO-MAK4.</t>
  </si>
  <si>
    <t>BROCA SDS-MAX   32 x 920 x 1300mm.ZENTRO PUNTO</t>
  </si>
  <si>
    <t>MALETA ACCESORIOS 36 PCs  SET DE BROCAS.</t>
  </si>
  <si>
    <t>Sierra De Banda XGT 40Vmax/127 X 127mm/BL-XPT/Sin Baterias</t>
  </si>
  <si>
    <t>Sierra De Banda XGT 40V max/Estructura Aluminio/Cap Corte 66X66 mm/BL-XPT/Sin Baterías</t>
  </si>
  <si>
    <t>Cepillo Concreto 5" 1400W. 10 000 Rpm/Rodillo Frontal Y Zapata</t>
  </si>
  <si>
    <t>Cepillo Concreto 5" 1400W/Ve. VariaBLe/Inc Guarda</t>
  </si>
  <si>
    <t>Portable Power Pack 1 200 Wh</t>
  </si>
  <si>
    <t>Portable Power Pack 1 200 Wh.</t>
  </si>
  <si>
    <t>Batería de mochila LXT/XGT / 40V Máx / 43,55 Ah / 1.567 Wh</t>
  </si>
  <si>
    <t>Portable Power Pack 1500 Wh</t>
  </si>
  <si>
    <t>Ahoyadora MM4 1.6 Hp 33.5 cc</t>
  </si>
  <si>
    <t>Bomba Sumergible (Aguas Limpias) 300W / 140 L/min / 5/16" / 7 m Altura / 5 m Profundidad</t>
  </si>
  <si>
    <t>Bomba Sumergible (Aguas Turbias) 400W / 140 L/min / 1" / 5 m Altura / 5 m Profundidad</t>
  </si>
  <si>
    <t>Bomba Sumergible (Aguas Limpias) 800W / 220 L/min / 3/8" / 9 m Altura / 5 m Profundidad</t>
  </si>
  <si>
    <t>Bomba Sumergible (Aguas Turbias) 1100W / 240 L/min / 1-3/16" / 10 m Altura / 5 m Profundidad</t>
  </si>
  <si>
    <t>Cabezal Bomba de Agua PF400MP</t>
  </si>
  <si>
    <t>Engalletadora 701W. 11000 Rpm 2.5Kg.</t>
  </si>
  <si>
    <t>""Lijadora Pulidora Angular 5"" 1600w. 2000-5500 RPM 3.8Kg. Sistema de refrigeracion"</t>
  </si>
  <si>
    <t>""Cortacesped Gasolina 140 mL B&amp;S500 (5hp) 16 1/8"""</t>
  </si>
  <si>
    <t>""Cortacesped Gasolina 4T 140 mL B&amp;S500 (5hp) 18"""</t>
  </si>
  <si>
    <t>""Cortacesped Gasolina 4T140 mL B&amp;S500 (5hp) 18"" autopropulsada 1 vel"</t>
  </si>
  <si>
    <t>""Cortacesped Gasolina 190 mL B&amp;S675 (6.75hp) 20"" autopropulsada 3 vel"</t>
  </si>
  <si>
    <t>""Cortacesped Gasolina 4T 163 mL B&amp;S675 (6.75hp) 20"" autopropulsada 3 ve"</t>
  </si>
  <si>
    <t>""Cortacesped Gasolina 4T 163 mL B&amp;S675 (6.75hp) 22"" autopropulsada 3 vel"</t>
  </si>
  <si>
    <t>Fumigadora ULV 40V XGT BL WG 15L / 14 m (Sin batería/Cargador)</t>
  </si>
  <si>
    <t>Motofumigadora MM4 3.7 Hp 15 L</t>
  </si>
  <si>
    <t>Pulidora Roto Orbital 5"/900W/0 - 6 800 Opm</t>
  </si>
  <si>
    <t>Boquilla Simple Pulverizadora - DUS158Z</t>
  </si>
  <si>
    <t>Boquilla Doble Salida - DUS158Z</t>
  </si>
  <si>
    <t>Fregador/Pulidor Telescópico Inalámbrico 40V XGT / BL / XPT (Sin Batería/Cargador)</t>
  </si>
  <si>
    <t>Makpac 2 Baterías 8.0Ah (BL4080H) + Multicargador Rápido de 2 Puertos (DC40RB) XGT 40Vmax</t>
  </si>
  <si>
    <t>Clavadora  XGT 40V/BL/Cap. 120 Clavos/Cal. 23/Clavos 15-18-25-30-35mm/Sin Baterías</t>
  </si>
  <si>
    <t>Pulidora Angular 7" XGT 40Vmax/0 - 2 200 Rpm/ BL-XPT/Sin Baterías</t>
  </si>
  <si>
    <t>Pulidora De Granito 5" 900W. 2000-4000 Rpm 2.3Kg. Sistema De Refrigeracion</t>
  </si>
  <si>
    <t>DESBROZADORA A GASOLINA 40 2 ml</t>
  </si>
  <si>
    <t>Desbrozadora 2 Tiempos 2.0 Hp 40.2 cc</t>
  </si>
  <si>
    <t>Sopladora de mochila 2 Tiempos 48.6 cc  10m3/min</t>
  </si>
  <si>
    <t>Robot Cortacesped 240 mm / 3500 m2 / 18V / BL - XPT (Batería y puerto de carga Incluidos)</t>
  </si>
  <si>
    <t>Fresadora XGT 40Vmax/8,000 - 25,000 Rpm/Encastre 1/4" - 3/8" - 1/2"/BL-AWS-XPT /Sin Baterias /Makpack</t>
  </si>
  <si>
    <t>Ruteadora 1/4"-3/8" 900W. 27.000 Rpm. 2.6Kg.</t>
  </si>
  <si>
    <t>Ruteadora 1/4"-3/8" 900W. 27.000 Rpm. 2.6Kg. + Fresa Recta"</t>
  </si>
  <si>
    <t>""Rebajadora 1/2"" 1650w. 22.000 RPM. 6.0Kg."</t>
  </si>
  <si>
    <t>""Rebajadora 1/2"" 2100w. 9000-22000 RPM. 6.1Kg."</t>
  </si>
  <si>
    <t>Ruteadora 1/2" 2100W. 9000-22000 Rpm. 6.1Kg.</t>
  </si>
  <si>
    <t>Sierra Circular XGT 40Vmax/7 1/4"/6400 Rpm/Capacidad De Corte 38mm/BL-ADT-Brake-XPT/Sin Baterias</t>
  </si>
  <si>
    <t>""Sierra circular 10-1/4"" 40V XGT / Cap corte 3-3/4"" / XPT - BL - AWS - XGT / Sin Baterías"</t>
  </si>
  <si>
    <t>Fresadora XGT 40Vmax/10,000 - 31,000 Rpm/Encastre 1/4" - 3/8"/BL-AWS-XPT /2 Baterias - 4 Amperios/Cargador/Makpack</t>
  </si>
  <si>
    <t>Fresadora XGT 40Vmax/10,000 - 31,000 Rpm/Encastre 1/4" - 3/8"/BL-AWS-XPT /Sin Baterias /Makpack</t>
  </si>
  <si>
    <t>Fresadora 1/4"-3/8" 710W. 10.000-30.000 Rpm. 1.8Kg.</t>
  </si>
  <si>
    <t>""Recortadora 1/4""-3/8"" 710w. 10.000-30.000 RPM. 1.8Kg. + 2 BASES + Maletin + Accs."</t>
  </si>
  <si>
    <t>Recortadora 1/4"-3/8" 710w. 10.000-30.000 RPM. 1.8Kg. + 2 BASES + Maletin de Lona</t>
  </si>
  <si>
    <t>Fresadora 710W  220 C/Set Base De</t>
  </si>
  <si>
    <t>""Lijadora Pulidora Angular 5"" 1400w. 2000-7800 RPM 2.2Kg. SJS II"</t>
  </si>
  <si>
    <t>Lijadora Pulidora Angular 7" 1600W. 0-4.000 Rpm 3.4Kg</t>
  </si>
  <si>
    <t>DADO REDONDO 12 mm P/ DPP200</t>
  </si>
  <si>
    <t>PERFORADOR REDONDO 15/32" (12 mm) P/ DPP200</t>
  </si>
  <si>
    <t>Cortador de varilla roscada 12V /  Sin baterías</t>
  </si>
  <si>
    <t>Cortador de drywall Inal 12V / 0 - 6 000 SPM / 6mm  carrera / CXT / Sin Baterías</t>
  </si>
  <si>
    <t>Ranuradora De Concreto 5" 1400W. 10 000 Rpm 4.5Kg. Sjs"</t>
  </si>
  <si>
    <t>Manguera de Succión - DCL501</t>
  </si>
  <si>
    <t>Tubo Telescópico Plástico - DCL501</t>
  </si>
  <si>
    <t>Rodillo Principal DRC200</t>
  </si>
  <si>
    <t>Protector Rodillo DRC200</t>
  </si>
  <si>
    <t>Escobillas Laterales DRC200</t>
  </si>
  <si>
    <t>Filtro HEPA DRC200</t>
  </si>
  <si>
    <t>Cinta Delimitadora Reflectante DRC200</t>
  </si>
  <si>
    <t>Sierra Caladora De Banco 50W. 400-1 600 Cpm 14.1Kg.</t>
  </si>
  <si>
    <t>NIVELADOR LASER RANGO 30m. 0.32Kg.</t>
  </si>
  <si>
    <t>Nivelador Láser Rango 30m. 0.53Kg.</t>
  </si>
  <si>
    <t>MEDIDOR LASER 15M / 635nm / 3x1 5 V AA</t>
  </si>
  <si>
    <t>MEDIDOR NIVEL LASER 15M / 635nm / 3x1 5 V AA</t>
  </si>
  <si>
    <t>MEDIDOR LASER 15M / 635nm / 3x1 5 V AA S/BATERIA</t>
  </si>
  <si>
    <t>Nivel Laser Rojo Cruzado 12V/H:180° V:160°/Sin Baterías</t>
  </si>
  <si>
    <t>Nivel Laser Verde 4 Puntos 12V /H:180° V: 170° /4 Puntos 2 Lineas/Sin Baterías</t>
  </si>
  <si>
    <t>Nivel Laser Verde Multilineal 12V/Cruz /Sin Baterías</t>
  </si>
  <si>
    <t>Nivel Laser Verde CXT 12Vmax Multilineal/Maletin Alum + Accesorios/Sin Baterías</t>
  </si>
  <si>
    <t>Nivel Laser Verde CXT 12Vmax Multilineal / Maletin / Sin Baterías</t>
  </si>
  <si>
    <t>Nivel Laser 360° Verde CXT 12Vmax de 3 Lineas completas / Maletin Aluminio / Sin Baterías</t>
  </si>
  <si>
    <t>Nivel Laser Rotativo De 30 Hasta 200M  Ip54 Makita</t>
  </si>
  <si>
    <t>Sierra Circular Incisión XGT 40 Vmax/6 1/2"/2 500 - 4 900 Rpm/Capacidad De Corte 56mm/BL-AWS-Brake-XPT/Sin Baterías</t>
  </si>
  <si>
    <t>""Sierra Circular de Incisión 6-1/2"" XGT 40Vmax / BL - AWS - XPT / Sin Baterías"</t>
  </si>
  <si>
    <t>Sierra Circular 165mm (6-1/2)" 1300W"</t>
  </si>
  <si>
    <t>Engrapadora  12V / Clavos 7mm / Grapas 10mm / CXT / Sin Baterías</t>
  </si>
  <si>
    <t>Engrapadora Inalambrica 12v. Clavos 7mm. Grapas 10mm. 1.3 Kg. APT-CXT S/BATERIA</t>
  </si>
  <si>
    <t>""BROCA BARRENO (2-1/4"" x 2.5"" x 30"")  P/ PE3450H"</t>
  </si>
  <si>
    <t>""BROCA BARRENO (3-1/4"" x 3.5"" x 30"")   P/ PE3450H"</t>
  </si>
  <si>
    <t>""BROCA BARRENO (4"" x 5.2"" x 30"")  P/ PE3450H"</t>
  </si>
  <si>
    <t>""BROCA BARRENO (6"" x 7.5"" x 30"")  P/ PE3450H"</t>
  </si>
  <si>
    <t>""BROCA BARRENO (8"" x 9.5"" x 30"") P/ PE3450H"</t>
  </si>
  <si>
    <t>NYLON REDONDO 2.0mm 270 m EM2500U/EBH252L</t>
  </si>
  <si>
    <t>NYLON REDONDO 2.5mm 170 m RBC414U/EBH40U/EM4351UH</t>
  </si>
  <si>
    <t>NYLON REDONDO 3.0mm 120 m EM4351UH</t>
  </si>
  <si>
    <t>NYLON CUADRADO 2.0 mm 230 m EM2500U/EBH252L</t>
  </si>
  <si>
    <t>NYLON CUADRADO 2.5 mm 140 m RBC414U/EBH340U/EM4351UH</t>
  </si>
  <si>
    <t>NYLON CUADRADO 3.0mm 100m EM4351UH</t>
  </si>
  <si>
    <t>MAKTRAK Sistema modular base de transporte con ruedas capacidad 250LBS</t>
  </si>
  <si>
    <t>MAKTRAK Sistema modular caja de transporte larga capacidad 100LBS</t>
  </si>
  <si>
    <t>MAKTRAK Sistema modular caja de transporte larga ancha capacidad 100LBS</t>
  </si>
  <si>
    <t>MAKTRAK Sistema modular caja de transporte mediana capacidad 75LBS</t>
  </si>
  <si>
    <t>MAKTRAK Sistema modular caja de transporte mediana organizadora capacidad 50LBS</t>
  </si>
  <si>
    <t>MAKTRAK Sistema modular caja de transporte mediana perfil bajo 11 gabetas</t>
  </si>
  <si>
    <t>MAKTRAK Sistema modular caja de transporte mediana organizadora ancho 5 gabetas</t>
  </si>
  <si>
    <t>Taladro De Pedestal 1/2" 250W. 690-3 200 Rpm 20Kg</t>
  </si>
  <si>
    <t>Adaptador 12Vmax CXT para Casaca y Chaleco Ventilado/Térmico - Manta (01 puerto USB)</t>
  </si>
  <si>
    <t>Adaptador 18V LXT para Casaca y Chaleco Ventilado/Térmico - Manta (01 puerto USB)</t>
  </si>
  <si>
    <t>Atornillador De Impacto XGT 40Vmax/200Nm/BL - XPT/2 Baterias - 4 Amperios/Cargador</t>
  </si>
  <si>
    <t>Atornillador De Impacto XGT 40Vmax/200Nm/BL - XPT/Sin Baterías</t>
  </si>
  <si>
    <t>Atornillador De Impacto XGT 40Vmax/220Nm/BL - XPT/Sin Baterías</t>
  </si>
  <si>
    <t>Atornillador De Impacto XGT 40Vmax/210Nm/BL - XPT/Sin Baterías</t>
  </si>
  <si>
    <t>Atornillador De Impacto XGT 40Vmax/630Nm/BL - XPT/Sin Baterías</t>
  </si>
  <si>
    <t>Atornillador De Impacto Makita 230W/0 - 3 200 Ipm/100 Nm/Peso 0.96Kg</t>
  </si>
  <si>
    <t>Atornillador De Impacto Makita 230W/0 - 3 200 Ipm/100 Nm/Peso 0.99Kg Diseño Tipo T</t>
  </si>
  <si>
    <t>""Atornillador de impacto Inal. 1/4"" /7.2V / 0-2 450 RPM /25Nm"</t>
  </si>
  <si>
    <t>Atornillador de impacto Inal. 1/4" / 12V / 90 Nm /Blanco/ Versapack / 2 Bat 1.3Ah + C</t>
  </si>
  <si>
    <t>Atornillador de impacto  1/4"" / 12V  / 110 Nm. /CXT / 2 Bat 2.0Ah</t>
  </si>
  <si>
    <t>Atornillador de impacto  1/4"" / 12V / 110 Nm. /CXT / Sin baterías</t>
  </si>
  <si>
    <t>Atornillador de impacto  1/4"" / 12V /  135 Nm. /BL-CXT / 2 Bat 2.0Ah</t>
  </si>
  <si>
    <t>Atornillador De Impacto CXT 12Vmax/135Nm/XPT/Sin Baterías</t>
  </si>
  <si>
    <t>""Atornillador de Impacto Inalámbrico 1/4"" 12V. 0-2600 RPM 1.0Kg. 110 Nm. 2.0 Ah. S/Bateria CXT"</t>
  </si>
  <si>
    <t>Atornillador de impacto Inal. 1/4"" / 18V /140 Nm /  G-Battery / 2 Bat 1.3Ah + C</t>
  </si>
  <si>
    <t>Air chuck (head angle 30 degrees)</t>
  </si>
  <si>
    <t>Atornillador angular de impacto  12 V / 0 - 2 000 RPM / 60 Nm / CXT / Sin baterías</t>
  </si>
  <si>
    <t>Llave De Impacto Angular  12 V/60 Nm/CXT/Sin Baterías</t>
  </si>
  <si>
    <t>Multiherramienta XGT 40Vmax /Opm 10,000 - 20,000/Encastre Starlock /BL-AVT-XPT/Sin Baterias</t>
  </si>
  <si>
    <t>Multiherramienta  320W/5 Veloc  /12 Ángulos</t>
  </si>
  <si>
    <t>Multitool 320W / 5 Veloc  /12 ángulos / + Accesorios</t>
  </si>
  <si>
    <t>Multitool 320W. 6000-20000 CPM 1.6Kg. Ajuste Rapido/Maletin</t>
  </si>
  <si>
    <t>Multi Tool  12V /6 000 -20 000 OPM / CXT / 2 Bat 1.5Ah</t>
  </si>
  <si>
    <t>Multi Tool  12V /6 000 -20 000 OPM / CXT / Sin Baterías</t>
  </si>
  <si>
    <t>Amarradora De Varillas XGT 40 Vmax/Alambre 1.6 - 1.8mm/BL-XPT/Sin Baterías</t>
  </si>
  <si>
    <t>Llave De Impacto  XGT 40Vmax/3/4"/1,800 Nm/4 Velocidades/BL-XPT/2 Baterias - 4 Amperios/Cargador/Makpack</t>
  </si>
  <si>
    <t>Llave De Impacto  XGT 40Vmax/3/4"/1,800 Nm/4 Velocidades/BL-XPT/Sin Baterias</t>
  </si>
  <si>
    <t>Llave De Impacto  XGT 40Vmax/1/2"/1,800 Nm/4 Velocidades/BL-XPT/2 Baterias - 4 Amperios/Cargador/Makpack</t>
  </si>
  <si>
    <t>Llave De Impacto  XGT 40Vmax/1/2"/1,800 Nm/4 Velocidades/BL-XPT/Sin Baterias</t>
  </si>
  <si>
    <t>Llave De Impacto  XGT 40Vmax/1/2"/630 Nm/4 Velocidades/BL-XPT/2 Baterias -2.5 Amperios/Cargador</t>
  </si>
  <si>
    <t>Llave De Impacto  XGT 40Vmax/1/2"/350 Nm/4 Velocidades/BL-XPT/Sin Baterias</t>
  </si>
  <si>
    <t>Llave De Impacto  XGT 40Vmax/1/2"/760 Nm/3 Velocidades/BL-XPT/2 Baterias - 4 Amperios/Cargador/Makpack</t>
  </si>
  <si>
    <t>Llave De Impacto  XGT 40Vmax/1/2"/760 Nm/3 Velocidades/BL-XPT/Sin Baterias</t>
  </si>
  <si>
    <t>""Llave de impacto 1/2"" XGT 40Vmax / 4 Vel. / 760Nm / BL - XPT / Sin Baterías"</t>
  </si>
  <si>
    <t>Llave De Impacto  XGT 40Vmax/1"/3,150 Nm/4 Velocidades/Cuello Corto/BL-XPT/Sin Baterias</t>
  </si>
  <si>
    <t>Llave De Impacto  XGT 40Vmax/1"/3,150 Nm/4 Velocidades/Cuello Largo/BL-XPT/2 Baterias - 5 Amperios/Cargador/Makpack</t>
  </si>
  <si>
    <t>Llave De Impacto  XGT 40Vmax/1"/3,150 Nm/4 Velocidades/Cuello Largo/BL-XPT/Sin Baterias</t>
  </si>
  <si>
    <t>Llave De Impacto  XGT 40Vmax/3/4"/1,800 Nm/4 Velocidades/Cuello Largo/BL-XPT/2 Baterias - 5 Amperios/Cargador/Makpack</t>
  </si>
  <si>
    <t>Llave De Impacto  XGT 40Vmax/3/4"/1,800 Nm/4 Velocidades/Cuello Largo/BL-XPT/Sin Baterias</t>
  </si>
  <si>
    <t>Llave De Impacto 1/2" 400W. 2000 Rpm 2.9Kg. 350Nm</t>
  </si>
  <si>
    <t>Llave De Impacto 1/4"/12V/ 60 Nm/ Sin Baterías</t>
  </si>
  <si>
    <t>Llave De Impacto 1" 1200W. 1400 Rpm 8.6Kg. 1.000Nm.</t>
  </si>
  <si>
    <t>Llave de impacto Inal. 3/8" / 12V / 110 NM / Versapack / 2 Bat 1.3Ah + C</t>
  </si>
  <si>
    <t>""Llave de Impacto 1/2"" / 12Vmax / 145Nm /  2 x 2.0Ah"</t>
  </si>
  <si>
    <t>Llave De Impacto 1/2"/12V/ 145 Nm/ Sin Baterías</t>
  </si>
  <si>
    <t>""Llave de impacto 1/2"" / 12V /  145 Nm /  Sin Baterías"</t>
  </si>
  <si>
    <t>Llave De Impacto 3/8"/12V/ 160 Nm/ Sin Baterías</t>
  </si>
  <si>
    <t>""Llave Impacto 1/2"" 12V / 2 Vel. / CXT - BL / 165 Nm / Sin Baterías"</t>
  </si>
  <si>
    <t>Llave de Impacto Inal. / Sin Batería</t>
  </si>
  <si>
    <t>Podadora telescopica 12" a Batería 40V / XGT / 2.5m - 3.8m XGT / BL / WG / AFT / XPT (Sin bateria / Cargador)</t>
  </si>
  <si>
    <t>""Podadora Telescopica 12"" 40V / XGT / 2.5M - 3.8M (sin bateria / cargador)"</t>
  </si>
  <si>
    <t>Sopladora Inal. 17.6m3/min LXT/XGT (No Incluye Sistema portatil de energía PDC01/PDC1200)</t>
  </si>
  <si>
    <t>Sopladora inal. 16 m3/min 40V XGT BL Motor (Sin Batería/Cargador)</t>
  </si>
  <si>
    <t>Sopladora inal. Mochila 19 m3/min 22 N / PDC BL / WG / XPT (Sin Powerbank)</t>
  </si>
  <si>
    <t>Sopladora De Aire 16 M3/Min 40V XGT BL Motor (Sin Batería/Cargador)</t>
  </si>
  <si>
    <t>Sopladora/Aspiradora a Batería 13.8m3/min 15N 50L 40V XGT XPT (Sin Bateria/Cargador) (Inc. bolsa recolec)</t>
  </si>
  <si>
    <t>Sopladora inal. 20.9 m3/min - 28.0 N / 40V /BL WG XPT XGT / (Sin Powerbank)</t>
  </si>
  <si>
    <t>SOPLADORA (VOLUMEN: 0-2.8 m3/min) (PRESION: 0-5.5 kPa) 600W</t>
  </si>
  <si>
    <t>Sopladora De Aire 600W. 0-16.000 Presion De Aire 0-5.7Kpa Rpm 2.0Kg</t>
  </si>
  <si>
    <t>Cabezal Sopladora UB403MP</t>
  </si>
  <si>
    <t>""Sierra de cadena 14"" 40V XGT / BL Motor (inc bateria 4Ah/cargador)"</t>
  </si>
  <si>
    <t>Sierra de Cadena 14" 40V XGT / BL WG / One-hand (Sin Batería/Cargador)</t>
  </si>
  <si>
    <t>""Sierra de cadena 14"" 40V XGT / BL Motor (sin bateria/cargador)"</t>
  </si>
  <si>
    <t>Sierra de Cadena 16" 40V XGT BL (Sin Batería/Cargador)</t>
  </si>
  <si>
    <t>Motosierra a Batería 12" 80 TXL (300mm) 40V XGT BL (Sin Batería/Cargador)</t>
  </si>
  <si>
    <t>Sierra de poda  6" / 150 mm a 40V XGT / BL / XPT  (Sin Batería/Sin Cargador)</t>
  </si>
  <si>
    <t>Sierra de poda  6" / 150 mm a 40V XGT / BL / XPT / Inc. Portalima + Lima (Sin Batería/Sin Cargador)</t>
  </si>
  <si>
    <t>Motosierra a Batería 20" 1.3mm 0.325" 95 TXL (500mm) 40V XGT BL WG (Sin Batería/Cargador)</t>
  </si>
  <si>
    <t>Sierra de Cadena 10" 40V XGT XPT BL Motor (Sin Bateria/Cargador)</t>
  </si>
  <si>
    <t>ELECTROSIERRA INALAMBRICA 36V + Bateria/Cargador</t>
  </si>
  <si>
    <t>Electrosierra 16" (400mm) 1800W</t>
  </si>
  <si>
    <t>Electrosierra 18" (450mm) 1800W</t>
  </si>
  <si>
    <t>Cortasetos inal. 40V / 600 mm / 21.5 mm / XGT BL XPT (Sin Batería/Cargador)</t>
  </si>
  <si>
    <t>Cortasetos inal. 40V / 750 mm / 21.5 mm / XGT BL XPT (Sin Batería/Cargador)</t>
  </si>
  <si>
    <t>Cortasetos a Batería 40V / 200 mm / 19 mm / XGT BL (Sin Batería/Cargador)</t>
  </si>
  <si>
    <t>Cortasetos 200mm 12V CXT (sin bateria/cargador)</t>
  </si>
  <si>
    <t>""CORTA SETOS INALAMBRICA 200 mm (7-7/8"") 10.8 V"</t>
  </si>
  <si>
    <t>Cortasetos 350mm 12V CXT (inc. bateriaX2 4Ah/cargador)</t>
  </si>
  <si>
    <t>Cortasetos 350mm 12V CXT (sin bateria/cargador)</t>
  </si>
  <si>
    <t>""CORTA SETOS 520 mm (20-1/2"") 400 W"</t>
  </si>
  <si>
    <t>Cortasetos Inal. 550 mm 36 V (inc. bateria/cargador)</t>
  </si>
  <si>
    <t>Cultivador Inal. 245 mm 36 V</t>
  </si>
  <si>
    <t>Tijeras cortahierbas 160mm 12V CXT (sin bateria/cargador)</t>
  </si>
  <si>
    <t>Tijeras cortahierbas 160mm 18V G-BATTERY (sin bateria/cargador)</t>
  </si>
  <si>
    <t>CORTADOR DE CESPED 160mm</t>
  </si>
  <si>
    <t>Cortasetos inal. 40V 600 mm XGT BL XPT (Largo Total 2,268 mm) (Sin Batería/Cargador)</t>
  </si>
  <si>
    <t>Tijera de Poda 12V CXT BL XPT Corte Máx 1" / 25 mm (Sin Batería/Cargador)</t>
  </si>
  <si>
    <t>Desbrozadora Manillar U inal. XGT 40V / 350mm / BL ADT XPT (Sin Batería/Cargador)</t>
  </si>
  <si>
    <t>Desbrozadora manillar U Inal. 40Max / 350mm /XGT BL Motor AFT/ADT (sin bateria/cargador)</t>
  </si>
  <si>
    <t>DESBROZADORA MANILLAR U 1.0 KW XGT 40V / BL MOTOR / CAJA ENGRANAJE (INC BAT x1 4.0 AH /CARGADOR)</t>
  </si>
  <si>
    <t>Desbrozadora Manillar U 1.0 Kw XGT 40V / BL / Caja engranaje (Sin Batería/Cargador)</t>
  </si>
  <si>
    <t>Desbrozadora manillar U 2.0 KW XGT 40Vx2 / BL ADT AFT WG / Caja Engranaje / (Sin Batería/Cargador)</t>
  </si>
  <si>
    <t>Desbrozadora manillar U XGT 40V / 1500W / BL Motor / Caj engranaje</t>
  </si>
  <si>
    <t>Desbrozadora manillar U 600W XGT 40V /BL ADT AFT XPT / Caja engranaje / (Sin Batería/Cargador)</t>
  </si>
  <si>
    <t>Desbrozadora manillar D Inal. 12V CXT XPT (inc. bateria/cargador)</t>
  </si>
  <si>
    <t>Desbrozadora manillar D Inal. 12V CXT XPT (sin bateria/cargador)</t>
  </si>
  <si>
    <t>Desbrozadora manillar U Inal. 1.0 KW 18VX2 LXT XPT BL Motor AFT ADT (conector)</t>
  </si>
  <si>
    <t>Mezcladora XGT 40Vmax/2 Velocidades/Velocidad VariaBLe/BL-XPT/Eje M14 9 1/2"/ Sin Baterias</t>
  </si>
  <si>
    <t>Mezcladora XGT 40Vmax/2 Velocidades/Velocidad VariaBLe/BL-XPT/Con Mandril 1/2" Y Llave/Sin Baterias</t>
  </si>
  <si>
    <t>""Mezclador 1 300W  140mm (5-1/2"") / Cap. 50Lts / 0 - 900 RPM"</t>
  </si>
  <si>
    <t>Mezclador 1 300W  140mm (5-1/2")/Cap. 50Lts/0 - 900 Rpm.</t>
  </si>
  <si>
    <t>""Mezclador 1 800W  140mm (5-1/2"") / Cap. 90Lts / 2 Veloc."</t>
  </si>
  <si>
    <t>Escarificadora a Baterías 40V / 380 mm (15") / 50 L / XGT BL XPT / (Sin Batería/Cargador)</t>
  </si>
  <si>
    <t>Multifuncional inal. 40V XGT XPT AFT BL (Sin Batería/Cargador/Accesorio)</t>
  </si>
  <si>
    <t>Aspiradora inal. Piso 40V / 3.2 m³/min / 23 KPa / XGT BL / Polvo 8.0 L / Agua 6.0 L / (Sin Batería/Cargador) (Limpieza)</t>
  </si>
  <si>
    <t>Aspiradora inal. Piso Limpieza 40V Máx XGT / 23 KPa / 3.2 m³/min / Polvo 15L / Agua 12L (Sin Baterías/Cargador)</t>
  </si>
  <si>
    <t>Aspiradora Inalámbrica (Seco) XGT / 23 kPa / Polvo 15L</t>
  </si>
  <si>
    <t>Aspiradora inal. Piso Herramientas 40V Máx XGT / 23 KPa / 1.8 m³/min (Sin Baterías/Cargador)</t>
  </si>
  <si>
    <t>Aspiradora Inalámbrica XGT / AWS (Bluetooth) 9.8 kPa / Polvo 15L</t>
  </si>
  <si>
    <t>Aspiradora inal. de Piso XGT 80V Máx. (Seco y Húmedo 40/30L) HEPA BL Motor GYUPPA (Sin Baterías/Cargador)</t>
  </si>
  <si>
    <t>Aspiradora inal. 40V XGT Limpieza / Tipo Mochila / 2.4m³/min / 18 KPa / 2.0 L / BL HEPA (Sin Batería/Cargador)</t>
  </si>
  <si>
    <t>Aspiradora inal. 40V XGT Herramientas / Tipo Mochila / 1.9m³/min / 18 KPa / 2.0L / BL AWS (Sin Batería/Cargador)</t>
  </si>
  <si>
    <t>Aspiradora Vertical. 40V / Alfombras / 1.8m³/min / 15kpa / BL XGT HEPA  / 5.0 L / (Sin Batería/Cargador) (Limpieza)</t>
  </si>
  <si>
    <t>Aspiradora inal. 40V / Mochila / 2.4m³/min / 20KPa / BL XGT /6.0 L / (Limpieza) (Sin Baterias/Cargador)</t>
  </si>
  <si>
    <t>Aspiradora inal. 40V / Mochila / 2.1m³/min / 20 KPa / BL XGT AWS /6.0 L / (Sin Batería/Cargador)</t>
  </si>
  <si>
    <t>Aspiradora/Sopladora 40V XGT / Tipo Maleta / 2.0 m3/min / 15.0 KPa / 7.5 L (Sin Batería/Sin Cargador)</t>
  </si>
  <si>
    <t>Aspiradora (Húmedo y Seco) 2.0m3/min. (Succión:22.0 KPa) (Polvo - 13L/Agua - 7L) 1050W (Limpieza)</t>
  </si>
  <si>
    <t>Aspiradora (Húmedo y Seco) 2.0m3/min. (Succión:22.0 Kpa) (Polvo - 22L/Agua - 17L) 1050W D.Filtro</t>
  </si>
  <si>
    <t>Aspiradora (Húmedo y Seco) 2.0m3/min. (22 KPa) (Polvo - 25L /Agua - 14L) 1050W (Sin accesorios de Limpieza)</t>
  </si>
  <si>
    <t>Aspiradora (Húmedo y Seco) 2.0m3/min. (Succión:22.0 Kpa) (Polvo - 25L/Agua - 14L) 1050W (limpieza)</t>
  </si>
  <si>
    <t>Aspiradora (Húmedo y Seco) 2.0m3/min. (22 KPa) (Polvo - 32L / Agua - 27L) 1050W (Sin accesorios de Limpieza)</t>
  </si>
  <si>
    <t>Aspiradora (Húmedo y Seco) 2.0m3/min. (Succión:22.0 Kpa) (Polvo - 32L/Agua - 27L) 1050W (limpieza)</t>
  </si>
  <si>
    <t>Aspiradora (Húmedo y Seco) 2.0m3/min. / 22 KPa (Polvo - 32L / Agua - 27L) 1050W</t>
  </si>
  <si>
    <t>Aspiradora (Húmedo y Seco) 2.0m3/min. (Succión:22.0 Kpa) (Polvo - 32L/Agua - 27L) 1050W D.Filtro</t>
  </si>
  <si>
    <t>Vibrador De Concreto XGT 40 Vmax/12 000 - 15 000 Rpm/2 Velocidades/BL-XPT/Sin Manguera/Sin Baterías</t>
  </si>
  <si>
    <t>Vibrador De Concreto  2000W  16 000Rpm</t>
  </si>
  <si>
    <t>Barredora Aspiradora a Batería 40V - 650 mm - 24L - XGT / HEPA / BL</t>
  </si>
  <si>
    <t>""Llave Ratchet 12V / CXT /- 1/4"" - 3/8"" / 1 x 4.0Ah"</t>
  </si>
  <si>
    <t>""Llave Ratchet 12V / CXT /- 1/4"" - 3/8"" / Sin Baterías"</t>
  </si>
  <si>
    <t>Degolladora XGT 40 Vmax/M16 (5/8"), M20 (3/4"), M22 (7/8")/BL-XPT/Sin Baterias</t>
  </si>
  <si>
    <t>Cuchillas Escarificadoras - DUV320</t>
  </si>
  <si>
    <t>Rodillo Escarificador - DUV320</t>
  </si>
  <si>
    <t>103154900</t>
  </si>
  <si>
    <t>ADP002G</t>
  </si>
  <si>
    <t>ADP15</t>
  </si>
  <si>
    <t>DISCO SIERRA PARA ALUMINIO 12" x 25.4 80 DIENTES</t>
  </si>
  <si>
    <t>JV0800K-SAMPLE</t>
  </si>
  <si>
    <t>SIERRA CALADORA</t>
  </si>
  <si>
    <t>JV0801K-SAMPLE</t>
  </si>
  <si>
    <t>VC015GZ</t>
  </si>
  <si>
    <t>VC015GZ-SAMPLE</t>
  </si>
  <si>
    <t>Grata Rizada M14 2.0 x 75mm Alambre Acero Recubirto en Bronce 0.3 mm</t>
  </si>
  <si>
    <t>SET DE PUNTAS BITS IMPACT PREMIER + AVELLANADORES MAKITA SET DE 29 PIEZAS</t>
  </si>
  <si>
    <t>Linterna Magnetica LXT 18V/Lampara De Mano/Hasta 1200 Lumenes/03 Niveles/Sin Baterías</t>
  </si>
  <si>
    <t>Linterna Magnetica XGT 40Vmax/Lampara De Mano /Hasta 1200 Lumenes /03 Niveles/Sin Baterías</t>
  </si>
  <si>
    <t>PR-D-72001-500+50-0326</t>
  </si>
  <si>
    <t>DHP490Z</t>
  </si>
  <si>
    <t>Taladro Percutor 1/2" LXT 18V/2 Vel./65-50-27Nm/BL-XPT /Sin Bat. Y Cargador</t>
  </si>
  <si>
    <t>DC18SJ ADP14 CABLE SET</t>
  </si>
  <si>
    <t>PSKGPT2J</t>
  </si>
  <si>
    <t>Cuchilla para Barreno 200 mm (Nuevo)</t>
  </si>
  <si>
    <t>E-30293</t>
  </si>
  <si>
    <t>TORSION SCREW BIT IMPACT PREMIER SET E-form(MZ) WITH TIN CASE  T20X50MM 10PCS</t>
  </si>
  <si>
    <t>NEW Dust Bag AY set</t>
  </si>
  <si>
    <t>E-30097</t>
  </si>
  <si>
    <t>DIAMOND WHEEL UNIV 115MM</t>
  </si>
  <si>
    <t>E-30106</t>
  </si>
  <si>
    <t>DIAMOND WHEEL UNIV 125MM</t>
  </si>
  <si>
    <t>E-30128</t>
  </si>
  <si>
    <t>DIAMOND WHEEL UNIV 180MM</t>
  </si>
  <si>
    <t>E-30134</t>
  </si>
  <si>
    <t>DIAMOND WHEEL UNIV 230MM</t>
  </si>
  <si>
    <t>E-30156</t>
  </si>
  <si>
    <t>DIAMOND WHEEL UNIV 355MM</t>
  </si>
  <si>
    <t>E-30162</t>
  </si>
  <si>
    <t>E-30178</t>
  </si>
  <si>
    <t>E-30221</t>
  </si>
  <si>
    <t>HR2680-SAMPLE</t>
  </si>
  <si>
    <t>NEW - 26MM COMBINATION HAMMER</t>
  </si>
  <si>
    <t>191T85-8</t>
  </si>
  <si>
    <t>New - Espada 10" 80 TXL DUC258</t>
  </si>
  <si>
    <t>191T89-0</t>
  </si>
  <si>
    <t>New - Cadena 10" 80 TXL DUC258</t>
  </si>
  <si>
    <t>PSKGPL2J</t>
  </si>
  <si>
    <t>PSKGSU101</t>
  </si>
  <si>
    <t>DDF491Z</t>
  </si>
  <si>
    <t>E-18029</t>
  </si>
  <si>
    <t>BROCA SDS-MAX 32 x 1300MM. CINCO CORTES</t>
  </si>
  <si>
    <t>PE001GZ</t>
  </si>
  <si>
    <t>NEW CORDLESS SPOT EXTRACTOR</t>
  </si>
  <si>
    <t>1918N1-6</t>
  </si>
  <si>
    <t>NEW - DEPTH GUIDE SET TYPE A</t>
  </si>
  <si>
    <t>1918N3-2</t>
  </si>
  <si>
    <t>NEW - DEPTH GUIDE SET TYPE B</t>
  </si>
  <si>
    <t>Set x4 pzas de Dado magnetico 1/4″-5/16″-7/16″-3/8″ x 48mm</t>
  </si>
  <si>
    <t>Set de 6 Sierra Copa 32/38/48/54/64 mm + Adaptador con broca piloto 10 mm</t>
  </si>
  <si>
    <t>D-82812</t>
  </si>
  <si>
    <t>NEW - DIAMOND CORE BIT 5PCS/SET</t>
  </si>
  <si>
    <t>D-82834</t>
  </si>
  <si>
    <t>NEW - FLAP DISC 15PC/ST 125MM</t>
  </si>
  <si>
    <t>D-82840</t>
  </si>
  <si>
    <t>D-82856</t>
  </si>
  <si>
    <t>D-82878</t>
  </si>
  <si>
    <t>NEW - NET SANDING PAD SAVER 21PC/ST</t>
  </si>
  <si>
    <t>D-82943</t>
  </si>
  <si>
    <t>NEW - SDS-PLUS HAMMER BIT 6PCS ASSORTMENT SETA SELECTION OF 10 POPULAR HAMMER BITS ARRANGED IN A TEXTIL CASE</t>
  </si>
  <si>
    <t>E-26107</t>
  </si>
  <si>
    <t>NEW - TORSION SCREW BIT 2 PCS E-FORM IMPACT BLACK PH2x50mm</t>
  </si>
  <si>
    <t>E-28896</t>
  </si>
  <si>
    <t>NEW - TORSION SCREW BIT 2 PCS C-FORM IMPACT BLACK PH1x25mm</t>
  </si>
  <si>
    <t>E-28905</t>
  </si>
  <si>
    <t>NEW - TORSION SCREW BIT 2 PCS C-FORM IMPACT BLACK PH2x25mm</t>
  </si>
  <si>
    <t>E-28911</t>
  </si>
  <si>
    <t>NEW - TORSION SCREW BIT 2 PCS C-FORM IMPACT BLACK PH3x25mm</t>
  </si>
  <si>
    <t>E-28927</t>
  </si>
  <si>
    <t>NEW - TORSION SCREW BIT 2 PCS C-FORM IMPACT BLACK PZ1x25mm</t>
  </si>
  <si>
    <t>E-28933</t>
  </si>
  <si>
    <t>NEW - TORSION SCREW BIT 2 PCS C-FORM IMPACT BLACK PZ2x25mm</t>
  </si>
  <si>
    <t>E-28949</t>
  </si>
  <si>
    <t>NEW - TORSION SCREW BIT 2 PCS C-FORM IMPACT BLACK PZ3x25mm</t>
  </si>
  <si>
    <t>E-28977</t>
  </si>
  <si>
    <t>NEW - TORSION SCREW BIT 2 PCS C-FORM IMPACT BLACK T20x25mm</t>
  </si>
  <si>
    <t>E-28983</t>
  </si>
  <si>
    <t>NEW - TORSION SCREW BIT 2 PCS C-FORM IMPACT BLACK T25x25mm</t>
  </si>
  <si>
    <t>E-28999</t>
  </si>
  <si>
    <t>NEW - TORSION SCREW BIT 2 PCS C-FORM IMPACT BLACK T30x25mm</t>
  </si>
  <si>
    <t>E-29022</t>
  </si>
  <si>
    <t>NEW - TORSION SCREW BIT 2 PCS C-FORM IMPACT BLACK H3x25mm</t>
  </si>
  <si>
    <t>E-29038</t>
  </si>
  <si>
    <t>NEW - TORSION SCREW BIT 2 PCS C-FORM IMPACT BLACK H4x25mm</t>
  </si>
  <si>
    <t>E-29044</t>
  </si>
  <si>
    <t>NEW - TORSION SCREW BIT 2 PCS C-FORM IMPACT BLACK H5x25mm</t>
  </si>
  <si>
    <t>E-29131</t>
  </si>
  <si>
    <t>NEW - TORSION SCREW BIT 2 PCS E-FORM IMPACT BLACK PH3x50mm</t>
  </si>
  <si>
    <t>E-29153</t>
  </si>
  <si>
    <t>NEW - TORSION SCREW BIT 2 PCS E-FORM IMPACT BLACK PZ2x50mm</t>
  </si>
  <si>
    <t>E-29169</t>
  </si>
  <si>
    <t>NEW - TORSION SCREW BIT 2 PCS E-FORM IMPACT BLACK PZ3x50mm</t>
  </si>
  <si>
    <t>E-29197</t>
  </si>
  <si>
    <t>NEW - TORSION SCREW BIT 2 PCS E-FORM IMPACT BLACK T20x50mm</t>
  </si>
  <si>
    <t>E-29206</t>
  </si>
  <si>
    <t>NEW - TORSION SCREW BIT 2 PCS E-FORM IMPACT BLACK T25x50mm</t>
  </si>
  <si>
    <t>E-29212</t>
  </si>
  <si>
    <t>NEW - TORSION SCREW BIT 2 PCS E-FORM IMPACT BLACK T30x50mm</t>
  </si>
  <si>
    <t>E-29256</t>
  </si>
  <si>
    <t>NEW - TORSION SCREW BIT 2 PCS E-FORM IMPACT BLACK H4x50mm</t>
  </si>
  <si>
    <t>E-29262</t>
  </si>
  <si>
    <t>NEW - TORSION SCREW BIT 2 PCS E-FORM IMPACT BLACK H5x50mm</t>
  </si>
  <si>
    <t>E-29337</t>
  </si>
  <si>
    <t>NEW - TORSION BIT HOLDER E-FORM IMPACT BLACK 60mm</t>
  </si>
  <si>
    <t>E-29343</t>
  </si>
  <si>
    <t>NEW - TORSION SLEEVE CHUCK BIT HOLDER  IMPACT BLACK 60mm</t>
  </si>
  <si>
    <t>E-29393</t>
  </si>
  <si>
    <t>NEW - TORSION SCREW BIT IMPACT BLACK 8PCS SET Assort</t>
  </si>
  <si>
    <t>E-29402</t>
  </si>
  <si>
    <t>NEW - TORSION SCREW BIT IMPACT BLACK 10PCS SET Assort</t>
  </si>
  <si>
    <t>E-29418</t>
  </si>
  <si>
    <t>E-29430</t>
  </si>
  <si>
    <t>NEW - TORSION SCREW BIT IMPACT BLACK 33PCS SET Assort</t>
  </si>
  <si>
    <t>E-29452</t>
  </si>
  <si>
    <t>NEW - TORSION SCREW BIT IMPACT BLACK 35PCS SET Assort</t>
  </si>
  <si>
    <t>E-29468</t>
  </si>
  <si>
    <t>NEW - TORSION SCREW BIT IMPACT BLACK 100PCS SET Assort</t>
  </si>
  <si>
    <t>E-29527</t>
  </si>
  <si>
    <t>NEW - TORSION SCREW BIT IMPACT BLACK 31PCS FOR XGT CASE Assort</t>
  </si>
  <si>
    <t>E-29533</t>
  </si>
  <si>
    <t>NEW - TORSION SCREW BIT IMPACT BLACK 31PCS FOR XGR CASE WITH DISPLAY BOX Assort</t>
  </si>
  <si>
    <t>E-30053</t>
  </si>
  <si>
    <t>NEW - MIXED 29PCS SET</t>
  </si>
  <si>
    <t>E-30069</t>
  </si>
  <si>
    <t>NEW - MIXED 19PCS SET</t>
  </si>
  <si>
    <t>E-30075</t>
  </si>
  <si>
    <t>NEW - TORSION SCREW BIT IMPACT BLACK 90PCS SET Assort</t>
  </si>
  <si>
    <t>E-30259</t>
  </si>
  <si>
    <t>NEW - PCD SAW BLADEEFFICUT FIBER CEMENT BOARD 165x20x4T</t>
  </si>
  <si>
    <t>VC016GZ-SAMPLE</t>
  </si>
  <si>
    <t>CORDLESS DRY CLEANER</t>
  </si>
  <si>
    <t>NEW - SPROCKET 11 SET</t>
  </si>
  <si>
    <t>D-42248</t>
  </si>
  <si>
    <t>NEW - FORSTNER DRILL BIT 25MM</t>
  </si>
  <si>
    <t>NEW - TORSION BIT E-FORM IMPACT PREMIER PH2X50MM 10PCS SET</t>
  </si>
  <si>
    <t>NEW - TORSION BIT E-FORM IMPACT PREMIER PZ2X50MM 10PCS SET</t>
  </si>
  <si>
    <t>NEW - SIDE WRAPPING SEAL FOR LXT</t>
  </si>
  <si>
    <t>1918H5-6</t>
  </si>
  <si>
    <t>NEW - DUST CAP SET</t>
  </si>
  <si>
    <t>1918R3-0</t>
  </si>
  <si>
    <t>NEW - JOINT A HOSE ATTACHMENT SET</t>
  </si>
  <si>
    <t>1918R4-8</t>
  </si>
  <si>
    <t>NEW - JOINT B HOSE ATTACHMENT SET</t>
  </si>
  <si>
    <t>E-30318</t>
  </si>
  <si>
    <t>NEW - Torsion screw bit E-form Impact PREMIER PH2x70mm 2pcs</t>
  </si>
  <si>
    <t>E-30346</t>
  </si>
  <si>
    <t>NEW - Torsion screw bit E-form Impact PREMIER PZ2x70mm 2pcs</t>
  </si>
  <si>
    <t>E-30411</t>
  </si>
  <si>
    <t>NEW - Torsion screw bit E-form Impact PREMIER T40x70mm 2pcs</t>
  </si>
  <si>
    <t>E-30461</t>
  </si>
  <si>
    <t>NEW - Torsion screw bit E-form Impact PREMIER H6x70mm 2pcs</t>
  </si>
  <si>
    <t>E-30499</t>
  </si>
  <si>
    <t>NEW - Torsion screw bit E-form Impact PREMIER PH2x90mm 2pcs</t>
  </si>
  <si>
    <t>E-30520</t>
  </si>
  <si>
    <t>NEW - Torsion screw bit E-form Impact PREMIER PZ2x90mm 2pcs</t>
  </si>
  <si>
    <t>E-30673</t>
  </si>
  <si>
    <t>NEW - Torsion screw bit E-form Impact PREMIER PH2x150mm 1pc</t>
  </si>
  <si>
    <t>E-30704</t>
  </si>
  <si>
    <t>NEW - Torsion screw bit E-form Impact PREMIER PZ2x150mm 1pc</t>
  </si>
  <si>
    <t>Set de Conmutador para Bateria XGT 40V p/movil OIS</t>
  </si>
  <si>
    <t>Gancho para sujetar Herramientas Tipo Correa</t>
  </si>
  <si>
    <t>Adaptador de Bateria XGT 40V  para BO003GZ/BO007GZ con cable de 1,6mts</t>
  </si>
  <si>
    <t>Adaptador de Bateria XGT 40V  para BO003GZ/BO007GZ con cable de 5mts</t>
  </si>
  <si>
    <t>Accesorio de aspiraciÃ³n y perforaciÃ³n para HRy DHR Makita con Extractor de polvo B22,24mm</t>
  </si>
  <si>
    <t>Carro de transporte P/CE001 XGT 40V capacidad 13L peso 21,3KG de deposito en vacio</t>
  </si>
  <si>
    <t>Accesorio para Pistola Engrasadora DGP180Z y GP001GZ sirve como conector</t>
  </si>
  <si>
    <t>Base de apoyo P/cortes biselados compatible para Sierras Caladoras Makita</t>
  </si>
  <si>
    <t>Acople P/JR003GZ universal para usar hojas de sierras reciprocas comunes</t>
  </si>
  <si>
    <t>Adaptador de carril tipo riel guia 90Â°/45Â° para sierras Marmoleras Makita</t>
  </si>
  <si>
    <t>Accesosorio para Pistola Engrasadora P/DGP180 eje flexible 600mm MPa 69 conexiÃ³n NPT1/8</t>
  </si>
  <si>
    <t>Adaptador de Bateria LXT 18V con convertidor de baterias 18V  acoplado BAP18</t>
  </si>
  <si>
    <t>Adaptador de Bateria tipo Mochila  LXT 18V con convertidor de baterias 18V</t>
  </si>
  <si>
    <t>GUARDA POLVO / GA028G - GA015G</t>
  </si>
  <si>
    <t>GUARDA POLVO / VARIOS</t>
  </si>
  <si>
    <t>RECOLECTOR DE POLVO / VARIOS</t>
  </si>
  <si>
    <t>Bateria de Ni-MH 9,6V de 2,6 amperios modelo K-9134</t>
  </si>
  <si>
    <t>Cargador de baterias  DC24SC de 7,2V hasta 24V para Ni-MH</t>
  </si>
  <si>
    <t>Makpack LXT 18V contiene 4 baterias BL1830+Cargador DC18RD+ESmeril DGA454</t>
  </si>
  <si>
    <t>Hoja de Calar empaque por 3 unidades para Caladora de banco SJ401</t>
  </si>
  <si>
    <t>Dado maganetico 1/4"xD12mmx50mm reemplazo de B-38956</t>
  </si>
  <si>
    <t>Disco de Sierra P/Melamine  7-1/4"x 30x 2.40mm.60 DIENTES(REDUCTOR 3/4"-5/8") Reemplazo de D-38934</t>
  </si>
  <si>
    <t>Disco Flap de Fibra de 115x1x22.23mm GR80 Carburo de Silicio WA46R por 25 pcs Reemplazo de D-28173</t>
  </si>
  <si>
    <t>Disco de Sierra P/Madera  7-1/4"x 20x 2,2mm.24 DIENTES reductor 5/8" - Reemplazo D-51334</t>
  </si>
  <si>
    <t>Disco de Corte P/inox  115x1x22.23mm (WA46R)  paquete (25 PCS)</t>
  </si>
  <si>
    <t>Broca Avellanadora para Taladro diametro 3/32"  profundidad M3 medida 6</t>
  </si>
  <si>
    <t>Broca Avellanadora para Taladro diametro 3/32"  profundidad M3 medida 8</t>
  </si>
  <si>
    <t>Broca Avellanadora para Taladro diametro 3/32"  profundidad M3 medida 10</t>
  </si>
  <si>
    <t>Disco lija Velcro NET lijado para madera y metal de 5" grano 80 caja de 10 und</t>
  </si>
  <si>
    <t>Disco lija Velcro NET lijado para madera y metal de 5" grano 120 caja de 10 und</t>
  </si>
  <si>
    <t>Disco lija Velcro NET lijado para madera y metal de 5" grano 180 caja de 10 und</t>
  </si>
  <si>
    <t>Disco lija Velcro NET lijado para madera y metal de 5" grano 240caja de 10 und</t>
  </si>
  <si>
    <t>Disco lija Velcro NET lijado para madera y metal de 5" grano 320 caja de 10 und</t>
  </si>
  <si>
    <t>Disco lija Velcro NET lijado para madera y metal de 6" grano 80 caja de 10 und</t>
  </si>
  <si>
    <t>Disco lija Velcro NET lijado para madera y metal de 6" grano 120 caja de 10 und</t>
  </si>
  <si>
    <t>Disco lija Velcro NET lijado para madera y metal de 6" grano 180 caja de 10 und</t>
  </si>
  <si>
    <t>Disco lija Velcro NET lijado para madera y metal de 6" grano 240 caja de 10 und</t>
  </si>
  <si>
    <t>Disco lija Velcro NET lijado para madera y metal de 6" grano 320 caja de 10 und</t>
  </si>
  <si>
    <t>Disco tipo copa diamantado doble segmento P/concreto (5") 125mmx22.23mm- Remplazo de D-66715</t>
  </si>
  <si>
    <t>Disco de Sierra P/Madera  7-1/4"x 20x 1,8mm.24 DIENTES reductor 5/8"</t>
  </si>
  <si>
    <t>Disco de Sierra P/Madera  7-1/4"x 20x 1,8mm.40 DIENTES reductor 5/8"</t>
  </si>
  <si>
    <t>Disco de Sierra P/Madera  6-1/2"x 20x 1,8mm.16 DIENTES reductor 5/8"</t>
  </si>
  <si>
    <t>Disco de Sierra P/Madera  10"x 25,4x 2,6mm.100 DIENTES</t>
  </si>
  <si>
    <t>Disco de Sierra P/Madera  6-1/2"x 20x 1,8mm.40 DIENTES reductor 5/8" -Reemplazo D-51328</t>
  </si>
  <si>
    <t>Disco de Sierra P/Madera  7-1/4"x 20x 1,6mm.16 DIENTES reductor 5/8" - Reemplazo D-51334</t>
  </si>
  <si>
    <t>Disco de Sierra P/Madera  9-1/2"x 25,4mmx 2,4mm.20 DIENTES reductor 5/8" - Reemplazo D-51362</t>
  </si>
  <si>
    <t>Disco de Sierra P/Madera  9-1/2"x 25,4mmx 2,4mm.60 DIENTES reductor 5/8" - Reemplazo D-51384</t>
  </si>
  <si>
    <t>Disco de Sierra P/Madera  10"x 25,4mmx 2,4mm.24 DIENTES reductor 5/8"</t>
  </si>
  <si>
    <t>Disco de Sierra P/Madera  10 1/4"x 30mmx 2,4mm.24 DIENTES reductor 1"</t>
  </si>
  <si>
    <t>Disco de Sierra P/Madera  10 1/4"x 25,4mmx 2,4mm.80 DIENTES</t>
  </si>
  <si>
    <t>Disco de Sierra P/Madera  12"x 25,4mmx 2,8mm.60 DIENTES</t>
  </si>
  <si>
    <t>Disco de Sierra P/Melamine 12"x 25,4mmx 2,8mm.60 DIENTES</t>
  </si>
  <si>
    <t>PRO PACK DISCO FLAP CONTIENE ZIRCONIO 125MM Z40 X 5 PZS (D-63747), ZIRCONIO Z60 X 5 PZS (D-63753), ZIRCONIO Z80 X 5 PZS (D-63769) TOTAL 15 PZS</t>
  </si>
  <si>
    <t>Sistema de colecciÃ³n de polvo XGT 40V max P/HR011GZ DX17</t>
  </si>
  <si>
    <t>Sierra copa Bimetalica HSS-CO 8% 35mm EZYCHANGE</t>
  </si>
  <si>
    <t>Set de Dados Impact Black  1/2" incluye (10,11,12,13,14,16,17,19,21,22,24,27,30,32mm) 14 piezas</t>
  </si>
  <si>
    <t>Dado de impacto 3/4" 30mmX52 P/llave de impacto CR-MO -reemplazo 134857-8</t>
  </si>
  <si>
    <t>Dado de impacto tubular 3/4" 19mm P/llave de impacto CR-MO -reemplazo A-85525</t>
  </si>
  <si>
    <t>Dado de impacto tubular 3/4" 21mm P/llave de impacto CR-MO -reemplazo A-85547</t>
  </si>
  <si>
    <t>Adaptador de dado de impacto de 3/4" a 1/2" CR-MO</t>
  </si>
  <si>
    <t>Adaptador magnetico angular IMPACT BLACK de 1/4" P/ atornillador 166mm</t>
  </si>
  <si>
    <t>Punta para atornillar IMPACT PREMIER TORSION PZ1x50MM por 10 piezas</t>
  </si>
  <si>
    <t>Punta para atornillar IMPACT PREMIER TORSION PZ3x50MM por 10 piezas</t>
  </si>
  <si>
    <t>Punta para atornillar IMPACT PREMIER TORSION T25x50MM por 10 piezas</t>
  </si>
  <si>
    <t>Punta para atornillar IMPACT PREMIER TORSION T30x50MM por 10 piezas</t>
  </si>
  <si>
    <t>Punta para atornillar IMPACT PREMIER TORSION T40x50MM por 10 piezas</t>
  </si>
  <si>
    <t>Hoja para sierra sable bimetalica P/ metal 152mm x 5 unidades</t>
  </si>
  <si>
    <t>Hoja para sierra sable bimetalica P/ metal 305mm x 5 unidades</t>
  </si>
  <si>
    <t>Hoja para sierra sable bimetalica metal/inox C/ rejillas de diamante corte Curvo P/JR003GZ 200mm x 5 unidades</t>
  </si>
  <si>
    <t>Punta para atornillar IMPACT PREMIER TORSION PZ2x25mm H3.0 por 2 piezas</t>
  </si>
  <si>
    <t>Punta para atornillar IMPACT PREMIER TORSION PZ2x25mm H4.0 por 2 piezas</t>
  </si>
  <si>
    <t>Punta para atornillar IMPACT PREMIER TORSION PZ2x25mm H5.0 por 2 piezas</t>
  </si>
  <si>
    <t>Punta para atornillar IMPACT PREMIER TORSION PZ2x25mm H6.0 por 2 piezas</t>
  </si>
  <si>
    <t>Porta baterias 10.8V con cable con conector plugin</t>
  </si>
  <si>
    <t>Punzon perforador redondo  25/32" (20 mm) P/ DPP200</t>
  </si>
  <si>
    <t>Tope dado perforador redondo  25/32" (20 mm) â€‘ SB P/ DPP200</t>
  </si>
  <si>
    <t>TW012GZ-SAMPLE</t>
  </si>
  <si>
    <t>NEW - CORDLESS IMPACT WRENCH</t>
  </si>
  <si>
    <t>TW013GZ-SAMPLE</t>
  </si>
  <si>
    <t>CO-HP1630K-9-0426</t>
  </si>
  <si>
    <t>HP1630K(x9) + GA4530(x9)</t>
  </si>
  <si>
    <t>CO-HP1630K-6-0426</t>
  </si>
  <si>
    <t>HP1630K(x6) + GA4530(x6)</t>
  </si>
  <si>
    <t>CO-HP1630K-3-0426</t>
  </si>
  <si>
    <t>HP1630K(x3) + GA4530(x3)</t>
  </si>
  <si>
    <t>RP0900(x1) + D-53344(x1)</t>
  </si>
  <si>
    <t>CO-HR2810-0426</t>
  </si>
  <si>
    <t>HR2810(x1) + D-40674(x1)+ D-05181(x1)</t>
  </si>
  <si>
    <t>CO-HP2070F-0426</t>
  </si>
  <si>
    <t>HP2070F(x1) + D-77126(x1)</t>
  </si>
  <si>
    <t>D-72001-10(x50) + D-72001-50(x1)</t>
  </si>
  <si>
    <t>CL200FDZ-5.0</t>
  </si>
  <si>
    <t>CL200FDZ(x1) + 1913G0-9(x1) + 630996-7(x1)</t>
  </si>
  <si>
    <t>Carrete de acero 1.6mm 30m x32 und P/Amarradora de Varillas TR001GZ</t>
  </si>
  <si>
    <t>E-25482-50</t>
  </si>
  <si>
    <t>E-25482(x1)</t>
  </si>
  <si>
    <t>E-25507-80</t>
  </si>
  <si>
    <t>E-25507(x1)</t>
  </si>
  <si>
    <t>E-25513-100</t>
  </si>
  <si>
    <t>E-25513(x1)</t>
  </si>
  <si>
    <t>E-25529-150</t>
  </si>
  <si>
    <t>E-25529(x1)</t>
  </si>
  <si>
    <t>E-25535-200</t>
  </si>
  <si>
    <t>E-25535(x1)</t>
  </si>
  <si>
    <t>E-25557-X</t>
  </si>
  <si>
    <t>E-25557(x1)</t>
  </si>
  <si>
    <t>DUC258Z-6.0</t>
  </si>
  <si>
    <t>DUC258Z(x1) + 632F69-8(x1) + 630718-5(x1)</t>
  </si>
  <si>
    <t>DUH607Z-3.0</t>
  </si>
  <si>
    <t>DUH607Z(x1) + 632G12-3(x1) + 630718-5(x1)</t>
  </si>
  <si>
    <t>DUH607Z-6.0</t>
  </si>
  <si>
    <t>DUH607Z(x1) + 632F69-8(x1) + 630718-5(x1)</t>
  </si>
  <si>
    <t>DUP181SF-3.0</t>
  </si>
  <si>
    <t>DUP181SF(x1)</t>
  </si>
  <si>
    <t>DCU180Z-5.0-B</t>
  </si>
  <si>
    <t>UB002CZ-1.2</t>
  </si>
  <si>
    <t>UB002CZ(x1) + PDC1200A02(x1)</t>
  </si>
  <si>
    <t>UB004CZ-1.5</t>
  </si>
  <si>
    <t>UB004CZ(x1) + PDC1500A01(x1)</t>
  </si>
  <si>
    <t>RM350D-FY114</t>
  </si>
  <si>
    <t>RM350D(x1)</t>
  </si>
  <si>
    <t>CL200FDZ-2.0</t>
  </si>
  <si>
    <t>CL200FDZ(x1) + 632F59-1(x1) + 630996-7(x1)</t>
  </si>
  <si>
    <t>VC013GLZ-5.0</t>
  </si>
  <si>
    <t>VC013GLZ(x1) + 632R45-4(x1) + 630B63-0(x1)</t>
  </si>
  <si>
    <t>VC013GLZ-8.0</t>
  </si>
  <si>
    <t>VC013GLZ(x1) + 632S90-5(x1) + 630B63-0(x1)</t>
  </si>
  <si>
    <t>CL201FDZ-SAMPLE</t>
  </si>
  <si>
    <t>NEW ASPIRADORA INALÁMBRICA</t>
  </si>
  <si>
    <t>SC05340140</t>
  </si>
  <si>
    <t>1916F0-0</t>
  </si>
  <si>
    <t>NEW CLAMP VISE 50 SET</t>
  </si>
  <si>
    <t>1916F1-8</t>
  </si>
  <si>
    <t>NEW CLAMP VISE 100 SET</t>
  </si>
  <si>
    <t>1916F2-6</t>
  </si>
  <si>
    <t>NEW CLAMP VISE 150 SET</t>
  </si>
  <si>
    <t>E-30190</t>
  </si>
  <si>
    <t>NEW FUNDA PARA COMPUTADORA PORTÁTIL Y ACCESORIOS</t>
  </si>
  <si>
    <t>DTW210RFJ</t>
  </si>
  <si>
    <t>DTW210Z</t>
  </si>
  <si>
    <t>DUP181RF</t>
  </si>
  <si>
    <t>GA5020X01</t>
  </si>
  <si>
    <t>HR2680</t>
  </si>
  <si>
    <t>Martillo Perforador SDS-PLUS 26mm/2 Func/2.9Kg</t>
  </si>
  <si>
    <t>UC032GZ01</t>
  </si>
  <si>
    <t>D-70085</t>
  </si>
  <si>
    <t>NEW FRESA RANUADORA TIPO LENGUA VAS 1/2"" * D 1-39/64"" * L. Util 3/4"" * L. total 2-51/64""</t>
  </si>
  <si>
    <t>Sierra Caladora LXT 18V Sin Carbones / 23Mm Carrera / BL/XPT/Sin Baterias</t>
  </si>
  <si>
    <t>Sierra Caladora LXT 18V/18Mm Largo/ 0 - 2900 Rpm/BL/XPTt/Sin Baterias</t>
  </si>
  <si>
    <t>Linterna LXT 18V / Tipo Radio Inalambrica/Sin Baterías</t>
  </si>
  <si>
    <t>Sierra Ingleteadora 10" 1500W. Cap.Corte 130Mm. 14.7Kg. Mt</t>
  </si>
  <si>
    <t>Starter KIT XGT 40V Baterias+Cargador Tabless BL4040F+DC40RC+Maletin</t>
  </si>
  <si>
    <t>CO-DCG180ZB-0526</t>
  </si>
  <si>
    <t>DCG180ZB(x1)+ 632F15-1(x2)+ 630718-5(x1)+ 832758-1(x1)</t>
  </si>
  <si>
    <t>PR-2012NB-0526</t>
  </si>
  <si>
    <t>2012NB(x2)</t>
  </si>
  <si>
    <t>CO-RP0900-0526</t>
  </si>
  <si>
    <t>PR-HM1213C-0225</t>
  </si>
  <si>
    <t>HM1213C(x1) + D-34182-10(x1)</t>
  </si>
  <si>
    <t>CO-HR2670-0526</t>
  </si>
  <si>
    <t>HR2670(x1) + D-00795(x1)</t>
  </si>
  <si>
    <t>CO-M3700B-0526</t>
  </si>
  <si>
    <t>M3700B(x1) + D-53584(x1)</t>
  </si>
  <si>
    <t>1918M7-7</t>
  </si>
  <si>
    <t>NEW NOZZLE ASSEMBLY SET P/ DCL287F</t>
  </si>
  <si>
    <t>1918M9-3</t>
  </si>
  <si>
    <t>NEW PIPE ASSEMBLY SET P/ DCL287F</t>
  </si>
  <si>
    <t>1918N0-8</t>
  </si>
  <si>
    <t>NEW DUST BOX SET P/ DCL287F</t>
  </si>
  <si>
    <t>1918T4-2</t>
  </si>
  <si>
    <t>NEW SET DE SOPORTES P/ DCL287F</t>
  </si>
  <si>
    <t>D-83216</t>
  </si>
  <si>
    <t>NEW NET SANDING SHEET/ WOOD/ METAL 10PC/SET 114X102mm A80</t>
  </si>
  <si>
    <t>D-83222</t>
  </si>
  <si>
    <t>NEW NET SANDING SHEET/ WOOD/ METAL 10PC/SET 114X102mm A120</t>
  </si>
  <si>
    <t>D-83238</t>
  </si>
  <si>
    <t>NEW NET SANDING SHEET/ WOOD/ METAL 10PC/SET 114X102mm A180</t>
  </si>
  <si>
    <t>D-83244</t>
  </si>
  <si>
    <t>NEW NET SANDING SHEET/ WOOD/ METAL 10PC/SET 114X102mm A240</t>
  </si>
  <si>
    <t>D-83250</t>
  </si>
  <si>
    <t>NEW PAD SAVER/ FOR NET SANDING SHEET 2PC/SET 112X102mm</t>
  </si>
  <si>
    <t>Pistola Engrasadora XGT 40V/BL -XPT / 10,000 PSI / 4 Vel./ Cartucho 450g/ Sin Baterias</t>
  </si>
  <si>
    <t>Taladro Base Magnetica 35mm 1050W/790 Rpm - Sujecion 11000 N</t>
  </si>
  <si>
    <t>Taladro Base Magnetica 50mm 1200W/750-450Rpm - Sujecion 12000 N/ 2Vel.</t>
  </si>
  <si>
    <t>Taladro Base Magnetica 85mm 1800W/470-320-170Rpm - Sujecion 22000 N/ 3Vel.</t>
  </si>
  <si>
    <t>PR-D-72001-1000+100-0526</t>
  </si>
  <si>
    <t>D-72001(x1000) + D-72001-50(x2)</t>
  </si>
  <si>
    <t>PR-D-72001-2000+150-0526</t>
  </si>
  <si>
    <t>D-72001(x2000) + D-72001-50(x3)</t>
  </si>
  <si>
    <t>Disco de Sierra P/Madera 7-1/4" 185x25.4 mm 24D</t>
  </si>
  <si>
    <t>E-29608</t>
  </si>
  <si>
    <t>NEW SET DE DADOS DE IMPACTO 6PZ CON ENCASTRE DE 3/4"</t>
  </si>
  <si>
    <t>E-31077</t>
  </si>
  <si>
    <t>NEW UNIVERSAL JOINT FOR 1/2"SQ DRIVE 63mm</t>
  </si>
  <si>
    <t>E-31083</t>
  </si>
  <si>
    <t>NEW UNIVERSAL JOINT FOR 3/4"SQ DRIVE 92mm</t>
  </si>
  <si>
    <t>E-31108</t>
  </si>
  <si>
    <t>NEW ADAPTADOR DE DADO DE IMPACTO DE 1/2" A 3/8" 38mm</t>
  </si>
  <si>
    <t>E-31120</t>
  </si>
  <si>
    <t>NEW BARRA DE EXTENSIÓN PARA LLAVE DE IMPACTO DE 3/4" CUADRADA, 175 mm</t>
  </si>
  <si>
    <t>E-31136</t>
  </si>
  <si>
    <t>NEW BARRA DE EXTENSIÓN PARA LLAVE DE IMPACTO DE 3/4" CUADRADA, 250 mm</t>
  </si>
  <si>
    <t>E-31170</t>
  </si>
  <si>
    <t>MAG BOOST IMPACT PREMIER 5PCS</t>
  </si>
  <si>
    <t>E-31186</t>
  </si>
  <si>
    <t>NEW TORSION BIT IMPACT PREMIER E-FORM PH2X50mm WITH MAG BOOST</t>
  </si>
  <si>
    <t>E-31192</t>
  </si>
  <si>
    <t>NEW TORSION BIT IMPACT PREMIER E-FORM PZ2X50mm WITH MAG BOOST</t>
  </si>
  <si>
    <t>SC003GZK-SAMPLE</t>
  </si>
  <si>
    <t>NEW CORDLESS STEEL ROD CUTTER</t>
  </si>
  <si>
    <t>Mezclador 1600W  140mm (5-1/2")/Cap. 90Lts/2 Velocidades</t>
  </si>
  <si>
    <t>Perforador Redondo, 5/8" (16 mm) P/ DPP200</t>
  </si>
  <si>
    <t>SRA25</t>
  </si>
  <si>
    <t>NEW GUIA PILOTO DE 1"" (12 mm a 50 mm) PARA BROCA (WELDON)</t>
  </si>
  <si>
    <t>SRA50</t>
  </si>
  <si>
    <t>NEW GUIA PILOTO DE 2"" (12 mm a 50 mm) PARA BROCA (WELDON)</t>
  </si>
  <si>
    <t>JV0800K</t>
  </si>
  <si>
    <t>JV0801K</t>
  </si>
  <si>
    <t>VC016GZ</t>
  </si>
  <si>
    <t>DLX2580V02</t>
  </si>
  <si>
    <t>DHP490+DTD158+BLB182(×2)+DCB18WA+Toolbag</t>
  </si>
  <si>
    <t>Sopladora/Aspiradora inal. (5.0N - 6.8 m3/min) Bolsa 25 L 40V XGT BL XPT (Sin Batería/Cargador)</t>
  </si>
  <si>
    <t>Carretilla Cortahierbas a batería 40V XGT / 500 mm (Sin Batería/Cargador)</t>
  </si>
  <si>
    <t>DLX2579F01</t>
  </si>
  <si>
    <t>KIT COMBO LXT.</t>
  </si>
  <si>
    <t>DLX3193TJ</t>
  </si>
  <si>
    <t>DWR280Z-SAMPLE</t>
  </si>
  <si>
    <t>DWR281Z-SAMPLE</t>
  </si>
  <si>
    <t>CS004GZ-SAMPLE</t>
  </si>
  <si>
    <t>NEW 150MM CORDLESS METAL CUTTER</t>
  </si>
  <si>
    <t>Carrete de acero garbanizado 0.8mm x50 und P/Amarradora DTR180/DTR181</t>
  </si>
  <si>
    <t>Carrete recubrimiento de polietileno 0.8mm x50 und P/Amarradora DTR180/DTR181</t>
  </si>
  <si>
    <t>Carrete de acero recogido negro 0.81 x50 und P/Amarradora DTR180/DTR181</t>
  </si>
  <si>
    <t>Carrete de acero  0.8mm x50 und P/Amarradora DTR180/DTR181</t>
  </si>
  <si>
    <t>TWAADP002G</t>
  </si>
  <si>
    <t>ADAPTADOR USB PARA ADP002G</t>
  </si>
  <si>
    <t>TWAADP15</t>
  </si>
  <si>
    <t>ADAPTADOR USB PARA ADP15</t>
  </si>
  <si>
    <t>Z74157-0</t>
  </si>
  <si>
    <t>DISPLAY BATTERY BL18120</t>
  </si>
  <si>
    <t>Z74158-0</t>
  </si>
  <si>
    <t>DISPLAY BATTERY BL1890</t>
  </si>
  <si>
    <t>1918M5-1</t>
  </si>
  <si>
    <t>NEW SET DE DADOS</t>
  </si>
  <si>
    <t>1918T8-4</t>
  </si>
  <si>
    <t>JUEGO DE GANCHOS P/ JR004G</t>
  </si>
  <si>
    <t>1918U0-7</t>
  </si>
  <si>
    <t>BOQUILLA PARA POLVO P/ JR004G</t>
  </si>
  <si>
    <t>197922-4</t>
  </si>
  <si>
    <t>NEW CONJUNTO DE ALMOHADILLA 125</t>
  </si>
  <si>
    <t>LM004GZ-5.0X</t>
  </si>
  <si>
    <t>LM004GZ(x1) + 632X12-5(x1) + 630B63-0(x1)</t>
  </si>
  <si>
    <t>LM004GZ-8.0X</t>
  </si>
  <si>
    <t>LM004GZ(x1) + 632X21-4(x1) + 630B63-0(x1)</t>
  </si>
  <si>
    <t>LM002GZ-5.0X</t>
  </si>
  <si>
    <t>LM002GZ(x1) + 632X12-5(x2) + 630C46-6(x1)</t>
  </si>
  <si>
    <t>LM002GZ-8.0X</t>
  </si>
  <si>
    <t>LM002GZ(x1) + 632X21-4(x2) + 630C46-6(x1)</t>
  </si>
  <si>
    <t>UR002GZ-5.0X</t>
  </si>
  <si>
    <t>UR002GZ(x1) + 632X12-5(x1) + 630B63-0(x1)</t>
  </si>
  <si>
    <t>UR002GZ-8.0X</t>
  </si>
  <si>
    <t>UR002GZ(x1) + 632X21-4(x1) + 630B63-0(x1)</t>
  </si>
  <si>
    <t>UR016GZ-5.0X</t>
  </si>
  <si>
    <t>UR016GZ(x1) + 632X12-5(x1) + 630B63-0(x1)</t>
  </si>
  <si>
    <t>UR006GZ02-5.0X</t>
  </si>
  <si>
    <t>UR006GZ02(x1) + 632X12-5(x1) + 630B63-0(x1)</t>
  </si>
  <si>
    <t>UR006GZ02-8.0X</t>
  </si>
  <si>
    <t>UR006GZ02(x1) + 632X21-4(x1) + 630B63-0(x1)</t>
  </si>
  <si>
    <t>UR013GZ03-5.0X</t>
  </si>
  <si>
    <t>UR013GZ03(x1) + 632X12-5(x1) + 630B63-0(x1)</t>
  </si>
  <si>
    <t>UR013GZ03-8.0X</t>
  </si>
  <si>
    <t>UR013GZ03(x1) + 632X21-4(x1) + 630B63-0(x1)</t>
  </si>
  <si>
    <t>UR012GZ02-8.0X</t>
  </si>
  <si>
    <t>UR012GZ02(x1) + 632X21-4(x2) + 630C46-6(x1)</t>
  </si>
  <si>
    <t>UR012GZ02-5.0X</t>
  </si>
  <si>
    <t>UR012GZ02(x1) + 632X12-5(x2) + 630C46-6(x1)</t>
  </si>
  <si>
    <t>UC029GZ01-4.0XF</t>
  </si>
  <si>
    <t>UC029GZ01(x1) + 632X04-4(x1) + 630B63-0(x1)</t>
  </si>
  <si>
    <t>UC029GZ-4.0XF</t>
  </si>
  <si>
    <t>UC029GZ(x1) + 632X04-4(x1) + 630B63-0(x1)</t>
  </si>
  <si>
    <t>UC029GZ01-5.0X</t>
  </si>
  <si>
    <t>UC029GZ01(x1) + 632X12-5(x1) + 630B63-0(x1)</t>
  </si>
  <si>
    <t>UC029GZ-5.0X</t>
  </si>
  <si>
    <t>UC029GZ(x1) + 632X12-5(x1) + 630B63-0(x1)</t>
  </si>
  <si>
    <t>UC021GZ-4.0XF</t>
  </si>
  <si>
    <t>UC021GZ(x1) + 632X04-4(x1) + 630B63-0(x1)</t>
  </si>
  <si>
    <t>UC021GZ-5.0X</t>
  </si>
  <si>
    <t>UC021GZ(x1) + 632X12-5(x1) + 630B63-0(x1)</t>
  </si>
  <si>
    <t>UC031GZ-4.0XF</t>
  </si>
  <si>
    <t>UC031GZ(x1) + 632X04-4(x1) + 630B63-0(x1)</t>
  </si>
  <si>
    <t>UC031GZ-5.0X</t>
  </si>
  <si>
    <t>UC031GZ(x1) + 632X12-5(x1) + 630B63-0(x1)</t>
  </si>
  <si>
    <t>UC004GZ01-5.0X</t>
  </si>
  <si>
    <t>UC004GZ01(x1) + 632X12-5(x1) + 630B63-0(x1)</t>
  </si>
  <si>
    <t>UC004GZ01-4.0XF</t>
  </si>
  <si>
    <t>UC004GZ01(x1) + 632X04-4(x1) + 630B63-0(x1)</t>
  </si>
  <si>
    <t>UC016GZ02-5.0X</t>
  </si>
  <si>
    <t>UC016GZ02(x1) + 632X12-5(x1) + 630B63-0(x1)</t>
  </si>
  <si>
    <t>UC016GZ02-8.0X</t>
  </si>
  <si>
    <t>UC016GZ02(x1) + 632X21-4(x1) + 630B63-0(x1)</t>
  </si>
  <si>
    <t>UC030GZ-8.0X</t>
  </si>
  <si>
    <t>UC030GZ(x1) + 632X21-4(x1) + 630B63-0(x1)</t>
  </si>
  <si>
    <t>UH008GZ-5.0X</t>
  </si>
  <si>
    <t>UH008GZ(x1) + 632X12-5(x1) + 630B63-0(x1)</t>
  </si>
  <si>
    <t>UH008GZ-4.0XF</t>
  </si>
  <si>
    <t>UH008GZ(x1) + 632X04-4(x1) + 630B63-0(x1)</t>
  </si>
  <si>
    <t>UH009GZ-5.0X</t>
  </si>
  <si>
    <t>UH009GZ(x1) + 632X12-5(x1) + 630B63-0(x1)</t>
  </si>
  <si>
    <t>UH009GZ-4.0XF</t>
  </si>
  <si>
    <t>UH009GZ(x1) + 632X04-4(x1) + 630B63-0(x1)</t>
  </si>
  <si>
    <t>UH009GZ-8.0X</t>
  </si>
  <si>
    <t>UH009GZ(x1) + 632X21-4(x1) + 630B63-0(x1)</t>
  </si>
  <si>
    <t>UN001GZ-5.0X</t>
  </si>
  <si>
    <t>UN001GZ(x1) + 632X12-5(x1) + 630B63-0(x1)</t>
  </si>
  <si>
    <t>UN001GZ-4.0XF</t>
  </si>
  <si>
    <t>UN001GZ(x1) + 632X04-4(x1) + 630B63-0(x1)</t>
  </si>
  <si>
    <t>UN001GZ-8.0X</t>
  </si>
  <si>
    <t>UN001GZ(x1) + 632X21-4(x1) + 630B63-0(x1)</t>
  </si>
  <si>
    <t>UB001GZ-5.0X</t>
  </si>
  <si>
    <t>UB001GZ(x1) + 632X12-5(x1) + 630B63-0(x1)</t>
  </si>
  <si>
    <t>UB001GZ-8.0X</t>
  </si>
  <si>
    <t>UB001GZ(x1) + 632X21-4(x1) + 630B63-0(x1)</t>
  </si>
  <si>
    <t>UB003GZ-5.0X</t>
  </si>
  <si>
    <t>UB003GZ(x1) + 632X12-5(x1) + 630B63-0(x1)</t>
  </si>
  <si>
    <t>UB003GZ-8.0X</t>
  </si>
  <si>
    <t>UB003GZ(x1) + 632X21-4(x1) + 630B63-0(x1)</t>
  </si>
  <si>
    <t>DG002GZ-5.0X</t>
  </si>
  <si>
    <t>DG002GZ(x1) + 632X12-5(x1) + 630B63-0(x1)</t>
  </si>
  <si>
    <t>DG002GZ-8.0X</t>
  </si>
  <si>
    <t>DG002GZ(x1) + 632X21-4(x1) + 630B63-0(x1)</t>
  </si>
  <si>
    <t>PM001GZ-8.0X</t>
  </si>
  <si>
    <t>PM001GZ(x1) + 632X21-4(x2) + 630C46-6(x1)</t>
  </si>
  <si>
    <t>UX01GZ-5.0X</t>
  </si>
  <si>
    <t>UX01GZ(x1) + 632X12-5(x1) + 630B63-0(x1)</t>
  </si>
  <si>
    <t>UX01GZ-8.0X</t>
  </si>
  <si>
    <t>UX01GZ(x1) + 632X21-4(x1) + 630B63-0(x1)</t>
  </si>
  <si>
    <t>UA004GZ01-5.0X</t>
  </si>
  <si>
    <t>UA004GZ01(x1) + 632X12-5(x1) + 630B63-0(x1)</t>
  </si>
  <si>
    <t>UA004GZ01-8.0X</t>
  </si>
  <si>
    <t>UA004GZ01(x1) + 632X21-4(x1) + 630B63-0(x1)</t>
  </si>
  <si>
    <t>HW001GZ-5.0X</t>
  </si>
  <si>
    <t>HW001GZ(x1) + 632X12-5(x2) + 630C46-6(x1)</t>
  </si>
  <si>
    <t>HW001GZ-8.0X</t>
  </si>
  <si>
    <t>HW001GZ(x1) + 632X21-4(x2) + 630C46-6(x1)</t>
  </si>
  <si>
    <t>UV001GZ-5.0X</t>
  </si>
  <si>
    <t>UV001GZ(x1) + 632X12-5(x2) + 630C46-6(x1)</t>
  </si>
  <si>
    <t>UV001GZ-8.0X</t>
  </si>
  <si>
    <t>UV001GZ(x1) + 632X21-4(x2) + 630C46-6(x1)</t>
  </si>
  <si>
    <t>UG001GZ-5.0X</t>
  </si>
  <si>
    <t>UG001GZ(x1) + 632X12-5(x1) + 630B63-0(x1)</t>
  </si>
  <si>
    <t>UG001GZ-8.0X</t>
  </si>
  <si>
    <t>UG001GZ(x1) + 632X21-4(x1) + 630B63-0(x1)</t>
  </si>
  <si>
    <t>UG001GZ-4.0XF</t>
  </si>
  <si>
    <t>UG001GZ(x1) + 632X04-4(x1) + 630B63-0(x1)</t>
  </si>
  <si>
    <t>UB005GZ-8.0X</t>
  </si>
  <si>
    <t>UB005GZ(x1) + 632X21-4(x1) + 630B63-0(x1)</t>
  </si>
  <si>
    <t>UB005GZ-5.0X</t>
  </si>
  <si>
    <t>UB005GZ(x1) + 632X12-5(x1) + 630B63-0(x1)</t>
  </si>
  <si>
    <t>UB005GZ-4.0XF</t>
  </si>
  <si>
    <t>UB005GZ(x1) + 632X04-4(x1) + 630B63-0(x1)</t>
  </si>
  <si>
    <t>UB004GZ-8.0X</t>
  </si>
  <si>
    <t>UB004GZ(x1) + 632X21-4(x2) + 630C46-6(x1)</t>
  </si>
  <si>
    <t>UB004GZ-8.0HE</t>
  </si>
  <si>
    <t>UB004GZ(x1) + 1916T7-4(x2) + 630C46-6(x1)</t>
  </si>
  <si>
    <t>CO-DLX2283S-0626-2</t>
  </si>
  <si>
    <t>DLX2283S(x1)+ DBO481Z(x1)</t>
  </si>
  <si>
    <t>CO-DTW1002RTJ-0626</t>
  </si>
  <si>
    <t>DTW1002RTJ(x1)+ T-04276(x1)</t>
  </si>
  <si>
    <t>DGA452RFE(x1)+ DHP487Z(x1)</t>
  </si>
  <si>
    <t>CO-DHP486Z-0626</t>
  </si>
  <si>
    <t>DHP486Z(x1)+ 632G12-3(x2)+ 630718-5(x1)</t>
  </si>
  <si>
    <t>CO-DML817-0626</t>
  </si>
  <si>
    <t>DML817(x1)+ 632G12-3(x1)+ 630718-5(x1)</t>
  </si>
  <si>
    <t>CO-GP001GZ01-0626</t>
  </si>
  <si>
    <t>GP001GZ01(x1)+ 630B63-0(x1)+ 632T21-0(x1)</t>
  </si>
  <si>
    <t>CO-TR001GZ-0626</t>
  </si>
  <si>
    <t>TR001GZ(x1)+ 632T21-0(x1)+ 630B63-0(x1)</t>
  </si>
  <si>
    <t>CO-ML013G-0626</t>
  </si>
  <si>
    <t>ML013G(x1)+ 632N82-4(x1)+ 630C66-0(x1)</t>
  </si>
  <si>
    <t>CO-DF003GZ-0626</t>
  </si>
  <si>
    <t>DF003GZ(x1)+ UB002GZ(x1)+ 632N82-4(x1)+ 630C66-0(x1)</t>
  </si>
  <si>
    <t>PR-DK0176G205-0626</t>
  </si>
  <si>
    <t>DK0176G205(x1)+ DK0178G204(x1)</t>
  </si>
  <si>
    <t>PR-CLX228-0626-PROMO-1</t>
  </si>
  <si>
    <t>CLX228(x1)+ TW141DZ(x1)+ 632F63-0(x1)</t>
  </si>
  <si>
    <t>CLX228(x1)+ JV101DZ(x1)+ 632F63-0(x1)</t>
  </si>
  <si>
    <t>PR-CLX228-0626-PROMO-4</t>
  </si>
  <si>
    <t>CLX228(x1)+ CV102DZ3XL(x1)+ 632F63-0(x1)</t>
  </si>
  <si>
    <t>PR-CLX228-0626-PROMO-8</t>
  </si>
  <si>
    <t>CLX228(x1)+ ML106(x1)+ 632F63-0(x1)</t>
  </si>
  <si>
    <t>PR-CLX228-0626-PROMO-9</t>
  </si>
  <si>
    <t>CLX228(x1)+ SD100DZ(x1)+ 632F63-0(x1)</t>
  </si>
  <si>
    <t>PR-CLX228-0626-PROMO-10</t>
  </si>
  <si>
    <t>CLX228(x1)+ TL065DZ(x1)+ 632F63-0(x1)</t>
  </si>
  <si>
    <t>PR-GA7040S-0626</t>
  </si>
  <si>
    <t>GA7040S(x1) + D-80612(x2)</t>
  </si>
  <si>
    <t>PR-GA7070-0626</t>
  </si>
  <si>
    <t>GA7070(x3) + Z71296-1(x3)</t>
  </si>
  <si>
    <t>PR-GA7090-0626</t>
  </si>
  <si>
    <t>GA7090(x2) + D-44286(x6)</t>
  </si>
  <si>
    <t>CO-GA9090-0626</t>
  </si>
  <si>
    <t>GA9090(x2) + D-44292(x6)</t>
  </si>
  <si>
    <t>CO-6905H-0626</t>
  </si>
  <si>
    <t>6905H(x1) + 6906(x1)</t>
  </si>
  <si>
    <t>CO-5007NK-0626</t>
  </si>
  <si>
    <t>5007NK(x2) + D-59427(x4)</t>
  </si>
  <si>
    <t>CO-HM0871C-0626</t>
  </si>
  <si>
    <t>HM0871C(x1) + 9564P(x1)</t>
  </si>
  <si>
    <t>CO-UT1600-0626</t>
  </si>
  <si>
    <t>UT1600(x1) + D-80503(x1)</t>
  </si>
  <si>
    <t>DCL181FZW-TELQ2-1</t>
  </si>
  <si>
    <t>DTD158RFJ(x1) + DCL181FZW(x1)</t>
  </si>
  <si>
    <t>DCL181FZW-TELQ2-2</t>
  </si>
  <si>
    <t>DHP482RFE(x1) + DCL181FZW(x1)</t>
  </si>
  <si>
    <t>DCL181FZW-TELQ2-3</t>
  </si>
  <si>
    <t>DHP490WVEX(x1) + DCL181FZW(x1)</t>
  </si>
  <si>
    <t>DCL181FZW-TELQ2-4</t>
  </si>
  <si>
    <t>DHP490WVX(x1) + DCL181FZW(x1)</t>
  </si>
  <si>
    <t>DCL181FZW-TELQ2-5</t>
  </si>
  <si>
    <t>DHP489RFJ(x1) + DCL181FZW(x1)</t>
  </si>
  <si>
    <t>1918R2-2</t>
  </si>
  <si>
    <t>NEW EXTENSION HEAD SET</t>
  </si>
  <si>
    <t>CS004GZ</t>
  </si>
  <si>
    <t>NEW CORTADORA DE METAL INALÁMBRICA DE 150mm</t>
  </si>
  <si>
    <t>DCL287FZ-SAMPLE</t>
  </si>
  <si>
    <t>DRV151Z</t>
  </si>
  <si>
    <t>NEW CORDLESS RIVET GUN 1,9 kg</t>
  </si>
  <si>
    <t>DRV151Z-SAMPLE</t>
  </si>
  <si>
    <t>NEW REMACHADORA INALÁMBRICA</t>
  </si>
  <si>
    <t>DTM54Z-SAMPLE</t>
  </si>
  <si>
    <t>NEW MULTIHERRAMIENTA INALÁMBRICA</t>
  </si>
  <si>
    <t>DTW310Z-SAMPLE</t>
  </si>
  <si>
    <t>NEW LLAVE DE IMPACTO INALAMBRICA</t>
  </si>
  <si>
    <t>HM006GZ01</t>
  </si>
  <si>
    <t>NEW MARTILLO DEMOLEDOR</t>
  </si>
  <si>
    <t>HM006GZ01-SAMPLE</t>
  </si>
  <si>
    <t>NEW CORDLESS BREAKER</t>
  </si>
  <si>
    <t>HR2821F-SAMPLE</t>
  </si>
  <si>
    <t>NEW ROTOMARTILLO COMBINADO</t>
  </si>
  <si>
    <t>HR2831-SAMPLE</t>
  </si>
  <si>
    <t>NEW ROTOMARTILLO COMBINADO 28mm</t>
  </si>
  <si>
    <t>JR004GZ-SAMPLE</t>
  </si>
  <si>
    <t>NEW CORDLESS RECIPRO SAW</t>
  </si>
  <si>
    <t>Motosierra a Batería 20" 40V XGT Rescate (Sin Accesorios/Sin Batería/Cargador)</t>
  </si>
  <si>
    <t>UC035GZ-SAMPLE</t>
  </si>
  <si>
    <t>NEW 400MM CHAIN SAW</t>
  </si>
  <si>
    <t>SC003GZK</t>
  </si>
  <si>
    <t>DCL287FZ</t>
  </si>
  <si>
    <t>TW012GU201</t>
  </si>
  <si>
    <t>TW012GZ01</t>
  </si>
  <si>
    <t>TW013GU201</t>
  </si>
  <si>
    <t>TW013GZ</t>
  </si>
  <si>
    <t>Makpack XGT 40V max baterias (x2) BL4080F +DC40RB*1+CPC TIPO3</t>
  </si>
  <si>
    <t>Makpack XGT 40V max baterias (x2) BL4050F +DC40RB*1+CPC TIPO3</t>
  </si>
  <si>
    <t>417852-6</t>
  </si>
  <si>
    <t>NEW PROTECTOR BASE P/ 4350T  4350FCT</t>
  </si>
  <si>
    <t>Desarmador Plano 6.5 x 150 mm</t>
  </si>
  <si>
    <t>1917F7-2</t>
  </si>
  <si>
    <t>CARGADOR (DC40SA) + ADAPTADOR ADP14</t>
  </si>
  <si>
    <t>KIT ADAPTADOR PARA UNIDAD INALÁMBRICA (SIN CHIP INALÁMBRICO, PRESENTACIÓN EN CARTÓN)</t>
  </si>
  <si>
    <t>KIT ADAPTADOR PARA UNIDAD INALÁMBRICA (SIN CHIP INALÁMBRICO, PRESENTACIÓN TIPO CLAMSHELL)</t>
  </si>
  <si>
    <t>KIT ADAPTADOR PARA UNIDAD INALÁMBRICA (CON CHIP INALÁMBRICO, PRESENTACIÓN EN CARTÓN)</t>
  </si>
  <si>
    <t>KIT ADAPTADOR PARA UNIDAD INALÁMBRICA (CON CHIP INALÁMBRICO, PRESENTACIÓN TIPO CLAMSHELL)</t>
  </si>
  <si>
    <t>Pro Pack Disco Flap Zirconio 125mm Z60 (D-63753) total 15 pzs</t>
  </si>
  <si>
    <t>Set de puntas torsion Impact Premier (PH,PZ,SL,T,H) 1/4" + Adaptador magnetico 31 pzs</t>
  </si>
  <si>
    <t>Set de puntas torsion Impact Premier (PH, PZ,T) 1/4" + Adaptador magnetico 31 pzs</t>
  </si>
  <si>
    <t>Juego de puntas de torsión C y E con porta puntas Impact Premier (27 pzs)</t>
  </si>
  <si>
    <t>CO-DLX2283S-0726-1</t>
  </si>
  <si>
    <t>DLX2283S(x1)+ DTW181Z(x1)</t>
  </si>
  <si>
    <t>CO-DLX2283S-0726-3</t>
  </si>
  <si>
    <t>DLX2283S(x1)+ DMC300Z(x1)</t>
  </si>
  <si>
    <t>CO-DLX2283S-0726-4</t>
  </si>
  <si>
    <t>DLX2283S(x1)+ DMP181Z(x1)</t>
  </si>
  <si>
    <t>CO-DLX2283S-0726-5</t>
  </si>
  <si>
    <t>DLX2283S(x1)+ DHR182Z(x1)</t>
  </si>
  <si>
    <t>CO-DLX2283S-0726-6</t>
  </si>
  <si>
    <t>DLX2283S(x1)+ DJV184Z(x1)</t>
  </si>
  <si>
    <t>CO-DHP489RFJ-0726</t>
  </si>
  <si>
    <t>DHP489RFJ(x1)+ E-22925(x1)</t>
  </si>
  <si>
    <t>PR-DHP458RFE-0726</t>
  </si>
  <si>
    <t>DHP458RFE(x1)+ E-25096(x1)</t>
  </si>
  <si>
    <t>CO-DHP490WVEX-0726</t>
  </si>
  <si>
    <t>DHP490WVEX(x1)+ D-70471(x1)+ T-04276(x1)</t>
  </si>
  <si>
    <t>CO-DRT52Z-0726</t>
  </si>
  <si>
    <t>DRT52Z(x1)+ DTD158RFJ(x1)</t>
  </si>
  <si>
    <t>CO-DHS660Z-0726</t>
  </si>
  <si>
    <t>DHS660Z(x1)+ D-03349(x1)+ 630718-5(x1)+ 632F15-1(x2)</t>
  </si>
  <si>
    <t>CO-DTR180ZJ-0726</t>
  </si>
  <si>
    <t>DTR180ZJ(x1)+ 630718-5(x1)+ 632F15-1(x2)</t>
  </si>
  <si>
    <t>CO-DMR203-0726</t>
  </si>
  <si>
    <t>DMR203(x1)+ 630718-5(x1)+ 632G12-3(x1)</t>
  </si>
  <si>
    <t>CO-DCS553Z-0726</t>
  </si>
  <si>
    <t>DCS553Z(x1)+ 630718-5(x1)+ 632F15-1(x2)</t>
  </si>
  <si>
    <t>CO-DGA452RFE-0726</t>
  </si>
  <si>
    <t>CO-DJR186Z-0726</t>
  </si>
  <si>
    <t>DJR186Z(x1)+ DHP482RFE(x1)</t>
  </si>
  <si>
    <t>CO-DML808-0726</t>
  </si>
  <si>
    <t>DML808(x1)+ 632G12-3(x1)+ 630718-5(x1)</t>
  </si>
  <si>
    <t>CO-DML814-0726</t>
  </si>
  <si>
    <t>DML814(x1)+ 632G12-3(x1)+ 630718-5(x1)</t>
  </si>
  <si>
    <t>CO-GA056GZ-0726</t>
  </si>
  <si>
    <t>GA056GZ(x1)+ PSKGPT2J(x1)</t>
  </si>
  <si>
    <t>CO-TW002GM201-0726</t>
  </si>
  <si>
    <t>TW002GM201(x1)+ HR010GZ(x1)+ E-16221(x2)+ E-16237(x2)</t>
  </si>
  <si>
    <t>CO-GA049GZ-0726-X1</t>
  </si>
  <si>
    <t>GA049GZ(x1)+ DF001GZ(x1)+ 632X04-4(x4)+ 630C46-6(x1)+ d-72001-50(x1)</t>
  </si>
  <si>
    <t>CO-HS004GZ-0726</t>
  </si>
  <si>
    <t>HS004GZ(x1)+ JV001GZ(x1)+ KP001GZ(x1)+ PSKGPT2J(x1)</t>
  </si>
  <si>
    <t>CO-PB003GZ-0726</t>
  </si>
  <si>
    <t>PB003GZ(x1)+ PSKGPT2J(x1)+ Z71296-1(x1)</t>
  </si>
  <si>
    <t>CO-HR003GZ-0726</t>
  </si>
  <si>
    <t>HR003GZ(x1)+ 630B63-0(x1)+ 632X04-4(x1)+ D-42444(x1)</t>
  </si>
  <si>
    <t>CO-TW010GT201-0726</t>
  </si>
  <si>
    <t>TW010GT201(x1)+ E-24739(x1)+ E-24745(x1)+ E-24751(x1)+ E-24767(x1)</t>
  </si>
  <si>
    <t>CO-VR001GZ-0726-1</t>
  </si>
  <si>
    <t>VR001GZ(x1)+ 632X04-4(x2)+ 630B63-0(x1)+ 1910C2-9(x1)</t>
  </si>
  <si>
    <t>CO-JR003GZ-0726</t>
  </si>
  <si>
    <t>JR003GZ(x1)+ 632X04-4(x1)+ 630B63-0(x1)+ E-26593(x1)</t>
  </si>
  <si>
    <t>CO-GA049GZ-0726</t>
  </si>
  <si>
    <t>GA049GZ(x1)+ TW002GM201(x1)+ E-16081(x1)+ E-16156(x1)+ E-16237(x1)</t>
  </si>
  <si>
    <t>CO-HR006GZ-0726-MIN-40F</t>
  </si>
  <si>
    <t>HR006GZ(x1)+ ML011G(x1)+ PSKGPT2J(x1)+ 632X04-4(x2)+ E-18007(x1)+ E-18013(x1)</t>
  </si>
  <si>
    <t>PR-CLX228-0726-PROMO-X2</t>
  </si>
  <si>
    <t>PR-CLX228-0726-PROMO-X3</t>
  </si>
  <si>
    <t>CLX228(x1)+ TW160DZ(x1)+ 632F63-0(x1)</t>
  </si>
  <si>
    <t>PR-CLX228-0726-PROMO-X5</t>
  </si>
  <si>
    <t>CLX228(x1)+ DF333DSMJ(x1)+ 632F63-0(x1)</t>
  </si>
  <si>
    <t>PR-CLX228-0726-PROMO-X6</t>
  </si>
  <si>
    <t>CLX228(x1)+ DF332DZ(x1)+ 632F63-0(x1)</t>
  </si>
  <si>
    <t>PR-CLX228-0726-PROMO-X7</t>
  </si>
  <si>
    <t>CLX228(x1)+ JR103DZ(x1)+ 632F63-0(x1)</t>
  </si>
  <si>
    <t>CO-JR3051TK-0526</t>
  </si>
  <si>
    <t>JR3051TK(x2) + D-80341(x2)</t>
  </si>
  <si>
    <t>CO-9557HPG-JUL26-X10</t>
  </si>
  <si>
    <t>9557HPG(x10) + D-79572(x30)</t>
  </si>
  <si>
    <t>CO-9557HPG-JUL26-X20</t>
  </si>
  <si>
    <t>9557HPG(x20) + D-79572(x120)</t>
  </si>
  <si>
    <t>CO-MLT100-0726</t>
  </si>
  <si>
    <t>MLT100(x1) + D-81103(x1) + Z71296-1(x1)</t>
  </si>
  <si>
    <t>CO-LS1040-0726</t>
  </si>
  <si>
    <t>CO-4350FCT-0726</t>
  </si>
  <si>
    <t>4350FCT(x1) + A-80400(x3)</t>
  </si>
  <si>
    <t>PR-AF601-0726</t>
  </si>
  <si>
    <t>AF601(x2)</t>
  </si>
  <si>
    <t>CO-GA4550-0726</t>
  </si>
  <si>
    <t>GA4550(x1) + D-79572(x5)</t>
  </si>
  <si>
    <t>PR-PJ7000-0726</t>
  </si>
  <si>
    <t>PJ7000(x2)</t>
  </si>
  <si>
    <t>PR-HG5030K-0726</t>
  </si>
  <si>
    <t>HG5030K(x4)</t>
  </si>
  <si>
    <t>CO-GD0800C-0726</t>
  </si>
  <si>
    <t>GD0800C(x1) + B-53104-10(x1)</t>
  </si>
  <si>
    <t>CO-HG6530VK-0726</t>
  </si>
  <si>
    <t>HG6530VK(x2) + 3709(x2)</t>
  </si>
  <si>
    <t>PR-M0801KB-0726</t>
  </si>
  <si>
    <t>M0801KB(x6)</t>
  </si>
  <si>
    <t>CO-VR1000-0425-1</t>
  </si>
  <si>
    <t>VR1000(x1) + 1914R5-2(x1)</t>
  </si>
  <si>
    <t>CO-HR2230-0726</t>
  </si>
  <si>
    <t>HR2230(x1) + HR2641(x1)</t>
  </si>
  <si>
    <t>CO-GA9020-0726</t>
  </si>
  <si>
    <t>GA9020(x1) + D-44292(x10)</t>
  </si>
  <si>
    <t>CO-GS5000-0526</t>
  </si>
  <si>
    <t>GS5000(x1) + GS6000(x1)</t>
  </si>
  <si>
    <t>CO-GA4593X03-0726</t>
  </si>
  <si>
    <t>GA4593X03(x1) + T-04282(x1)</t>
  </si>
  <si>
    <t>CO-E-26814-2-E-135522-2-0726</t>
  </si>
  <si>
    <t>E-26814(x2) + E-13552(x2)</t>
  </si>
  <si>
    <t>CO-E-26836-3-0726</t>
  </si>
  <si>
    <t>E-26836(x3)</t>
  </si>
  <si>
    <t>CO-BRO-AUTOALIMENT-5-0726</t>
  </si>
  <si>
    <t>E-27539(x1) + E-27551(x1)+ E-27589(x1)+ E-27595(x1)+ E-27604(x1)</t>
  </si>
  <si>
    <t>CO-PROPACK-FLAP(x90)-0726</t>
  </si>
  <si>
    <t>D-82856(x2) + D-82834(x2)+ D-82840(x2)</t>
  </si>
  <si>
    <t>CO-FLAP-160-0726</t>
  </si>
  <si>
    <t>D-63432(x50) + D-63448(x30)+ D-63454(x50)+ D-63460(x30)</t>
  </si>
  <si>
    <t>CO-D-18459-20-5-0726</t>
  </si>
  <si>
    <t>D-18459-20(x5)</t>
  </si>
  <si>
    <t>CO-D-18459-20+B-29016-0726</t>
  </si>
  <si>
    <t>D-18459-20(x5) + B-29016(x50)</t>
  </si>
  <si>
    <t>CO-B-29016-30+B-28977-30-0726</t>
  </si>
  <si>
    <t>B-29016(x30) + B-28977(x30)</t>
  </si>
  <si>
    <t>CO-B-10730-5-1000+M240B-1-0726</t>
  </si>
  <si>
    <t>B-10730-5(x200) + M2401B(x1)</t>
  </si>
  <si>
    <t>CO-B-10730-5-2000+M240B-1-0726</t>
  </si>
  <si>
    <t>B-10730-5(x400) + M2401B(x1)</t>
  </si>
  <si>
    <t>CO-BROCAS-WELDON-27-0726</t>
  </si>
  <si>
    <t>BROCAS-WELDON-S(x9)-L(x18)+PILOT</t>
  </si>
  <si>
    <t>CO-BROCAS-WELDON-26-0726</t>
  </si>
  <si>
    <t>BROCAS-WELDON-S(x12)-L(x14)+PILOT</t>
  </si>
  <si>
    <t>CO-GRATAS-38-0726</t>
  </si>
  <si>
    <t>D-29561(x19) + D-24153(x8)+ D-24131(x5)+ D-29290(x3)+ D-78570(x3)</t>
  </si>
  <si>
    <t>CO-GRATAS-40-0726</t>
  </si>
  <si>
    <t>D-29561(x14) + D-24153(x8)+ D-24131(x4)+ D-29290(x3)+D-78570(x3)+D-66070(x2)+D-29555(x2)+D-29577(x2)+D-29284(x1)+D-55413(x1)</t>
  </si>
  <si>
    <t>CO-RUEDAS-ABRASIVAS-5-0726</t>
  </si>
  <si>
    <t>B-51976(x1) + B-51960(x1)+ B-51954(x1)+ B-51926(x1)+B-51948(x1)</t>
  </si>
  <si>
    <t>CO-B-51976-5-B-51948-5-0726</t>
  </si>
  <si>
    <t>B-51976(x5) + B-51948(x5)</t>
  </si>
  <si>
    <t>CO-B-53001-10+B-53095-10-0726</t>
  </si>
  <si>
    <t>B-53001-10(x1) + B-53095-10(x1)</t>
  </si>
  <si>
    <t>CO-FRESAS-CARBU-4-0726</t>
  </si>
  <si>
    <t>B-53001-10(x1) + B-53051-10(x1)+ B-53095-10(x1)+ B-53104-10(x1)</t>
  </si>
  <si>
    <t>CO-B-38679-3-0726</t>
  </si>
  <si>
    <t>B-38679(x3)</t>
  </si>
  <si>
    <t>CO-BROCA-HSS-GS-6-0726</t>
  </si>
  <si>
    <t>D-80818(x1) + D-80830(x1)+ D-80852(x1)+ D-80868(x1)+D-80874(x1)+D-80896(x1)</t>
  </si>
  <si>
    <t>CO-E-12289-3-0726</t>
  </si>
  <si>
    <t>E-12289(x3)</t>
  </si>
  <si>
    <t>CO-E-15768+E-22925-0726</t>
  </si>
  <si>
    <t>E-15768(x3) + E-22925(x3)</t>
  </si>
  <si>
    <t>CO-B-38853-5-0726</t>
  </si>
  <si>
    <t>B-38853(x5)</t>
  </si>
  <si>
    <t>CO-DADO-MAGNETICO-16-0726</t>
  </si>
  <si>
    <t>B-45082(x5) + B-38722(x3)+ B-45107(x3)+ B-45076(x2)+B-45098(x2)+B-38906(x1)</t>
  </si>
  <si>
    <t>CO-UC4041A-UC016N2</t>
  </si>
  <si>
    <t>UC4041A(x5) + UC016GZ02(x1)</t>
  </si>
  <si>
    <t>CO-UC4041A-DUC407ZX3</t>
  </si>
  <si>
    <t>UC4041A(x5) + DUC407ZX3(x1)</t>
  </si>
  <si>
    <t>CO-UC4041A-DUR192N2</t>
  </si>
  <si>
    <t>UC4041A(x5) + DUR192LSF(x1)</t>
  </si>
  <si>
    <t>CO-UC4041A-DUB184ZN</t>
  </si>
  <si>
    <t>UC4041A(x5) + DUB184Z(x2)</t>
  </si>
  <si>
    <t>CO-UC4551A-DUC407N</t>
  </si>
  <si>
    <t>UC4551A(x4) + DUC407ZX3(x1)</t>
  </si>
  <si>
    <t>CO-UC4551A-DUB184Z</t>
  </si>
  <si>
    <t>UC4551A(x4) + DUB184Z(x2)</t>
  </si>
  <si>
    <t>DCL181FZW-S-Q2</t>
  </si>
  <si>
    <t>DCL181FZW(x1) + DUB185Z(x1) + 632G12-3(x1)+ 630718-5(x1)</t>
  </si>
  <si>
    <t>DVC350Z-LQ2</t>
  </si>
  <si>
    <t>DVC350Z(x1) + DBO481Z(x1) + 632G12-3(x1)+ 630718-5(x1)</t>
  </si>
  <si>
    <t>DVC750LZ-LQ2</t>
  </si>
  <si>
    <t>DVC750LZ(x1) + DBO481Z(x1) + 632G12-3(x1)+ 630718-5(x1)</t>
  </si>
  <si>
    <t>VC013GLZ-LQ2</t>
  </si>
  <si>
    <t>VC013GLZ(x1) + BO003CGZ(x1) + 632X12-5(x1)+ 630C66-0(x1)</t>
  </si>
  <si>
    <t>E-16190</t>
  </si>
  <si>
    <t>1918S1-1</t>
  </si>
  <si>
    <t>NEW - PROTECTION COVER SET</t>
  </si>
  <si>
    <t>MD00000003</t>
  </si>
  <si>
    <t>NEW Carry Tool Drawer</t>
  </si>
  <si>
    <t>MD00000004</t>
  </si>
  <si>
    <t>MD00000005</t>
  </si>
  <si>
    <t>MD00000006</t>
  </si>
  <si>
    <t>NEW TOOL CONTNAINER</t>
  </si>
  <si>
    <t>MD00000007</t>
  </si>
  <si>
    <t>781043-8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</si>
</sst>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_-&quot;S/&quot;* #,##0.00_-;\-&quot;S/&quot;* #,##0.00_-;_-&quot;S/&quot;* &quot;-&quot;??_-;_-@_-"/>
    <numFmt numFmtId="166" formatCode="0.0000"/>
    <numFmt numFmtId="167" formatCode="&quot;S/&quot;\ #,##0.00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8"/>
      <color theme="0"/>
      <name val="Arial"/>
      <family val="2"/>
    </font>
    <font>
      <sz val="9"/>
      <color rgb="FF008396"/>
      <name val="Arial"/>
      <family val="2"/>
    </font>
    <font>
      <sz val="9"/>
      <color theme="1"/>
      <name val="Arial"/>
      <family val="2"/>
    </font>
    <font>
      <b/>
      <sz val="22"/>
      <color theme="0"/>
      <name val="Arial"/>
      <family val="2"/>
    </font>
    <font>
      <sz val="9"/>
      <color theme="0" tint="-0.1499984740745262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b/>
      <i/>
      <u/>
      <sz val="9"/>
      <name val="Arial"/>
      <family val="2"/>
    </font>
    <font>
      <b/>
      <sz val="10"/>
      <name val="Arial"/>
      <family val="2"/>
    </font>
    <font>
      <b/>
      <i/>
      <sz val="9"/>
      <color rgb="FFC00000"/>
      <name val="Arial"/>
      <family val="2"/>
    </font>
    <font>
      <i/>
      <sz val="9"/>
      <color rgb="FFC00000"/>
      <name val="Arial"/>
      <family val="2"/>
    </font>
    <font>
      <i/>
      <sz val="11"/>
      <color rgb="FFC00000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i/>
      <sz val="8"/>
      <color rgb="FFC00000"/>
      <name val="Arial"/>
      <family val="2"/>
    </font>
    <font>
      <b/>
      <u/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b/>
      <sz val="8"/>
      <color theme="0"/>
      <name val="Arial"/>
      <family val="2"/>
    </font>
    <font>
      <b/>
      <sz val="8"/>
      <color theme="0" tint="-0.14999847407452621"/>
      <name val="Arial"/>
      <family val="2"/>
    </font>
    <font>
      <b/>
      <sz val="10"/>
      <color theme="1"/>
      <name val="Calibri"/>
      <family val="2"/>
      <scheme val="minor"/>
    </font>
    <font>
      <sz val="8"/>
      <color theme="0" tint="-0.14999847407452621"/>
      <name val="Arial"/>
      <family val="2"/>
    </font>
    <font>
      <b/>
      <u val="singleAccounting"/>
      <sz val="8"/>
      <color theme="0"/>
      <name val="Arial"/>
      <family val="2"/>
    </font>
    <font>
      <b/>
      <sz val="8"/>
      <color rgb="FF009999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i/>
      <sz val="8"/>
      <color theme="1" tint="0.499984740745262"/>
      <name val="Arial"/>
      <family val="2"/>
    </font>
    <font>
      <b/>
      <i/>
      <sz val="7"/>
      <color theme="1" tint="0.499984740745262"/>
      <name val="Arial"/>
      <family val="2"/>
    </font>
    <font>
      <sz val="8"/>
      <name val="Calibri"/>
      <family val="2"/>
      <scheme val="minor"/>
    </font>
    <font>
      <b/>
      <sz val="9"/>
      <color rgb="FF009999"/>
      <name val="Arial"/>
      <family val="2"/>
    </font>
    <font>
      <sz val="11"/>
      <color theme="1"/>
      <name val="Calibri"/>
      <family val="2"/>
      <charset val="238"/>
      <scheme val="minor"/>
    </font>
    <font>
      <b/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8396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C829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</fills>
  <borders count="3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2" fillId="0" borderId="0"/>
    <xf numFmtId="0" fontId="43" fillId="0" borderId="0" applyNumberFormat="0" applyFill="0" applyBorder="0" applyAlignment="0" applyProtection="0"/>
    <xf numFmtId="0" fontId="44" fillId="0" borderId="27" applyNumberFormat="0" applyFill="0" applyAlignment="0" applyProtection="0"/>
    <xf numFmtId="0" fontId="45" fillId="0" borderId="28" applyNumberFormat="0" applyFill="0" applyAlignment="0" applyProtection="0"/>
    <xf numFmtId="0" fontId="46" fillId="0" borderId="29" applyNumberFormat="0" applyFill="0" applyAlignment="0" applyProtection="0"/>
    <xf numFmtId="0" fontId="46" fillId="0" borderId="0" applyNumberFormat="0" applyFill="0" applyBorder="0" applyAlignment="0" applyProtection="0"/>
    <xf numFmtId="0" fontId="47" fillId="14" borderId="0" applyNumberFormat="0" applyBorder="0" applyAlignment="0" applyProtection="0"/>
    <xf numFmtId="0" fontId="48" fillId="15" borderId="0" applyNumberFormat="0" applyBorder="0" applyAlignment="0" applyProtection="0"/>
    <xf numFmtId="0" fontId="49" fillId="16" borderId="0" applyNumberFormat="0" applyBorder="0" applyAlignment="0" applyProtection="0"/>
    <xf numFmtId="0" fontId="50" fillId="17" borderId="30" applyNumberFormat="0" applyAlignment="0" applyProtection="0"/>
    <xf numFmtId="0" fontId="51" fillId="18" borderId="31" applyNumberFormat="0" applyAlignment="0" applyProtection="0"/>
    <xf numFmtId="0" fontId="52" fillId="18" borderId="30" applyNumberFormat="0" applyAlignment="0" applyProtection="0"/>
    <xf numFmtId="0" fontId="53" fillId="0" borderId="32" applyNumberFormat="0" applyFill="0" applyAlignment="0" applyProtection="0"/>
    <xf numFmtId="0" fontId="54" fillId="19" borderId="33" applyNumberFormat="0" applyAlignment="0" applyProtection="0"/>
    <xf numFmtId="0" fontId="55" fillId="0" borderId="0" applyNumberFormat="0" applyFill="0" applyBorder="0" applyAlignment="0" applyProtection="0"/>
    <xf numFmtId="0" fontId="42" fillId="20" borderId="34" applyNumberFormat="0" applyFont="0" applyAlignment="0" applyProtection="0"/>
    <xf numFmtId="0" fontId="56" fillId="0" borderId="0" applyNumberFormat="0" applyFill="0" applyBorder="0" applyAlignment="0" applyProtection="0"/>
    <xf numFmtId="0" fontId="57" fillId="0" borderId="35" applyNumberFormat="0" applyFill="0" applyAlignment="0" applyProtection="0"/>
    <xf numFmtId="0" fontId="58" fillId="21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58" fillId="28" borderId="0" applyNumberFormat="0" applyBorder="0" applyAlignment="0" applyProtection="0"/>
    <xf numFmtId="0" fontId="58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58" fillId="32" borderId="0" applyNumberFormat="0" applyBorder="0" applyAlignment="0" applyProtection="0"/>
    <xf numFmtId="0" fontId="58" fillId="33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58" fillId="36" borderId="0" applyNumberFormat="0" applyBorder="0" applyAlignment="0" applyProtection="0"/>
    <xf numFmtId="0" fontId="58" fillId="37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58" fillId="40" borderId="0" applyNumberFormat="0" applyBorder="0" applyAlignment="0" applyProtection="0"/>
    <xf numFmtId="0" fontId="58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58" fillId="44" borderId="0" applyNumberFormat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9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2" fillId="0" borderId="0"/>
  </cellStyleXfs>
  <cellXfs count="141">
    <xf numFmtId="0" fontId="0" fillId="0" borderId="0" xfId="0"/>
    <xf numFmtId="0" fontId="2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49" fontId="5" fillId="2" borderId="0" xfId="0" applyNumberFormat="1" applyFont="1" applyFill="1" applyAlignment="1" applyProtection="1">
      <alignment horizontal="right" vertical="center"/>
      <protection locked="0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4" fontId="7" fillId="0" borderId="0" xfId="0" applyNumberFormat="1" applyFont="1" applyAlignment="1" applyProtection="1">
      <alignment horizontal="right" vertical="center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 applyProtection="1">
      <alignment vertical="center"/>
      <protection locked="0"/>
    </xf>
    <xf numFmtId="49" fontId="9" fillId="0" borderId="0" xfId="0" applyNumberFormat="1" applyFont="1" applyAlignment="1" applyProtection="1">
      <alignment horizontal="right" vertical="center"/>
      <protection locked="0"/>
    </xf>
    <xf numFmtId="0" fontId="10" fillId="3" borderId="2" xfId="0" applyFont="1" applyFill="1" applyBorder="1" applyAlignment="1" applyProtection="1">
      <alignment vertical="center"/>
      <protection locked="0"/>
    </xf>
    <xf numFmtId="49" fontId="11" fillId="0" borderId="0" xfId="0" applyNumberFormat="1" applyFont="1" applyAlignment="1" applyProtection="1">
      <alignment horizontal="right" vertical="center"/>
      <protection locked="0"/>
    </xf>
    <xf numFmtId="0" fontId="10" fillId="4" borderId="3" xfId="0" applyFont="1" applyFill="1" applyBorder="1" applyAlignment="1" applyProtection="1">
      <alignment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3" fillId="3" borderId="0" xfId="0" applyFont="1" applyFill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5" fillId="3" borderId="0" xfId="0" applyFont="1" applyFill="1" applyAlignment="1" applyProtection="1">
      <alignment horizontal="left" vertical="center"/>
      <protection locked="0"/>
    </xf>
    <xf numFmtId="0" fontId="4" fillId="0" borderId="3" xfId="0" applyFont="1" applyBorder="1" applyAlignment="1">
      <alignment vertical="center"/>
    </xf>
    <xf numFmtId="0" fontId="16" fillId="0" borderId="4" xfId="0" applyFont="1" applyBorder="1" applyAlignment="1" applyProtection="1">
      <alignment vertical="center"/>
      <protection locked="0"/>
    </xf>
    <xf numFmtId="0" fontId="16" fillId="0" borderId="5" xfId="0" applyFont="1" applyBorder="1" applyAlignment="1" applyProtection="1">
      <alignment vertical="center"/>
      <protection locked="0"/>
    </xf>
    <xf numFmtId="0" fontId="17" fillId="0" borderId="5" xfId="0" applyFont="1" applyBorder="1" applyAlignment="1" applyProtection="1">
      <alignment vertical="center"/>
      <protection locked="0"/>
    </xf>
    <xf numFmtId="0" fontId="17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16" fillId="0" borderId="8" xfId="0" applyFont="1" applyBorder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0" fontId="17" fillId="0" borderId="0" xfId="0" applyFont="1" applyAlignment="1" applyProtection="1">
      <alignment vertical="center"/>
      <protection locked="0"/>
    </xf>
    <xf numFmtId="0" fontId="17" fillId="0" borderId="9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center" vertical="center"/>
    </xf>
    <xf numFmtId="0" fontId="16" fillId="0" borderId="10" xfId="0" applyFont="1" applyBorder="1" applyAlignment="1" applyProtection="1">
      <alignment vertical="center"/>
      <protection locked="0"/>
    </xf>
    <xf numFmtId="0" fontId="16" fillId="0" borderId="11" xfId="0" applyFont="1" applyBorder="1" applyAlignment="1" applyProtection="1">
      <alignment vertical="center"/>
      <protection locked="0"/>
    </xf>
    <xf numFmtId="0" fontId="17" fillId="0" borderId="11" xfId="0" applyFont="1" applyBorder="1" applyAlignment="1" applyProtection="1">
      <alignment vertical="center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0" fontId="15" fillId="3" borderId="3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1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24" fillId="5" borderId="0" xfId="0" applyFont="1" applyFill="1" applyAlignment="1" applyProtection="1">
      <alignment horizontal="left" vertical="center"/>
      <protection locked="0"/>
    </xf>
    <xf numFmtId="0" fontId="24" fillId="5" borderId="0" xfId="0" applyFont="1" applyFill="1" applyAlignment="1" applyProtection="1">
      <alignment horizontal="right" vertical="center"/>
      <protection locked="0"/>
    </xf>
    <xf numFmtId="0" fontId="24" fillId="3" borderId="13" xfId="0" applyFont="1" applyFill="1" applyBorder="1" applyAlignment="1" applyProtection="1">
      <alignment vertical="center"/>
      <protection locked="0"/>
    </xf>
    <xf numFmtId="0" fontId="24" fillId="3" borderId="14" xfId="0" applyFont="1" applyFill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25" fillId="5" borderId="0" xfId="0" applyFont="1" applyFill="1" applyAlignment="1" applyProtection="1">
      <alignment horizontal="left" vertical="center"/>
      <protection locked="0"/>
    </xf>
    <xf numFmtId="0" fontId="24" fillId="0" borderId="14" xfId="0" applyFont="1" applyBorder="1" applyAlignment="1" applyProtection="1">
      <alignment horizontal="left" vertical="center"/>
      <protection locked="0"/>
    </xf>
    <xf numFmtId="0" fontId="25" fillId="5" borderId="0" xfId="0" applyFont="1" applyFill="1" applyAlignment="1" applyProtection="1">
      <alignment horizontal="right" vertical="center"/>
      <protection locked="0"/>
    </xf>
    <xf numFmtId="0" fontId="26" fillId="0" borderId="0" xfId="0" applyFont="1" applyAlignment="1" applyProtection="1">
      <alignment horizontal="left" vertical="center"/>
      <protection locked="0"/>
    </xf>
    <xf numFmtId="0" fontId="24" fillId="3" borderId="15" xfId="0" applyFont="1" applyFill="1" applyBorder="1" applyAlignment="1" applyProtection="1">
      <alignment horizontal="center" vertical="center" textRotation="90"/>
      <protection locked="0"/>
    </xf>
    <xf numFmtId="0" fontId="27" fillId="2" borderId="15" xfId="0" applyFont="1" applyFill="1" applyBorder="1" applyAlignment="1" applyProtection="1">
      <alignment horizontal="left" vertical="center" wrapText="1"/>
      <protection locked="0"/>
    </xf>
    <xf numFmtId="0" fontId="27" fillId="2" borderId="15" xfId="0" applyFont="1" applyFill="1" applyBorder="1" applyAlignment="1" applyProtection="1">
      <alignment horizontal="center" vertical="center" wrapText="1"/>
      <protection locked="0"/>
    </xf>
    <xf numFmtId="165" fontId="27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27" fillId="6" borderId="15" xfId="0" applyFont="1" applyFill="1" applyBorder="1" applyAlignment="1">
      <alignment horizontal="center" vertical="center" wrapText="1"/>
    </xf>
    <xf numFmtId="165" fontId="27" fillId="2" borderId="15" xfId="0" applyNumberFormat="1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165" fontId="28" fillId="0" borderId="15" xfId="0" applyNumberFormat="1" applyFont="1" applyBorder="1" applyAlignment="1">
      <alignment horizontal="center" vertical="center" wrapText="1"/>
    </xf>
    <xf numFmtId="165" fontId="24" fillId="4" borderId="15" xfId="0" applyNumberFormat="1" applyFont="1" applyFill="1" applyBorder="1" applyAlignment="1" applyProtection="1">
      <alignment horizontal="center" vertical="center" wrapText="1"/>
      <protection locked="0"/>
    </xf>
    <xf numFmtId="165" fontId="24" fillId="3" borderId="15" xfId="0" applyNumberFormat="1" applyFont="1" applyFill="1" applyBorder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4" fillId="3" borderId="15" xfId="0" applyFont="1" applyFill="1" applyBorder="1" applyAlignment="1" applyProtection="1">
      <alignment horizontal="center" vertical="center"/>
      <protection locked="0"/>
    </xf>
    <xf numFmtId="49" fontId="29" fillId="0" borderId="1" xfId="0" applyNumberFormat="1" applyFont="1" applyBorder="1" applyAlignment="1">
      <alignment vertical="center"/>
    </xf>
    <xf numFmtId="0" fontId="25" fillId="0" borderId="15" xfId="0" applyFont="1" applyBorder="1" applyAlignment="1">
      <alignment horizontal="left" vertical="center"/>
    </xf>
    <xf numFmtId="165" fontId="25" fillId="0" borderId="15" xfId="0" applyNumberFormat="1" applyFont="1" applyBorder="1" applyAlignment="1">
      <alignment horizontal="center" vertical="center"/>
    </xf>
    <xf numFmtId="0" fontId="24" fillId="0" borderId="15" xfId="0" applyFont="1" applyBorder="1" applyAlignment="1" applyProtection="1">
      <alignment horizontal="center" vertical="center"/>
      <protection locked="0"/>
    </xf>
    <xf numFmtId="2" fontId="24" fillId="0" borderId="15" xfId="0" applyNumberFormat="1" applyFont="1" applyBorder="1" applyAlignment="1" applyProtection="1">
      <alignment horizontal="center" vertical="center"/>
      <protection locked="0"/>
    </xf>
    <xf numFmtId="166" fontId="24" fillId="3" borderId="15" xfId="0" applyNumberFormat="1" applyFont="1" applyFill="1" applyBorder="1" applyAlignment="1">
      <alignment horizontal="center" vertical="center"/>
    </xf>
    <xf numFmtId="165" fontId="24" fillId="3" borderId="15" xfId="0" applyNumberFormat="1" applyFont="1" applyFill="1" applyBorder="1" applyAlignment="1">
      <alignment horizontal="center" vertical="center"/>
    </xf>
    <xf numFmtId="165" fontId="30" fillId="0" borderId="15" xfId="0" applyNumberFormat="1" applyFont="1" applyBorder="1" applyAlignment="1">
      <alignment horizontal="center" vertical="center"/>
    </xf>
    <xf numFmtId="165" fontId="25" fillId="0" borderId="15" xfId="2" applyNumberFormat="1" applyFont="1" applyFill="1" applyBorder="1" applyAlignment="1" applyProtection="1">
      <alignment horizontal="left" vertical="center" wrapText="1"/>
      <protection locked="0"/>
    </xf>
    <xf numFmtId="165" fontId="32" fillId="7" borderId="16" xfId="0" applyNumberFormat="1" applyFont="1" applyFill="1" applyBorder="1" applyAlignment="1">
      <alignment vertical="center"/>
    </xf>
    <xf numFmtId="165" fontId="32" fillId="7" borderId="17" xfId="0" applyNumberFormat="1" applyFont="1" applyFill="1" applyBorder="1" applyAlignment="1">
      <alignment vertical="center"/>
    </xf>
    <xf numFmtId="164" fontId="32" fillId="7" borderId="18" xfId="0" applyNumberFormat="1" applyFont="1" applyFill="1" applyBorder="1" applyAlignment="1">
      <alignment horizontal="right" vertical="center" wrapText="1"/>
    </xf>
    <xf numFmtId="0" fontId="33" fillId="5" borderId="0" xfId="0" applyFont="1" applyFill="1" applyAlignment="1" applyProtection="1">
      <alignment horizontal="left" vertical="center" wrapText="1"/>
      <protection locked="0"/>
    </xf>
    <xf numFmtId="0" fontId="33" fillId="5" borderId="0" xfId="0" applyFont="1" applyFill="1" applyAlignment="1" applyProtection="1">
      <alignment vertical="center" wrapText="1"/>
      <protection locked="0"/>
    </xf>
    <xf numFmtId="165" fontId="27" fillId="8" borderId="19" xfId="0" applyNumberFormat="1" applyFont="1" applyFill="1" applyBorder="1" applyAlignment="1">
      <alignment horizontal="center" vertical="center" wrapText="1"/>
    </xf>
    <xf numFmtId="165" fontId="27" fillId="8" borderId="0" xfId="0" applyNumberFormat="1" applyFont="1" applyFill="1" applyAlignment="1">
      <alignment vertical="center" wrapText="1"/>
    </xf>
    <xf numFmtId="165" fontId="27" fillId="8" borderId="0" xfId="0" applyNumberFormat="1" applyFont="1" applyFill="1" applyAlignment="1">
      <alignment horizontal="center" vertical="center" wrapText="1"/>
    </xf>
    <xf numFmtId="165" fontId="32" fillId="7" borderId="20" xfId="0" applyNumberFormat="1" applyFont="1" applyFill="1" applyBorder="1" applyAlignment="1">
      <alignment vertical="center"/>
    </xf>
    <xf numFmtId="165" fontId="32" fillId="7" borderId="0" xfId="0" applyNumberFormat="1" applyFont="1" applyFill="1" applyAlignment="1">
      <alignment vertical="center"/>
    </xf>
    <xf numFmtId="164" fontId="32" fillId="7" borderId="21" xfId="0" applyNumberFormat="1" applyFont="1" applyFill="1" applyBorder="1" applyAlignment="1">
      <alignment horizontal="right" vertical="center" wrapText="1"/>
    </xf>
    <xf numFmtId="165" fontId="24" fillId="4" borderId="22" xfId="0" applyNumberFormat="1" applyFont="1" applyFill="1" applyBorder="1" applyAlignment="1" applyProtection="1">
      <alignment horizontal="center" vertical="center" wrapText="1"/>
      <protection locked="0"/>
    </xf>
    <xf numFmtId="0" fontId="34" fillId="5" borderId="23" xfId="0" applyFont="1" applyFill="1" applyBorder="1" applyAlignment="1" applyProtection="1">
      <alignment vertical="center" wrapText="1"/>
      <protection locked="0"/>
    </xf>
    <xf numFmtId="0" fontId="35" fillId="9" borderId="15" xfId="0" applyFont="1" applyFill="1" applyBorder="1" applyAlignment="1" applyProtection="1">
      <alignment horizontal="center" vertical="center"/>
      <protection locked="0"/>
    </xf>
    <xf numFmtId="0" fontId="24" fillId="9" borderId="15" xfId="0" applyFont="1" applyFill="1" applyBorder="1" applyAlignment="1" applyProtection="1">
      <alignment horizontal="center" vertical="center"/>
      <protection locked="0"/>
    </xf>
    <xf numFmtId="10" fontId="27" fillId="6" borderId="0" xfId="1" applyNumberFormat="1" applyFont="1" applyFill="1" applyBorder="1" applyAlignment="1" applyProtection="1">
      <alignment horizontal="center" vertical="center" wrapText="1"/>
    </xf>
    <xf numFmtId="0" fontId="36" fillId="10" borderId="8" xfId="0" applyFont="1" applyFill="1" applyBorder="1" applyAlignment="1" applyProtection="1">
      <alignment horizontal="left" vertical="center" wrapText="1"/>
      <protection locked="0"/>
    </xf>
    <xf numFmtId="0" fontId="36" fillId="5" borderId="9" xfId="0" applyFont="1" applyFill="1" applyBorder="1" applyAlignment="1" applyProtection="1">
      <alignment vertical="center" wrapText="1"/>
      <protection locked="0"/>
    </xf>
    <xf numFmtId="4" fontId="24" fillId="9" borderId="6" xfId="0" applyNumberFormat="1" applyFont="1" applyFill="1" applyBorder="1" applyAlignment="1">
      <alignment horizontal="center" vertical="center" wrapText="1"/>
    </xf>
    <xf numFmtId="0" fontId="36" fillId="5" borderId="9" xfId="0" applyFont="1" applyFill="1" applyBorder="1" applyAlignment="1" applyProtection="1">
      <alignment horizontal="left" vertical="center" wrapText="1"/>
      <protection locked="0"/>
    </xf>
    <xf numFmtId="4" fontId="24" fillId="9" borderId="9" xfId="0" applyNumberFormat="1" applyFont="1" applyFill="1" applyBorder="1" applyAlignment="1">
      <alignment horizontal="center" vertical="center" wrapText="1"/>
    </xf>
    <xf numFmtId="0" fontId="36" fillId="4" borderId="8" xfId="0" applyFont="1" applyFill="1" applyBorder="1" applyAlignment="1" applyProtection="1">
      <alignment horizontal="left" vertical="center" wrapText="1"/>
      <protection locked="0"/>
    </xf>
    <xf numFmtId="4" fontId="24" fillId="9" borderId="12" xfId="0" applyNumberFormat="1" applyFont="1" applyFill="1" applyBorder="1" applyAlignment="1">
      <alignment horizontal="center" vertical="center" wrapText="1"/>
    </xf>
    <xf numFmtId="4" fontId="32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38" fillId="5" borderId="0" xfId="0" applyFont="1" applyFill="1" applyAlignment="1" applyProtection="1">
      <alignment vertical="center"/>
      <protection locked="0"/>
    </xf>
    <xf numFmtId="0" fontId="39" fillId="5" borderId="0" xfId="0" applyFont="1" applyFill="1" applyAlignment="1" applyProtection="1">
      <alignment vertical="center"/>
      <protection locked="0"/>
    </xf>
    <xf numFmtId="167" fontId="0" fillId="0" borderId="0" xfId="0" applyNumberFormat="1"/>
    <xf numFmtId="1" fontId="25" fillId="0" borderId="15" xfId="0" applyNumberFormat="1" applyFont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4" fontId="41" fillId="3" borderId="26" xfId="0" applyNumberFormat="1" applyFont="1" applyFill="1" applyBorder="1" applyAlignment="1">
      <alignment horizontal="center" vertical="center" wrapText="1"/>
    </xf>
    <xf numFmtId="165" fontId="24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36" fillId="12" borderId="8" xfId="0" applyFont="1" applyFill="1" applyBorder="1" applyAlignment="1" applyProtection="1">
      <alignment horizontal="left" vertical="center" wrapText="1"/>
      <protection locked="0"/>
    </xf>
    <xf numFmtId="0" fontId="36" fillId="13" borderId="8" xfId="0" applyFont="1" applyFill="1" applyBorder="1" applyAlignment="1" applyProtection="1">
      <alignment horizontal="left" vertical="center" wrapText="1"/>
      <protection locked="0"/>
    </xf>
    <xf numFmtId="0" fontId="36" fillId="11" borderId="10" xfId="0" applyFont="1" applyFill="1" applyBorder="1" applyAlignment="1" applyProtection="1">
      <alignment horizontal="left" vertical="center" wrapText="1"/>
      <protection locked="0"/>
    </xf>
    <xf numFmtId="0" fontId="36" fillId="5" borderId="12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0" fillId="0" borderId="2" xfId="0" applyBorder="1"/>
    <xf numFmtId="4" fontId="0" fillId="0" borderId="2" xfId="0" applyNumberFormat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" xfId="0" applyBorder="1" applyAlignment="1">
      <alignment horizontal="left"/>
    </xf>
    <xf numFmtId="4" fontId="0" fillId="0" borderId="3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7" xfId="0" applyBorder="1" applyAlignment="1">
      <alignment horizontal="left"/>
    </xf>
    <xf numFmtId="0" fontId="60" fillId="45" borderId="0" xfId="0" applyFont="1" applyFill="1" applyAlignment="1">
      <alignment horizontal="center"/>
    </xf>
    <xf numFmtId="4" fontId="0" fillId="0" borderId="38" xfId="0" applyNumberFormat="1" applyBorder="1" applyAlignment="1">
      <alignment horizontal="center"/>
    </xf>
    <xf numFmtId="0" fontId="34" fillId="5" borderId="10" xfId="0" applyFont="1" applyFill="1" applyBorder="1" applyAlignment="1" applyProtection="1">
      <alignment horizontal="left" vertical="center"/>
      <protection locked="0"/>
    </xf>
    <xf numFmtId="0" fontId="34" fillId="5" borderId="12" xfId="0" applyFont="1" applyFill="1" applyBorder="1" applyAlignment="1" applyProtection="1">
      <alignment horizontal="left" vertical="center"/>
      <protection locked="0"/>
    </xf>
    <xf numFmtId="0" fontId="38" fillId="5" borderId="0" xfId="0" applyFont="1" applyFill="1" applyAlignment="1" applyProtection="1">
      <alignment horizontal="left" vertical="center" wrapText="1"/>
      <protection locked="0"/>
    </xf>
    <xf numFmtId="165" fontId="24" fillId="3" borderId="24" xfId="0" applyNumberFormat="1" applyFont="1" applyFill="1" applyBorder="1" applyAlignment="1" applyProtection="1">
      <alignment horizontal="center" vertical="center" wrapText="1"/>
      <protection locked="0"/>
    </xf>
    <xf numFmtId="165" fontId="24" fillId="3" borderId="25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 wrapText="1"/>
    </xf>
    <xf numFmtId="165" fontId="31" fillId="2" borderId="0" xfId="0" applyNumberFormat="1" applyFont="1" applyFill="1" applyAlignment="1" applyProtection="1">
      <alignment horizontal="center" vertical="center" wrapText="1"/>
      <protection locked="0"/>
    </xf>
    <xf numFmtId="165" fontId="24" fillId="9" borderId="4" xfId="0" applyNumberFormat="1" applyFont="1" applyFill="1" applyBorder="1" applyAlignment="1">
      <alignment horizontal="center" vertical="center"/>
    </xf>
    <xf numFmtId="165" fontId="24" fillId="9" borderId="5" xfId="0" applyNumberFormat="1" applyFont="1" applyFill="1" applyBorder="1" applyAlignment="1">
      <alignment horizontal="center" vertical="center"/>
    </xf>
    <xf numFmtId="165" fontId="24" fillId="9" borderId="8" xfId="0" applyNumberFormat="1" applyFont="1" applyFill="1" applyBorder="1" applyAlignment="1">
      <alignment horizontal="center" vertical="center"/>
    </xf>
    <xf numFmtId="165" fontId="24" fillId="9" borderId="0" xfId="0" applyNumberFormat="1" applyFont="1" applyFill="1" applyAlignment="1">
      <alignment horizontal="center" vertical="center"/>
    </xf>
    <xf numFmtId="165" fontId="24" fillId="9" borderId="10" xfId="0" applyNumberFormat="1" applyFont="1" applyFill="1" applyBorder="1" applyAlignment="1">
      <alignment horizontal="center" vertical="center"/>
    </xf>
    <xf numFmtId="165" fontId="24" fillId="9" borderId="11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5" fontId="24" fillId="3" borderId="16" xfId="0" applyNumberFormat="1" applyFont="1" applyFill="1" applyBorder="1" applyAlignment="1" applyProtection="1">
      <alignment horizontal="center" vertical="center" wrapText="1"/>
      <protection locked="0"/>
    </xf>
    <xf numFmtId="165" fontId="24" fillId="3" borderId="17" xfId="0" applyNumberFormat="1" applyFont="1" applyFill="1" applyBorder="1" applyAlignment="1" applyProtection="1">
      <alignment horizontal="center" vertical="center" wrapText="1"/>
      <protection locked="0"/>
    </xf>
  </cellXfs>
  <cellStyles count="66">
    <cellStyle name="20% - Énfasis1 2" xfId="31" xr:uid="{E6866BDD-AE27-4430-A2FA-5D6AB2F9FBB5}"/>
    <cellStyle name="20% - Énfasis2 2" xfId="35" xr:uid="{A17D31C7-945C-456B-AFD4-BD8792B8C93B}"/>
    <cellStyle name="20% - Énfasis3 2" xfId="39" xr:uid="{213E447A-9D99-4BBD-9E1C-039A582B5EF9}"/>
    <cellStyle name="20% - Énfasis4 2" xfId="43" xr:uid="{6FCEC93F-6E9A-4B81-AF2B-BACB90329412}"/>
    <cellStyle name="20% - Énfasis5 2" xfId="47" xr:uid="{22AFCC7D-6F76-4790-806E-8E2207D647B9}"/>
    <cellStyle name="20% - Énfasis6 2" xfId="51" xr:uid="{479A9D89-190A-4765-B5A5-98E163643197}"/>
    <cellStyle name="40% - Énfasis1 2" xfId="32" xr:uid="{2E836E8B-F955-4888-9000-59EE70D7C5D3}"/>
    <cellStyle name="40% - Énfasis2 2" xfId="36" xr:uid="{61CBF314-7161-425C-8041-E4A83ECCA3BA}"/>
    <cellStyle name="40% - Énfasis3 2" xfId="40" xr:uid="{65ACF824-23F2-4D96-9FED-D3B6754CAD9E}"/>
    <cellStyle name="40% - Énfasis4 2" xfId="44" xr:uid="{448E50A4-431C-43C7-9668-EDBA040AA172}"/>
    <cellStyle name="40% - Énfasis5 2" xfId="48" xr:uid="{E54AD0CF-40F2-4487-BACA-53D29752665C}"/>
    <cellStyle name="40% - Énfasis6 2" xfId="52" xr:uid="{E99B98C9-C1F9-4A16-8635-511F07D9B8C2}"/>
    <cellStyle name="60% - Énfasis1 2" xfId="33" xr:uid="{21D089FA-EE85-4608-9059-E7F750B2861B}"/>
    <cellStyle name="60% - Énfasis2 2" xfId="37" xr:uid="{2DC7572A-67CF-4A38-B3FF-FECD2D15FCD6}"/>
    <cellStyle name="60% - Énfasis3 2" xfId="41" xr:uid="{D386A592-F83E-43BE-92E8-CECA011D8FA1}"/>
    <cellStyle name="60% - Énfasis4 2" xfId="45" xr:uid="{1353D4B3-3684-4BC8-AF89-60C83ED98C62}"/>
    <cellStyle name="60% - Énfasis5 2" xfId="49" xr:uid="{7364CDF5-D48B-4873-9224-1678260E1ED8}"/>
    <cellStyle name="60% - Énfasis6 2" xfId="53" xr:uid="{8017C90E-E62E-4E8C-ADD7-00E15ABB6460}"/>
    <cellStyle name="Bueno 2" xfId="18" xr:uid="{1858FA66-7516-4242-A54C-5F26EC4FE2F1}"/>
    <cellStyle name="Cálculo 2" xfId="23" xr:uid="{F476E087-B71C-4B10-A3F3-B194E4E7DD8C}"/>
    <cellStyle name="Celda de comprobación 2" xfId="25" xr:uid="{398952F0-0177-437D-9C41-494C3AF806FA}"/>
    <cellStyle name="Celda vinculada 2" xfId="24" xr:uid="{46CF4846-A8F5-4833-BAC7-42CDCA3E90BB}"/>
    <cellStyle name="Encabezado 1 2" xfId="14" xr:uid="{F25CC29B-6078-4D51-8BD0-15633F8DE674}"/>
    <cellStyle name="Encabezado 4 2" xfId="17" xr:uid="{30E05F83-67E2-4064-823B-BBCE865AB9DB}"/>
    <cellStyle name="Énfasis1 2" xfId="30" xr:uid="{2817E521-0EBE-4155-9D83-3CA05FC69796}"/>
    <cellStyle name="Énfasis2 2" xfId="34" xr:uid="{0A9B4148-3D87-4E8A-A675-56D3722E8CDB}"/>
    <cellStyle name="Énfasis3 2" xfId="38" xr:uid="{1D00C1CB-7BCD-4AC0-A6A1-FA725ACE91EA}"/>
    <cellStyle name="Énfasis4 2" xfId="42" xr:uid="{F9D60795-E078-497D-B146-D88845D35B60}"/>
    <cellStyle name="Énfasis5 2" xfId="46" xr:uid="{2684149B-E964-44BB-B7A2-FDB666960880}"/>
    <cellStyle name="Énfasis6 2" xfId="50" xr:uid="{7168330C-17A5-403A-8E5C-1CD953F48183}"/>
    <cellStyle name="Entrada 2" xfId="21" xr:uid="{C47D8334-A9BF-4CF1-B7C6-766FDD588B5B}"/>
    <cellStyle name="Incorrecto 2" xfId="19" xr:uid="{7D04F8DD-13B2-4F8C-B040-25F53B0CA4BC}"/>
    <cellStyle name="Millares 2" xfId="3" xr:uid="{8DB069AA-C918-47EF-AFF8-4289AE2F7ED1}"/>
    <cellStyle name="Millares 2 2" xfId="10" xr:uid="{1595CD93-E918-4D58-8790-FC707007030B}"/>
    <cellStyle name="Millares 2 3" xfId="57" xr:uid="{627645A6-3A68-491B-AA6E-69AA4D42B739}"/>
    <cellStyle name="Millares 2 4" xfId="62" xr:uid="{D9672169-A462-4E87-B35A-921FDB769BEF}"/>
    <cellStyle name="Millares 3" xfId="6" xr:uid="{01C8D715-75E3-465A-A68D-213C55C51777}"/>
    <cellStyle name="Millares 4" xfId="8" xr:uid="{058580FD-BEA4-4347-892D-6BB68606D9AA}"/>
    <cellStyle name="Millares 5" xfId="2" xr:uid="{C17BC22D-2F36-423E-8E19-64938664217D}"/>
    <cellStyle name="Millares 5 2" xfId="54" xr:uid="{45296177-D7EA-4E1D-B3F0-C01FBE96C4F8}"/>
    <cellStyle name="Millares 6" xfId="56" xr:uid="{A2F9E988-0845-4296-83BE-D91116FB3189}"/>
    <cellStyle name="Millares 7" xfId="61" xr:uid="{7572CD66-46A1-4850-8EC8-8CEF201CFBF7}"/>
    <cellStyle name="Moneda 2" xfId="4" xr:uid="{02812D44-01B3-472F-B040-64EA3CDF9398}"/>
    <cellStyle name="Moneda 2 2" xfId="11" xr:uid="{7DD2524F-E3B8-4F0A-BE9A-CAF4F794CB6D}"/>
    <cellStyle name="Moneda 2 3" xfId="60" xr:uid="{FDAAB1EC-0779-4B4E-A666-D76FD01E711A}"/>
    <cellStyle name="Moneda 2 4" xfId="64" xr:uid="{9673012E-8436-4522-80C1-D57CF1C8F80F}"/>
    <cellStyle name="Moneda 3" xfId="7" xr:uid="{C369DAFE-6E93-4053-9984-48338501ECCC}"/>
    <cellStyle name="Moneda 4" xfId="9" xr:uid="{644A4C38-9CB1-4A67-824D-52B5A62FFCA4}"/>
    <cellStyle name="Moneda 5" xfId="55" xr:uid="{578CD6F6-0D73-42DC-943C-125336457A80}"/>
    <cellStyle name="Moneda 6" xfId="58" xr:uid="{D5FE7627-716C-4D64-91DD-8CE31CAD1CFC}"/>
    <cellStyle name="Moneda 7" xfId="63" xr:uid="{6811457D-29AD-4003-A71C-28D99DDB9089}"/>
    <cellStyle name="Moneda 8" xfId="5" xr:uid="{E7B6EDD4-80E0-443D-9BB2-A410613D7706}"/>
    <cellStyle name="Neutral 2" xfId="20" xr:uid="{1852B9D3-9630-49E8-A08D-64BBEE887EB0}"/>
    <cellStyle name="Normal" xfId="0" builtinId="0"/>
    <cellStyle name="Normal 2" xfId="12" xr:uid="{B6127708-32FA-4999-9637-E5763944D251}"/>
    <cellStyle name="Normal 2 2" xfId="59" xr:uid="{4BD126B0-960C-4643-B75F-D06C228E68AC}"/>
    <cellStyle name="Normal 2 2 2" xfId="65" xr:uid="{85E3514C-B0BA-4BDC-8064-A75EF6DAC3D9}"/>
    <cellStyle name="Notas 2" xfId="27" xr:uid="{9F3D8DDE-9C81-4D46-A02F-7079491822EF}"/>
    <cellStyle name="Porcentaje" xfId="1" builtinId="5"/>
    <cellStyle name="Salida 2" xfId="22" xr:uid="{4BCCDF45-FA9F-4207-8DC4-2D79111AE455}"/>
    <cellStyle name="Texto de advertencia 2" xfId="26" xr:uid="{CC74AA78-2F61-4541-94D3-BAF909537958}"/>
    <cellStyle name="Texto explicativo 2" xfId="28" xr:uid="{ADAFA07D-152C-442B-B410-8EB053DA69AE}"/>
    <cellStyle name="Título 2 2" xfId="15" xr:uid="{4E5F7BE4-32BC-487B-BEB6-9B55301750D7}"/>
    <cellStyle name="Título 3 2" xfId="16" xr:uid="{1DB04CE3-58CB-4C2F-9C58-3CB6FE82B0D2}"/>
    <cellStyle name="Título 4" xfId="13" xr:uid="{88E1D2A2-5872-4F5C-8BC3-3C7DE0D2966B}"/>
    <cellStyle name="Total 2" xfId="29" xr:uid="{9933E5F3-86A0-4A51-ABF9-F481EA88735D}"/>
  </cellStyles>
  <dxfs count="29"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0070C0"/>
      </font>
      <fill>
        <patternFill>
          <bgColor rgb="FF0070C0"/>
        </patternFill>
      </fill>
    </dxf>
    <dxf>
      <numFmt numFmtId="0" formatCode="General"/>
    </dxf>
    <dxf>
      <numFmt numFmtId="167" formatCode="&quot;S/&quot;\ #,##0.00"/>
    </dxf>
    <dxf>
      <numFmt numFmtId="0" formatCode="General"/>
    </dxf>
    <dxf>
      <numFmt numFmtId="0" formatCode="General"/>
    </dxf>
    <dxf>
      <protection locked="0" hidden="0"/>
    </dxf>
    <dxf>
      <numFmt numFmtId="0" formatCode="General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63489</xdr:colOff>
      <xdr:row>1</xdr:row>
      <xdr:rowOff>102690</xdr:rowOff>
    </xdr:from>
    <xdr:to>
      <xdr:col>2</xdr:col>
      <xdr:colOff>144780</xdr:colOff>
      <xdr:row>4</xdr:row>
      <xdr:rowOff>15240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EE8E321-0359-47D2-80CC-1B4CB76DEDAD}"/>
            </a:ext>
          </a:extLst>
        </xdr:cNvPr>
        <xdr:cNvGrpSpPr/>
      </xdr:nvGrpSpPr>
      <xdr:grpSpPr>
        <a:xfrm>
          <a:off x="63489" y="471784"/>
          <a:ext cx="2200604" cy="769800"/>
          <a:chOff x="145445" y="77674"/>
          <a:chExt cx="1120853" cy="664767"/>
        </a:xfrm>
      </xdr:grpSpPr>
      <xdr:pic>
        <xdr:nvPicPr>
          <xdr:cNvPr id="3" name="Imagen 21" descr="Resultado de imagen para makita logo">
            <a:extLst>
              <a:ext uri="{FF2B5EF4-FFF2-40B4-BE49-F238E27FC236}">
                <a16:creationId xmlns:a16="http://schemas.microsoft.com/office/drawing/2014/main" id="{142AEFE0-B625-52D2-EA17-6F90F3FC34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65555" y="77674"/>
            <a:ext cx="1058483" cy="5126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718D2718-F257-35DD-99D0-AA8A8976D825}"/>
              </a:ext>
            </a:extLst>
          </xdr:cNvPr>
          <xdr:cNvSpPr>
            <a:spLocks noChangeArrowheads="1"/>
          </xdr:cNvSpPr>
        </xdr:nvSpPr>
        <xdr:spPr bwMode="auto">
          <a:xfrm>
            <a:off x="145445" y="539711"/>
            <a:ext cx="1120853" cy="2027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ctr">
            <a:noAutofit/>
          </a:bodyPr>
          <a:lstStyle/>
          <a:p>
            <a:pPr algn="ctr" rtl="0">
              <a:defRPr sz="1000"/>
            </a:pPr>
            <a:r>
              <a:rPr lang="es-US" sz="700" b="1" i="1" u="none" strike="noStrike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Variedad, servicio y confianza</a:t>
            </a:r>
          </a:p>
        </xdr:txBody>
      </xdr:sp>
    </xdr:grpSp>
    <xdr:clientData/>
  </xdr:two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" name="Imagen 3">
          <a:extLst>
            <a:ext uri="{FF2B5EF4-FFF2-40B4-BE49-F238E27FC236}">
              <a16:creationId xmlns:a16="http://schemas.microsoft.com/office/drawing/2014/main" id="{D633B87A-4FC1-4F93-9281-F728E2E8A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" name="Imagen 3">
          <a:extLst>
            <a:ext uri="{FF2B5EF4-FFF2-40B4-BE49-F238E27FC236}">
              <a16:creationId xmlns:a16="http://schemas.microsoft.com/office/drawing/2014/main" id="{17CBA032-5716-43CC-9D6A-6DCA01D22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" name="Imagen 3">
          <a:extLst>
            <a:ext uri="{FF2B5EF4-FFF2-40B4-BE49-F238E27FC236}">
              <a16:creationId xmlns:a16="http://schemas.microsoft.com/office/drawing/2014/main" id="{B1F672EC-50C3-4275-8546-43D75E754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" name="Imagen 3">
          <a:extLst>
            <a:ext uri="{FF2B5EF4-FFF2-40B4-BE49-F238E27FC236}">
              <a16:creationId xmlns:a16="http://schemas.microsoft.com/office/drawing/2014/main" id="{8DE124D3-8D43-43EA-96CE-C223473A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" name="Imagen 3">
          <a:extLst>
            <a:ext uri="{FF2B5EF4-FFF2-40B4-BE49-F238E27FC236}">
              <a16:creationId xmlns:a16="http://schemas.microsoft.com/office/drawing/2014/main" id="{1FA214D6-CD6E-4411-87A3-A769358B9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" name="Imagen 3">
          <a:extLst>
            <a:ext uri="{FF2B5EF4-FFF2-40B4-BE49-F238E27FC236}">
              <a16:creationId xmlns:a16="http://schemas.microsoft.com/office/drawing/2014/main" id="{75C9AC79-7A4B-4A80-B8C7-1D19B1677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1" name="Imagen 3">
          <a:extLst>
            <a:ext uri="{FF2B5EF4-FFF2-40B4-BE49-F238E27FC236}">
              <a16:creationId xmlns:a16="http://schemas.microsoft.com/office/drawing/2014/main" id="{864063D1-8379-4E0B-BF86-751C51DB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2" name="Imagen 3">
          <a:extLst>
            <a:ext uri="{FF2B5EF4-FFF2-40B4-BE49-F238E27FC236}">
              <a16:creationId xmlns:a16="http://schemas.microsoft.com/office/drawing/2014/main" id="{3E3DF3B1-3009-4453-9437-E436AE82A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3" name="Imagen 3">
          <a:extLst>
            <a:ext uri="{FF2B5EF4-FFF2-40B4-BE49-F238E27FC236}">
              <a16:creationId xmlns:a16="http://schemas.microsoft.com/office/drawing/2014/main" id="{D32BA445-91B1-4856-981B-F5A87D4C0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4" name="Imagen 3">
          <a:extLst>
            <a:ext uri="{FF2B5EF4-FFF2-40B4-BE49-F238E27FC236}">
              <a16:creationId xmlns:a16="http://schemas.microsoft.com/office/drawing/2014/main" id="{63E17F07-DFE5-4489-8693-AEE5B274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5" name="Imagen 3">
          <a:extLst>
            <a:ext uri="{FF2B5EF4-FFF2-40B4-BE49-F238E27FC236}">
              <a16:creationId xmlns:a16="http://schemas.microsoft.com/office/drawing/2014/main" id="{62642D7A-1791-4DEE-92C0-058B2BB70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6" name="Imagen 3">
          <a:extLst>
            <a:ext uri="{FF2B5EF4-FFF2-40B4-BE49-F238E27FC236}">
              <a16:creationId xmlns:a16="http://schemas.microsoft.com/office/drawing/2014/main" id="{48010D29-EF46-4D6C-8CBA-54B4E7C6C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7" name="Imagen 3">
          <a:extLst>
            <a:ext uri="{FF2B5EF4-FFF2-40B4-BE49-F238E27FC236}">
              <a16:creationId xmlns:a16="http://schemas.microsoft.com/office/drawing/2014/main" id="{BC23AD20-E0DA-4157-8ECA-E6BA787A6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" name="Imagen 3">
          <a:extLst>
            <a:ext uri="{FF2B5EF4-FFF2-40B4-BE49-F238E27FC236}">
              <a16:creationId xmlns:a16="http://schemas.microsoft.com/office/drawing/2014/main" id="{A90F0045-E837-46FA-B817-CDB97DD3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" name="Imagen 3">
          <a:extLst>
            <a:ext uri="{FF2B5EF4-FFF2-40B4-BE49-F238E27FC236}">
              <a16:creationId xmlns:a16="http://schemas.microsoft.com/office/drawing/2014/main" id="{4EC6D983-6A29-457E-83D4-269645331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" name="Imagen 3">
          <a:extLst>
            <a:ext uri="{FF2B5EF4-FFF2-40B4-BE49-F238E27FC236}">
              <a16:creationId xmlns:a16="http://schemas.microsoft.com/office/drawing/2014/main" id="{4392DAD0-9436-4EF1-8EFD-1AB32CA0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" name="Imagen 3">
          <a:extLst>
            <a:ext uri="{FF2B5EF4-FFF2-40B4-BE49-F238E27FC236}">
              <a16:creationId xmlns:a16="http://schemas.microsoft.com/office/drawing/2014/main" id="{A189EF17-0BBE-429C-A7AA-9C7268C5C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" name="Imagen 3">
          <a:extLst>
            <a:ext uri="{FF2B5EF4-FFF2-40B4-BE49-F238E27FC236}">
              <a16:creationId xmlns:a16="http://schemas.microsoft.com/office/drawing/2014/main" id="{D11D2947-D081-4D68-AD1C-55987E382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3" name="Imagen 3">
          <a:extLst>
            <a:ext uri="{FF2B5EF4-FFF2-40B4-BE49-F238E27FC236}">
              <a16:creationId xmlns:a16="http://schemas.microsoft.com/office/drawing/2014/main" id="{29360606-686C-4A04-8683-5AA2D009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4" name="Imagen 3">
          <a:extLst>
            <a:ext uri="{FF2B5EF4-FFF2-40B4-BE49-F238E27FC236}">
              <a16:creationId xmlns:a16="http://schemas.microsoft.com/office/drawing/2014/main" id="{F7E31E35-9D4C-41B0-B5DA-4AFE307C0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5" name="Imagen 3">
          <a:extLst>
            <a:ext uri="{FF2B5EF4-FFF2-40B4-BE49-F238E27FC236}">
              <a16:creationId xmlns:a16="http://schemas.microsoft.com/office/drawing/2014/main" id="{7259482E-0B19-42DD-A063-026C41020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6" name="Imagen 3">
          <a:extLst>
            <a:ext uri="{FF2B5EF4-FFF2-40B4-BE49-F238E27FC236}">
              <a16:creationId xmlns:a16="http://schemas.microsoft.com/office/drawing/2014/main" id="{38709CE5-EE70-42E0-A17C-7093931CA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7" name="Imagen 3">
          <a:extLst>
            <a:ext uri="{FF2B5EF4-FFF2-40B4-BE49-F238E27FC236}">
              <a16:creationId xmlns:a16="http://schemas.microsoft.com/office/drawing/2014/main" id="{52A3106D-7B44-4419-B9D2-A82445E6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8" name="Imagen 3">
          <a:extLst>
            <a:ext uri="{FF2B5EF4-FFF2-40B4-BE49-F238E27FC236}">
              <a16:creationId xmlns:a16="http://schemas.microsoft.com/office/drawing/2014/main" id="{516B3D1D-7D1A-4F4A-A7CA-7F60870A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9" name="Imagen 3">
          <a:extLst>
            <a:ext uri="{FF2B5EF4-FFF2-40B4-BE49-F238E27FC236}">
              <a16:creationId xmlns:a16="http://schemas.microsoft.com/office/drawing/2014/main" id="{E616DA84-4026-47E8-A03F-130CA1E30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0" name="Imagen 3">
          <a:extLst>
            <a:ext uri="{FF2B5EF4-FFF2-40B4-BE49-F238E27FC236}">
              <a16:creationId xmlns:a16="http://schemas.microsoft.com/office/drawing/2014/main" id="{09C76ACC-9D1E-4352-B980-25018742B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1" name="Imagen 3">
          <a:extLst>
            <a:ext uri="{FF2B5EF4-FFF2-40B4-BE49-F238E27FC236}">
              <a16:creationId xmlns:a16="http://schemas.microsoft.com/office/drawing/2014/main" id="{B1C85A5A-5F47-4831-911D-B1325F40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2" name="Imagen 3">
          <a:extLst>
            <a:ext uri="{FF2B5EF4-FFF2-40B4-BE49-F238E27FC236}">
              <a16:creationId xmlns:a16="http://schemas.microsoft.com/office/drawing/2014/main" id="{2D1A34A5-EDE3-4354-AA52-0B6534CE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3" name="Imagen 3">
          <a:extLst>
            <a:ext uri="{FF2B5EF4-FFF2-40B4-BE49-F238E27FC236}">
              <a16:creationId xmlns:a16="http://schemas.microsoft.com/office/drawing/2014/main" id="{2B8B9A95-F709-4DA0-A48E-5B8DBF2F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" name="Imagen 3">
          <a:extLst>
            <a:ext uri="{FF2B5EF4-FFF2-40B4-BE49-F238E27FC236}">
              <a16:creationId xmlns:a16="http://schemas.microsoft.com/office/drawing/2014/main" id="{2363A1B2-FD31-4BC0-84F5-1A9099C73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" name="Imagen 3">
          <a:extLst>
            <a:ext uri="{FF2B5EF4-FFF2-40B4-BE49-F238E27FC236}">
              <a16:creationId xmlns:a16="http://schemas.microsoft.com/office/drawing/2014/main" id="{99ABBF03-B4BA-4275-9D30-698B6C54B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" name="Imagen 3">
          <a:extLst>
            <a:ext uri="{FF2B5EF4-FFF2-40B4-BE49-F238E27FC236}">
              <a16:creationId xmlns:a16="http://schemas.microsoft.com/office/drawing/2014/main" id="{7F327C75-9C44-4A5E-8060-7B4BDDF4F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" name="Imagen 3">
          <a:extLst>
            <a:ext uri="{FF2B5EF4-FFF2-40B4-BE49-F238E27FC236}">
              <a16:creationId xmlns:a16="http://schemas.microsoft.com/office/drawing/2014/main" id="{AFD33195-E63E-49BA-8FD5-A75308BB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" name="Imagen 3">
          <a:extLst>
            <a:ext uri="{FF2B5EF4-FFF2-40B4-BE49-F238E27FC236}">
              <a16:creationId xmlns:a16="http://schemas.microsoft.com/office/drawing/2014/main" id="{F0A20982-40D2-4322-8123-F55758375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9" name="Imagen 3">
          <a:extLst>
            <a:ext uri="{FF2B5EF4-FFF2-40B4-BE49-F238E27FC236}">
              <a16:creationId xmlns:a16="http://schemas.microsoft.com/office/drawing/2014/main" id="{110B5124-2651-44DF-A862-3362B5BE3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0" name="Imagen 3">
          <a:extLst>
            <a:ext uri="{FF2B5EF4-FFF2-40B4-BE49-F238E27FC236}">
              <a16:creationId xmlns:a16="http://schemas.microsoft.com/office/drawing/2014/main" id="{B67974C2-D9D2-4E46-A9DA-1D50A9E0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1" name="Imagen 3">
          <a:extLst>
            <a:ext uri="{FF2B5EF4-FFF2-40B4-BE49-F238E27FC236}">
              <a16:creationId xmlns:a16="http://schemas.microsoft.com/office/drawing/2014/main" id="{0ADF32DE-96DE-4927-8508-20F6D0F13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2" name="Imagen 3">
          <a:extLst>
            <a:ext uri="{FF2B5EF4-FFF2-40B4-BE49-F238E27FC236}">
              <a16:creationId xmlns:a16="http://schemas.microsoft.com/office/drawing/2014/main" id="{4DCCDFDD-DE1A-4ACF-B64A-6C48FBD9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3" name="Imagen 3">
          <a:extLst>
            <a:ext uri="{FF2B5EF4-FFF2-40B4-BE49-F238E27FC236}">
              <a16:creationId xmlns:a16="http://schemas.microsoft.com/office/drawing/2014/main" id="{D423B2D8-CDE6-486A-9B46-3BA2039E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4" name="Imagen 3">
          <a:extLst>
            <a:ext uri="{FF2B5EF4-FFF2-40B4-BE49-F238E27FC236}">
              <a16:creationId xmlns:a16="http://schemas.microsoft.com/office/drawing/2014/main" id="{BD24AC31-7F56-4D8A-B69F-0EC604EF2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5" name="Imagen 3">
          <a:extLst>
            <a:ext uri="{FF2B5EF4-FFF2-40B4-BE49-F238E27FC236}">
              <a16:creationId xmlns:a16="http://schemas.microsoft.com/office/drawing/2014/main" id="{D363A649-0474-474B-B6AA-E7C9D93D4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6" name="Imagen 3">
          <a:extLst>
            <a:ext uri="{FF2B5EF4-FFF2-40B4-BE49-F238E27FC236}">
              <a16:creationId xmlns:a16="http://schemas.microsoft.com/office/drawing/2014/main" id="{8ED1E93B-DDD6-435A-9301-2EAFFFE97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7" name="Imagen 3">
          <a:extLst>
            <a:ext uri="{FF2B5EF4-FFF2-40B4-BE49-F238E27FC236}">
              <a16:creationId xmlns:a16="http://schemas.microsoft.com/office/drawing/2014/main" id="{FF2F98F1-B1D9-4DBB-8FAB-66D3376A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8" name="Imagen 3">
          <a:extLst>
            <a:ext uri="{FF2B5EF4-FFF2-40B4-BE49-F238E27FC236}">
              <a16:creationId xmlns:a16="http://schemas.microsoft.com/office/drawing/2014/main" id="{608E1CF4-00F9-46D6-997E-E3B2D1E2C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49" name="Imagen 3">
          <a:extLst>
            <a:ext uri="{FF2B5EF4-FFF2-40B4-BE49-F238E27FC236}">
              <a16:creationId xmlns:a16="http://schemas.microsoft.com/office/drawing/2014/main" id="{29BC680B-3039-49BA-A718-B7F280D8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0" name="Imagen 3">
          <a:extLst>
            <a:ext uri="{FF2B5EF4-FFF2-40B4-BE49-F238E27FC236}">
              <a16:creationId xmlns:a16="http://schemas.microsoft.com/office/drawing/2014/main" id="{58FC88AB-D977-4AC8-9125-241C30FF5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1" name="Imagen 3">
          <a:extLst>
            <a:ext uri="{FF2B5EF4-FFF2-40B4-BE49-F238E27FC236}">
              <a16:creationId xmlns:a16="http://schemas.microsoft.com/office/drawing/2014/main" id="{E4259FD7-AB2F-4777-B77D-829724FEA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2" name="Imagen 3">
          <a:extLst>
            <a:ext uri="{FF2B5EF4-FFF2-40B4-BE49-F238E27FC236}">
              <a16:creationId xmlns:a16="http://schemas.microsoft.com/office/drawing/2014/main" id="{2CAC0B54-3E06-45D0-B41E-01EE444C5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3" name="Imagen 3">
          <a:extLst>
            <a:ext uri="{FF2B5EF4-FFF2-40B4-BE49-F238E27FC236}">
              <a16:creationId xmlns:a16="http://schemas.microsoft.com/office/drawing/2014/main" id="{92EFA866-9483-45D5-8112-777779935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4" name="Imagen 3">
          <a:extLst>
            <a:ext uri="{FF2B5EF4-FFF2-40B4-BE49-F238E27FC236}">
              <a16:creationId xmlns:a16="http://schemas.microsoft.com/office/drawing/2014/main" id="{5F5B63E6-9367-43F3-9363-92321D93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5" name="Imagen 3">
          <a:extLst>
            <a:ext uri="{FF2B5EF4-FFF2-40B4-BE49-F238E27FC236}">
              <a16:creationId xmlns:a16="http://schemas.microsoft.com/office/drawing/2014/main" id="{144A39B6-C528-4C24-A6CD-F8B594B9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6" name="Imagen 3">
          <a:extLst>
            <a:ext uri="{FF2B5EF4-FFF2-40B4-BE49-F238E27FC236}">
              <a16:creationId xmlns:a16="http://schemas.microsoft.com/office/drawing/2014/main" id="{4666E8F3-D5E8-4D37-B86D-89DCD0AC0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" name="Imagen 3">
          <a:extLst>
            <a:ext uri="{FF2B5EF4-FFF2-40B4-BE49-F238E27FC236}">
              <a16:creationId xmlns:a16="http://schemas.microsoft.com/office/drawing/2014/main" id="{05124B2B-C780-4F57-87BC-69DD75D2E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" name="Imagen 3">
          <a:extLst>
            <a:ext uri="{FF2B5EF4-FFF2-40B4-BE49-F238E27FC236}">
              <a16:creationId xmlns:a16="http://schemas.microsoft.com/office/drawing/2014/main" id="{0534607E-C546-477E-932B-D721556C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" name="Imagen 3">
          <a:extLst>
            <a:ext uri="{FF2B5EF4-FFF2-40B4-BE49-F238E27FC236}">
              <a16:creationId xmlns:a16="http://schemas.microsoft.com/office/drawing/2014/main" id="{7BB94F84-A96F-4FB9-8CE8-5B26B849B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" name="Imagen 3">
          <a:extLst>
            <a:ext uri="{FF2B5EF4-FFF2-40B4-BE49-F238E27FC236}">
              <a16:creationId xmlns:a16="http://schemas.microsoft.com/office/drawing/2014/main" id="{EEABDCBC-F405-49F5-B638-5AC8F93F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" name="Imagen 3">
          <a:extLst>
            <a:ext uri="{FF2B5EF4-FFF2-40B4-BE49-F238E27FC236}">
              <a16:creationId xmlns:a16="http://schemas.microsoft.com/office/drawing/2014/main" id="{0EE221D1-5FB4-4DD5-8054-1D77EFF56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" name="Imagen 3">
          <a:extLst>
            <a:ext uri="{FF2B5EF4-FFF2-40B4-BE49-F238E27FC236}">
              <a16:creationId xmlns:a16="http://schemas.microsoft.com/office/drawing/2014/main" id="{891AC11B-5B45-461F-990C-93141DDAB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" name="Imagen 3">
          <a:extLst>
            <a:ext uri="{FF2B5EF4-FFF2-40B4-BE49-F238E27FC236}">
              <a16:creationId xmlns:a16="http://schemas.microsoft.com/office/drawing/2014/main" id="{4A8CED0D-C7E6-48E4-9A44-C25DF37CA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" name="Imagen 3">
          <a:extLst>
            <a:ext uri="{FF2B5EF4-FFF2-40B4-BE49-F238E27FC236}">
              <a16:creationId xmlns:a16="http://schemas.microsoft.com/office/drawing/2014/main" id="{9E498AB7-5D91-47D8-8172-85812318D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" name="Imagen 3">
          <a:extLst>
            <a:ext uri="{FF2B5EF4-FFF2-40B4-BE49-F238E27FC236}">
              <a16:creationId xmlns:a16="http://schemas.microsoft.com/office/drawing/2014/main" id="{806AEE74-51C7-4CC0-A6A4-E9AC0A8A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6" name="Imagen 3">
          <a:extLst>
            <a:ext uri="{FF2B5EF4-FFF2-40B4-BE49-F238E27FC236}">
              <a16:creationId xmlns:a16="http://schemas.microsoft.com/office/drawing/2014/main" id="{3D427053-C4FC-46F3-84A6-0FF65B4AC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7" name="Imagen 3">
          <a:extLst>
            <a:ext uri="{FF2B5EF4-FFF2-40B4-BE49-F238E27FC236}">
              <a16:creationId xmlns:a16="http://schemas.microsoft.com/office/drawing/2014/main" id="{B028000A-645E-42C6-B582-3C6227715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8" name="Imagen 3">
          <a:extLst>
            <a:ext uri="{FF2B5EF4-FFF2-40B4-BE49-F238E27FC236}">
              <a16:creationId xmlns:a16="http://schemas.microsoft.com/office/drawing/2014/main" id="{697CF45D-5ACE-4658-B99A-84EFF8B1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9" name="Imagen 3">
          <a:extLst>
            <a:ext uri="{FF2B5EF4-FFF2-40B4-BE49-F238E27FC236}">
              <a16:creationId xmlns:a16="http://schemas.microsoft.com/office/drawing/2014/main" id="{27FC1F6B-A76F-40F4-ADDC-5B2AB3FCF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0" name="Imagen 3">
          <a:extLst>
            <a:ext uri="{FF2B5EF4-FFF2-40B4-BE49-F238E27FC236}">
              <a16:creationId xmlns:a16="http://schemas.microsoft.com/office/drawing/2014/main" id="{59BEA678-0631-419A-941D-C6C116944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1" name="Imagen 3">
          <a:extLst>
            <a:ext uri="{FF2B5EF4-FFF2-40B4-BE49-F238E27FC236}">
              <a16:creationId xmlns:a16="http://schemas.microsoft.com/office/drawing/2014/main" id="{CC9AFECF-23C3-449A-8347-D92145CF3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2" name="Imagen 3">
          <a:extLst>
            <a:ext uri="{FF2B5EF4-FFF2-40B4-BE49-F238E27FC236}">
              <a16:creationId xmlns:a16="http://schemas.microsoft.com/office/drawing/2014/main" id="{C41170F8-70F6-4665-97EF-B429DE71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3" name="Imagen 3">
          <a:extLst>
            <a:ext uri="{FF2B5EF4-FFF2-40B4-BE49-F238E27FC236}">
              <a16:creationId xmlns:a16="http://schemas.microsoft.com/office/drawing/2014/main" id="{7EF7976B-6AE8-4CDF-875F-68284E3E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4" name="Imagen 3">
          <a:extLst>
            <a:ext uri="{FF2B5EF4-FFF2-40B4-BE49-F238E27FC236}">
              <a16:creationId xmlns:a16="http://schemas.microsoft.com/office/drawing/2014/main" id="{6AA63554-3BF4-4F35-A3F4-1128E0AA0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5" name="Imagen 3">
          <a:extLst>
            <a:ext uri="{FF2B5EF4-FFF2-40B4-BE49-F238E27FC236}">
              <a16:creationId xmlns:a16="http://schemas.microsoft.com/office/drawing/2014/main" id="{F7599122-5994-49C3-B4B2-57A8BA3DD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6" name="Imagen 3">
          <a:extLst>
            <a:ext uri="{FF2B5EF4-FFF2-40B4-BE49-F238E27FC236}">
              <a16:creationId xmlns:a16="http://schemas.microsoft.com/office/drawing/2014/main" id="{D108004A-5A81-45CC-9BFF-8CE91D208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7" name="Imagen 3">
          <a:extLst>
            <a:ext uri="{FF2B5EF4-FFF2-40B4-BE49-F238E27FC236}">
              <a16:creationId xmlns:a16="http://schemas.microsoft.com/office/drawing/2014/main" id="{49FC7726-66E7-48BD-811D-7B532D5C9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8" name="Imagen 3">
          <a:extLst>
            <a:ext uri="{FF2B5EF4-FFF2-40B4-BE49-F238E27FC236}">
              <a16:creationId xmlns:a16="http://schemas.microsoft.com/office/drawing/2014/main" id="{EE152234-C141-418C-AB46-4901ABD4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79" name="Imagen 3">
          <a:extLst>
            <a:ext uri="{FF2B5EF4-FFF2-40B4-BE49-F238E27FC236}">
              <a16:creationId xmlns:a16="http://schemas.microsoft.com/office/drawing/2014/main" id="{278A10BF-55D6-43C1-8184-8315BFB1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0" name="Imagen 3">
          <a:extLst>
            <a:ext uri="{FF2B5EF4-FFF2-40B4-BE49-F238E27FC236}">
              <a16:creationId xmlns:a16="http://schemas.microsoft.com/office/drawing/2014/main" id="{4CB1731B-F0BA-4463-86F7-177672A12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1" name="Imagen 3">
          <a:extLst>
            <a:ext uri="{FF2B5EF4-FFF2-40B4-BE49-F238E27FC236}">
              <a16:creationId xmlns:a16="http://schemas.microsoft.com/office/drawing/2014/main" id="{C3592734-2132-497D-B223-170C586EA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2" name="Imagen 3">
          <a:extLst>
            <a:ext uri="{FF2B5EF4-FFF2-40B4-BE49-F238E27FC236}">
              <a16:creationId xmlns:a16="http://schemas.microsoft.com/office/drawing/2014/main" id="{62D1B07C-138F-4E2E-98C1-DC070A787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3" name="Imagen 3">
          <a:extLst>
            <a:ext uri="{FF2B5EF4-FFF2-40B4-BE49-F238E27FC236}">
              <a16:creationId xmlns:a16="http://schemas.microsoft.com/office/drawing/2014/main" id="{6DE85B90-24A4-40D2-9086-1E8908FB0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4" name="Imagen 3">
          <a:extLst>
            <a:ext uri="{FF2B5EF4-FFF2-40B4-BE49-F238E27FC236}">
              <a16:creationId xmlns:a16="http://schemas.microsoft.com/office/drawing/2014/main" id="{25A0036A-BD1C-4B9B-8B8C-823A2010C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5" name="Imagen 3">
          <a:extLst>
            <a:ext uri="{FF2B5EF4-FFF2-40B4-BE49-F238E27FC236}">
              <a16:creationId xmlns:a16="http://schemas.microsoft.com/office/drawing/2014/main" id="{F3492DBC-1FB8-460A-98A3-E6B9D29CF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6" name="Imagen 3">
          <a:extLst>
            <a:ext uri="{FF2B5EF4-FFF2-40B4-BE49-F238E27FC236}">
              <a16:creationId xmlns:a16="http://schemas.microsoft.com/office/drawing/2014/main" id="{6E0BD7E9-5DA6-402E-B4D6-B2B066AA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7" name="Imagen 3">
          <a:extLst>
            <a:ext uri="{FF2B5EF4-FFF2-40B4-BE49-F238E27FC236}">
              <a16:creationId xmlns:a16="http://schemas.microsoft.com/office/drawing/2014/main" id="{11224875-E3D5-43DE-AF90-131BBF7D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8" name="Imagen 3">
          <a:extLst>
            <a:ext uri="{FF2B5EF4-FFF2-40B4-BE49-F238E27FC236}">
              <a16:creationId xmlns:a16="http://schemas.microsoft.com/office/drawing/2014/main" id="{71A027B7-99DB-44EA-A73D-D2D2E7DFB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89" name="Imagen 3">
          <a:extLst>
            <a:ext uri="{FF2B5EF4-FFF2-40B4-BE49-F238E27FC236}">
              <a16:creationId xmlns:a16="http://schemas.microsoft.com/office/drawing/2014/main" id="{200579A3-43B1-48C2-9B6A-DE2AA86F8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0" name="Imagen 3">
          <a:extLst>
            <a:ext uri="{FF2B5EF4-FFF2-40B4-BE49-F238E27FC236}">
              <a16:creationId xmlns:a16="http://schemas.microsoft.com/office/drawing/2014/main" id="{8F88BD6C-E31C-4C8C-8B83-9FE6BC39F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1" name="Imagen 3">
          <a:extLst>
            <a:ext uri="{FF2B5EF4-FFF2-40B4-BE49-F238E27FC236}">
              <a16:creationId xmlns:a16="http://schemas.microsoft.com/office/drawing/2014/main" id="{D2011AEA-18E2-41A3-BD05-FEC65DD76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2" name="Imagen 3">
          <a:extLst>
            <a:ext uri="{FF2B5EF4-FFF2-40B4-BE49-F238E27FC236}">
              <a16:creationId xmlns:a16="http://schemas.microsoft.com/office/drawing/2014/main" id="{B85D0A0A-1A37-4887-8239-D59BB9016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3" name="Imagen 3">
          <a:extLst>
            <a:ext uri="{FF2B5EF4-FFF2-40B4-BE49-F238E27FC236}">
              <a16:creationId xmlns:a16="http://schemas.microsoft.com/office/drawing/2014/main" id="{0062C914-B26D-4209-AD24-177123F40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4" name="Imagen 3">
          <a:extLst>
            <a:ext uri="{FF2B5EF4-FFF2-40B4-BE49-F238E27FC236}">
              <a16:creationId xmlns:a16="http://schemas.microsoft.com/office/drawing/2014/main" id="{67268D9D-E8E6-4239-9B63-AC5EA4AC0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5" name="Imagen 3">
          <a:extLst>
            <a:ext uri="{FF2B5EF4-FFF2-40B4-BE49-F238E27FC236}">
              <a16:creationId xmlns:a16="http://schemas.microsoft.com/office/drawing/2014/main" id="{40CD2E54-82D4-4E74-A6F6-C7D3A9B98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6" name="Imagen 3">
          <a:extLst>
            <a:ext uri="{FF2B5EF4-FFF2-40B4-BE49-F238E27FC236}">
              <a16:creationId xmlns:a16="http://schemas.microsoft.com/office/drawing/2014/main" id="{987B3501-98E9-4772-8E7E-717C976A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7" name="Imagen 3">
          <a:extLst>
            <a:ext uri="{FF2B5EF4-FFF2-40B4-BE49-F238E27FC236}">
              <a16:creationId xmlns:a16="http://schemas.microsoft.com/office/drawing/2014/main" id="{718AE654-0C4A-4297-A994-9EC5CA989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8" name="Imagen 3">
          <a:extLst>
            <a:ext uri="{FF2B5EF4-FFF2-40B4-BE49-F238E27FC236}">
              <a16:creationId xmlns:a16="http://schemas.microsoft.com/office/drawing/2014/main" id="{7B434505-245F-4BAA-B9D3-B807262FC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99" name="Imagen 3">
          <a:extLst>
            <a:ext uri="{FF2B5EF4-FFF2-40B4-BE49-F238E27FC236}">
              <a16:creationId xmlns:a16="http://schemas.microsoft.com/office/drawing/2014/main" id="{AA150DC9-A3F5-45CF-90D3-7861C1D09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0" name="Imagen 3">
          <a:extLst>
            <a:ext uri="{FF2B5EF4-FFF2-40B4-BE49-F238E27FC236}">
              <a16:creationId xmlns:a16="http://schemas.microsoft.com/office/drawing/2014/main" id="{DE14DED0-C9B0-4497-849A-8F8545F36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1" name="Imagen 3">
          <a:extLst>
            <a:ext uri="{FF2B5EF4-FFF2-40B4-BE49-F238E27FC236}">
              <a16:creationId xmlns:a16="http://schemas.microsoft.com/office/drawing/2014/main" id="{9007FDD5-273C-45CB-9ADD-F1AE71103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2" name="Imagen 3">
          <a:extLst>
            <a:ext uri="{FF2B5EF4-FFF2-40B4-BE49-F238E27FC236}">
              <a16:creationId xmlns:a16="http://schemas.microsoft.com/office/drawing/2014/main" id="{0AC05DB6-15B6-42B0-BD56-7B52CD42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3" name="Imagen 3">
          <a:extLst>
            <a:ext uri="{FF2B5EF4-FFF2-40B4-BE49-F238E27FC236}">
              <a16:creationId xmlns:a16="http://schemas.microsoft.com/office/drawing/2014/main" id="{0DA7D3DB-CBA6-4F04-A7EA-4A3903BE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4" name="Imagen 3">
          <a:extLst>
            <a:ext uri="{FF2B5EF4-FFF2-40B4-BE49-F238E27FC236}">
              <a16:creationId xmlns:a16="http://schemas.microsoft.com/office/drawing/2014/main" id="{3E98A354-457A-4A80-B1ED-BC6A10EA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5" name="Imagen 3">
          <a:extLst>
            <a:ext uri="{FF2B5EF4-FFF2-40B4-BE49-F238E27FC236}">
              <a16:creationId xmlns:a16="http://schemas.microsoft.com/office/drawing/2014/main" id="{2D2695E8-B90C-4079-AA76-136455883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6" name="Imagen 3">
          <a:extLst>
            <a:ext uri="{FF2B5EF4-FFF2-40B4-BE49-F238E27FC236}">
              <a16:creationId xmlns:a16="http://schemas.microsoft.com/office/drawing/2014/main" id="{77940EA5-F157-4D9B-896B-5ED3A2CAE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7" name="Imagen 3">
          <a:extLst>
            <a:ext uri="{FF2B5EF4-FFF2-40B4-BE49-F238E27FC236}">
              <a16:creationId xmlns:a16="http://schemas.microsoft.com/office/drawing/2014/main" id="{87FEA70F-D53C-4146-BF0D-21AA89A81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8" name="Imagen 3">
          <a:extLst>
            <a:ext uri="{FF2B5EF4-FFF2-40B4-BE49-F238E27FC236}">
              <a16:creationId xmlns:a16="http://schemas.microsoft.com/office/drawing/2014/main" id="{9C257C41-F9AB-4C21-9656-F87D5ACB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09" name="Imagen 3">
          <a:extLst>
            <a:ext uri="{FF2B5EF4-FFF2-40B4-BE49-F238E27FC236}">
              <a16:creationId xmlns:a16="http://schemas.microsoft.com/office/drawing/2014/main" id="{F033F6E7-4C80-4737-A6D3-CA12AF1CE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10" name="Imagen 3">
          <a:extLst>
            <a:ext uri="{FF2B5EF4-FFF2-40B4-BE49-F238E27FC236}">
              <a16:creationId xmlns:a16="http://schemas.microsoft.com/office/drawing/2014/main" id="{4795BA50-0BDF-4997-B992-3644800F7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11" name="Imagen 3">
          <a:extLst>
            <a:ext uri="{FF2B5EF4-FFF2-40B4-BE49-F238E27FC236}">
              <a16:creationId xmlns:a16="http://schemas.microsoft.com/office/drawing/2014/main" id="{37F9F01E-E8F1-4877-BDBB-02307FD04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12" name="Imagen 3">
          <a:extLst>
            <a:ext uri="{FF2B5EF4-FFF2-40B4-BE49-F238E27FC236}">
              <a16:creationId xmlns:a16="http://schemas.microsoft.com/office/drawing/2014/main" id="{FC2D24BC-601D-4AD2-A8D5-F50DBD696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13" name="Imagen 3">
          <a:extLst>
            <a:ext uri="{FF2B5EF4-FFF2-40B4-BE49-F238E27FC236}">
              <a16:creationId xmlns:a16="http://schemas.microsoft.com/office/drawing/2014/main" id="{5B7C001C-3D10-45EE-9EE8-D13D80E26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14" name="Imagen 3">
          <a:extLst>
            <a:ext uri="{FF2B5EF4-FFF2-40B4-BE49-F238E27FC236}">
              <a16:creationId xmlns:a16="http://schemas.microsoft.com/office/drawing/2014/main" id="{213B448D-001C-487E-BD1F-22C37ABAA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15" name="Imagen 3">
          <a:extLst>
            <a:ext uri="{FF2B5EF4-FFF2-40B4-BE49-F238E27FC236}">
              <a16:creationId xmlns:a16="http://schemas.microsoft.com/office/drawing/2014/main" id="{1DCAD5F9-4DFF-4027-B11D-813FC81E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16" name="Imagen 3">
          <a:extLst>
            <a:ext uri="{FF2B5EF4-FFF2-40B4-BE49-F238E27FC236}">
              <a16:creationId xmlns:a16="http://schemas.microsoft.com/office/drawing/2014/main" id="{8EEC0DA8-206A-4A0F-9E4E-4EDF8A486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17" name="Imagen 3">
          <a:extLst>
            <a:ext uri="{FF2B5EF4-FFF2-40B4-BE49-F238E27FC236}">
              <a16:creationId xmlns:a16="http://schemas.microsoft.com/office/drawing/2014/main" id="{F7A04A7A-43A4-45B8-A8CE-541150971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18" name="Imagen 3">
          <a:extLst>
            <a:ext uri="{FF2B5EF4-FFF2-40B4-BE49-F238E27FC236}">
              <a16:creationId xmlns:a16="http://schemas.microsoft.com/office/drawing/2014/main" id="{7C2B7296-B70A-4804-97C2-0B3AFD6DC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19" name="Imagen 3">
          <a:extLst>
            <a:ext uri="{FF2B5EF4-FFF2-40B4-BE49-F238E27FC236}">
              <a16:creationId xmlns:a16="http://schemas.microsoft.com/office/drawing/2014/main" id="{8DE7BC15-71BC-4617-A211-C9C683A8A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0" name="Imagen 3">
          <a:extLst>
            <a:ext uri="{FF2B5EF4-FFF2-40B4-BE49-F238E27FC236}">
              <a16:creationId xmlns:a16="http://schemas.microsoft.com/office/drawing/2014/main" id="{9B491B1B-0261-4F60-B216-0B47109AF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1" name="Imagen 3">
          <a:extLst>
            <a:ext uri="{FF2B5EF4-FFF2-40B4-BE49-F238E27FC236}">
              <a16:creationId xmlns:a16="http://schemas.microsoft.com/office/drawing/2014/main" id="{FE2328C3-D1D5-4C91-9A90-6C21A34A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2" name="Imagen 3">
          <a:extLst>
            <a:ext uri="{FF2B5EF4-FFF2-40B4-BE49-F238E27FC236}">
              <a16:creationId xmlns:a16="http://schemas.microsoft.com/office/drawing/2014/main" id="{0ACC8BD6-C2ED-4EEC-81E9-DFF7361B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3" name="Imagen 3">
          <a:extLst>
            <a:ext uri="{FF2B5EF4-FFF2-40B4-BE49-F238E27FC236}">
              <a16:creationId xmlns:a16="http://schemas.microsoft.com/office/drawing/2014/main" id="{31428CFD-6B19-4408-BA24-BDC7B0299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4" name="Imagen 3">
          <a:extLst>
            <a:ext uri="{FF2B5EF4-FFF2-40B4-BE49-F238E27FC236}">
              <a16:creationId xmlns:a16="http://schemas.microsoft.com/office/drawing/2014/main" id="{F3EE737C-4D0F-4B1E-B23A-6ACC6D25F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5" name="Imagen 3">
          <a:extLst>
            <a:ext uri="{FF2B5EF4-FFF2-40B4-BE49-F238E27FC236}">
              <a16:creationId xmlns:a16="http://schemas.microsoft.com/office/drawing/2014/main" id="{D3E1A1E4-19AD-4F6D-AAA4-CE03C050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6" name="Imagen 3">
          <a:extLst>
            <a:ext uri="{FF2B5EF4-FFF2-40B4-BE49-F238E27FC236}">
              <a16:creationId xmlns:a16="http://schemas.microsoft.com/office/drawing/2014/main" id="{C1F2DC10-1D17-4844-BDEB-1B3BA1D7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7" name="Imagen 3">
          <a:extLst>
            <a:ext uri="{FF2B5EF4-FFF2-40B4-BE49-F238E27FC236}">
              <a16:creationId xmlns:a16="http://schemas.microsoft.com/office/drawing/2014/main" id="{013AFC6E-D268-4DEC-8F6E-5AB309B5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8" name="Imagen 3">
          <a:extLst>
            <a:ext uri="{FF2B5EF4-FFF2-40B4-BE49-F238E27FC236}">
              <a16:creationId xmlns:a16="http://schemas.microsoft.com/office/drawing/2014/main" id="{E597515C-25DD-4A31-81B4-22ED5B40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29" name="Imagen 3">
          <a:extLst>
            <a:ext uri="{FF2B5EF4-FFF2-40B4-BE49-F238E27FC236}">
              <a16:creationId xmlns:a16="http://schemas.microsoft.com/office/drawing/2014/main" id="{9E5308C0-FDBC-4DFC-AB8E-3C1265B88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0" name="Imagen 3">
          <a:extLst>
            <a:ext uri="{FF2B5EF4-FFF2-40B4-BE49-F238E27FC236}">
              <a16:creationId xmlns:a16="http://schemas.microsoft.com/office/drawing/2014/main" id="{A6FCF5FE-FEF4-4A6D-925C-F86DC51B3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1" name="Imagen 3">
          <a:extLst>
            <a:ext uri="{FF2B5EF4-FFF2-40B4-BE49-F238E27FC236}">
              <a16:creationId xmlns:a16="http://schemas.microsoft.com/office/drawing/2014/main" id="{13D22D06-D897-4B96-AC65-7B1D297F1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2" name="Imagen 3">
          <a:extLst>
            <a:ext uri="{FF2B5EF4-FFF2-40B4-BE49-F238E27FC236}">
              <a16:creationId xmlns:a16="http://schemas.microsoft.com/office/drawing/2014/main" id="{092C6F72-C8FD-4F1C-9C24-FCD223837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3" name="Imagen 3">
          <a:extLst>
            <a:ext uri="{FF2B5EF4-FFF2-40B4-BE49-F238E27FC236}">
              <a16:creationId xmlns:a16="http://schemas.microsoft.com/office/drawing/2014/main" id="{B9E78730-E87A-4736-83E1-0CE792539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4" name="Imagen 3">
          <a:extLst>
            <a:ext uri="{FF2B5EF4-FFF2-40B4-BE49-F238E27FC236}">
              <a16:creationId xmlns:a16="http://schemas.microsoft.com/office/drawing/2014/main" id="{BEF21364-6D61-4B91-8EC4-16A51A48D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5" name="Imagen 3">
          <a:extLst>
            <a:ext uri="{FF2B5EF4-FFF2-40B4-BE49-F238E27FC236}">
              <a16:creationId xmlns:a16="http://schemas.microsoft.com/office/drawing/2014/main" id="{D1CFBDF8-8DCF-41A2-91EC-33E3D7CA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6" name="Imagen 3">
          <a:extLst>
            <a:ext uri="{FF2B5EF4-FFF2-40B4-BE49-F238E27FC236}">
              <a16:creationId xmlns:a16="http://schemas.microsoft.com/office/drawing/2014/main" id="{CFFBD8C5-7248-4779-9E9E-311724273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7" name="Imagen 3">
          <a:extLst>
            <a:ext uri="{FF2B5EF4-FFF2-40B4-BE49-F238E27FC236}">
              <a16:creationId xmlns:a16="http://schemas.microsoft.com/office/drawing/2014/main" id="{40BC3F77-1A66-438D-B287-1A91663E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8" name="Imagen 3">
          <a:extLst>
            <a:ext uri="{FF2B5EF4-FFF2-40B4-BE49-F238E27FC236}">
              <a16:creationId xmlns:a16="http://schemas.microsoft.com/office/drawing/2014/main" id="{0E469EF3-6835-4BE9-A8F2-DF1673EEA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39" name="Imagen 3">
          <a:extLst>
            <a:ext uri="{FF2B5EF4-FFF2-40B4-BE49-F238E27FC236}">
              <a16:creationId xmlns:a16="http://schemas.microsoft.com/office/drawing/2014/main" id="{D806C33B-8BF0-41E1-8DAB-B6C87B54E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0" name="Imagen 3">
          <a:extLst>
            <a:ext uri="{FF2B5EF4-FFF2-40B4-BE49-F238E27FC236}">
              <a16:creationId xmlns:a16="http://schemas.microsoft.com/office/drawing/2014/main" id="{49EA9583-8717-4B53-82D6-E2E4FD102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1" name="Imagen 3">
          <a:extLst>
            <a:ext uri="{FF2B5EF4-FFF2-40B4-BE49-F238E27FC236}">
              <a16:creationId xmlns:a16="http://schemas.microsoft.com/office/drawing/2014/main" id="{CA12B0CE-D25D-4D94-A03B-E1BA5E693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2" name="Imagen 3">
          <a:extLst>
            <a:ext uri="{FF2B5EF4-FFF2-40B4-BE49-F238E27FC236}">
              <a16:creationId xmlns:a16="http://schemas.microsoft.com/office/drawing/2014/main" id="{9C155958-399F-4049-A862-DE060D387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3" name="Imagen 3">
          <a:extLst>
            <a:ext uri="{FF2B5EF4-FFF2-40B4-BE49-F238E27FC236}">
              <a16:creationId xmlns:a16="http://schemas.microsoft.com/office/drawing/2014/main" id="{252075B6-EA94-4925-9E33-ADF02A6E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4" name="Imagen 3">
          <a:extLst>
            <a:ext uri="{FF2B5EF4-FFF2-40B4-BE49-F238E27FC236}">
              <a16:creationId xmlns:a16="http://schemas.microsoft.com/office/drawing/2014/main" id="{0E42D964-FA83-461F-83AB-FDB256FE0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5" name="Imagen 3">
          <a:extLst>
            <a:ext uri="{FF2B5EF4-FFF2-40B4-BE49-F238E27FC236}">
              <a16:creationId xmlns:a16="http://schemas.microsoft.com/office/drawing/2014/main" id="{731C746E-50FC-4A02-AAEC-7A397C522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6" name="Imagen 3">
          <a:extLst>
            <a:ext uri="{FF2B5EF4-FFF2-40B4-BE49-F238E27FC236}">
              <a16:creationId xmlns:a16="http://schemas.microsoft.com/office/drawing/2014/main" id="{D2CD206E-23AE-4C44-A26E-CBD4E550E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7" name="Imagen 3">
          <a:extLst>
            <a:ext uri="{FF2B5EF4-FFF2-40B4-BE49-F238E27FC236}">
              <a16:creationId xmlns:a16="http://schemas.microsoft.com/office/drawing/2014/main" id="{C0A6CDFB-8026-44F1-8F14-AAA198B0D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8" name="Imagen 3">
          <a:extLst>
            <a:ext uri="{FF2B5EF4-FFF2-40B4-BE49-F238E27FC236}">
              <a16:creationId xmlns:a16="http://schemas.microsoft.com/office/drawing/2014/main" id="{D2898E07-6358-4E4F-999A-DB810031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49" name="Imagen 3">
          <a:extLst>
            <a:ext uri="{FF2B5EF4-FFF2-40B4-BE49-F238E27FC236}">
              <a16:creationId xmlns:a16="http://schemas.microsoft.com/office/drawing/2014/main" id="{C66B8D6C-4BBA-4ABB-9E42-C1ACDABD7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0" name="Imagen 3">
          <a:extLst>
            <a:ext uri="{FF2B5EF4-FFF2-40B4-BE49-F238E27FC236}">
              <a16:creationId xmlns:a16="http://schemas.microsoft.com/office/drawing/2014/main" id="{E7376F4E-0816-4D23-96C1-BC16591F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1" name="Imagen 3">
          <a:extLst>
            <a:ext uri="{FF2B5EF4-FFF2-40B4-BE49-F238E27FC236}">
              <a16:creationId xmlns:a16="http://schemas.microsoft.com/office/drawing/2014/main" id="{8CBB9A58-FF5E-4E45-8B6B-02BA2591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2" name="Imagen 3">
          <a:extLst>
            <a:ext uri="{FF2B5EF4-FFF2-40B4-BE49-F238E27FC236}">
              <a16:creationId xmlns:a16="http://schemas.microsoft.com/office/drawing/2014/main" id="{63A9D11D-3759-4106-B060-0B2C5419B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3" name="Imagen 3">
          <a:extLst>
            <a:ext uri="{FF2B5EF4-FFF2-40B4-BE49-F238E27FC236}">
              <a16:creationId xmlns:a16="http://schemas.microsoft.com/office/drawing/2014/main" id="{2FF40AD3-D8D0-4C90-AF1B-4289F57F2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4" name="Imagen 3">
          <a:extLst>
            <a:ext uri="{FF2B5EF4-FFF2-40B4-BE49-F238E27FC236}">
              <a16:creationId xmlns:a16="http://schemas.microsoft.com/office/drawing/2014/main" id="{1F111346-0774-4D43-8CB6-54D765200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5" name="Imagen 3">
          <a:extLst>
            <a:ext uri="{FF2B5EF4-FFF2-40B4-BE49-F238E27FC236}">
              <a16:creationId xmlns:a16="http://schemas.microsoft.com/office/drawing/2014/main" id="{8C357E36-562A-4F35-80F5-10D47E563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6" name="Imagen 3">
          <a:extLst>
            <a:ext uri="{FF2B5EF4-FFF2-40B4-BE49-F238E27FC236}">
              <a16:creationId xmlns:a16="http://schemas.microsoft.com/office/drawing/2014/main" id="{EEF25D3C-1483-4ACF-8F29-8DFEF599E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7" name="Imagen 3">
          <a:extLst>
            <a:ext uri="{FF2B5EF4-FFF2-40B4-BE49-F238E27FC236}">
              <a16:creationId xmlns:a16="http://schemas.microsoft.com/office/drawing/2014/main" id="{8A79B990-A01A-4A18-B19D-A4E6DB7D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8" name="Imagen 3">
          <a:extLst>
            <a:ext uri="{FF2B5EF4-FFF2-40B4-BE49-F238E27FC236}">
              <a16:creationId xmlns:a16="http://schemas.microsoft.com/office/drawing/2014/main" id="{764B9819-031D-44E4-9561-5AD5C5D29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59" name="Imagen 3">
          <a:extLst>
            <a:ext uri="{FF2B5EF4-FFF2-40B4-BE49-F238E27FC236}">
              <a16:creationId xmlns:a16="http://schemas.microsoft.com/office/drawing/2014/main" id="{4060E6F1-1764-436D-86BF-CAFF40F82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0" name="Imagen 3">
          <a:extLst>
            <a:ext uri="{FF2B5EF4-FFF2-40B4-BE49-F238E27FC236}">
              <a16:creationId xmlns:a16="http://schemas.microsoft.com/office/drawing/2014/main" id="{5EDE27FB-4EF5-419C-9C3D-195B58ED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1" name="Imagen 3">
          <a:extLst>
            <a:ext uri="{FF2B5EF4-FFF2-40B4-BE49-F238E27FC236}">
              <a16:creationId xmlns:a16="http://schemas.microsoft.com/office/drawing/2014/main" id="{42E7E211-E7F0-43D5-9253-768782F9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2" name="Imagen 3">
          <a:extLst>
            <a:ext uri="{FF2B5EF4-FFF2-40B4-BE49-F238E27FC236}">
              <a16:creationId xmlns:a16="http://schemas.microsoft.com/office/drawing/2014/main" id="{89659C6C-995B-46EF-9D53-261A7D58D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3" name="Imagen 3">
          <a:extLst>
            <a:ext uri="{FF2B5EF4-FFF2-40B4-BE49-F238E27FC236}">
              <a16:creationId xmlns:a16="http://schemas.microsoft.com/office/drawing/2014/main" id="{8DE95CED-AA59-49C4-8D96-475351FC1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4" name="Imagen 3">
          <a:extLst>
            <a:ext uri="{FF2B5EF4-FFF2-40B4-BE49-F238E27FC236}">
              <a16:creationId xmlns:a16="http://schemas.microsoft.com/office/drawing/2014/main" id="{11AE2DBA-AB85-45FC-AA4C-857F4606A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5" name="Imagen 3">
          <a:extLst>
            <a:ext uri="{FF2B5EF4-FFF2-40B4-BE49-F238E27FC236}">
              <a16:creationId xmlns:a16="http://schemas.microsoft.com/office/drawing/2014/main" id="{F56D525D-B46B-4069-BF5D-C102BF45A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6" name="Imagen 3">
          <a:extLst>
            <a:ext uri="{FF2B5EF4-FFF2-40B4-BE49-F238E27FC236}">
              <a16:creationId xmlns:a16="http://schemas.microsoft.com/office/drawing/2014/main" id="{9CF77511-1511-4CF5-8F1A-1FC0BE79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7" name="Imagen 3">
          <a:extLst>
            <a:ext uri="{FF2B5EF4-FFF2-40B4-BE49-F238E27FC236}">
              <a16:creationId xmlns:a16="http://schemas.microsoft.com/office/drawing/2014/main" id="{97C358FF-212A-4749-8F4B-3DC4ED3E5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8" name="Imagen 3">
          <a:extLst>
            <a:ext uri="{FF2B5EF4-FFF2-40B4-BE49-F238E27FC236}">
              <a16:creationId xmlns:a16="http://schemas.microsoft.com/office/drawing/2014/main" id="{CF9D830B-EB10-4C15-B31D-A1C83383F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69" name="Imagen 3">
          <a:extLst>
            <a:ext uri="{FF2B5EF4-FFF2-40B4-BE49-F238E27FC236}">
              <a16:creationId xmlns:a16="http://schemas.microsoft.com/office/drawing/2014/main" id="{2DBE7F7E-3476-4A43-8F5A-0A0AFA7E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70" name="Imagen 3">
          <a:extLst>
            <a:ext uri="{FF2B5EF4-FFF2-40B4-BE49-F238E27FC236}">
              <a16:creationId xmlns:a16="http://schemas.microsoft.com/office/drawing/2014/main" id="{8FC9BD7D-2CB6-4853-898D-A7750F88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71" name="Imagen 3">
          <a:extLst>
            <a:ext uri="{FF2B5EF4-FFF2-40B4-BE49-F238E27FC236}">
              <a16:creationId xmlns:a16="http://schemas.microsoft.com/office/drawing/2014/main" id="{3D072357-D3EE-448A-BB84-BEF9BBFB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172" name="Imagen 3">
          <a:extLst>
            <a:ext uri="{FF2B5EF4-FFF2-40B4-BE49-F238E27FC236}">
              <a16:creationId xmlns:a16="http://schemas.microsoft.com/office/drawing/2014/main" id="{B945DB2C-DB2E-4FB6-B54A-30DBFE08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73" name="Imagen 3">
          <a:extLst>
            <a:ext uri="{FF2B5EF4-FFF2-40B4-BE49-F238E27FC236}">
              <a16:creationId xmlns:a16="http://schemas.microsoft.com/office/drawing/2014/main" id="{28B78CD1-DABF-42C1-9515-E1C261188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74" name="Imagen 3">
          <a:extLst>
            <a:ext uri="{FF2B5EF4-FFF2-40B4-BE49-F238E27FC236}">
              <a16:creationId xmlns:a16="http://schemas.microsoft.com/office/drawing/2014/main" id="{DC7BDB12-C5A6-47C5-94EE-0E1D0D137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75" name="Imagen 3">
          <a:extLst>
            <a:ext uri="{FF2B5EF4-FFF2-40B4-BE49-F238E27FC236}">
              <a16:creationId xmlns:a16="http://schemas.microsoft.com/office/drawing/2014/main" id="{001A813C-E5C4-4045-ADB7-4CE7A59A2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76" name="Imagen 3">
          <a:extLst>
            <a:ext uri="{FF2B5EF4-FFF2-40B4-BE49-F238E27FC236}">
              <a16:creationId xmlns:a16="http://schemas.microsoft.com/office/drawing/2014/main" id="{B489BD2D-246F-44E3-B263-3C4950537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77" name="Imagen 3">
          <a:extLst>
            <a:ext uri="{FF2B5EF4-FFF2-40B4-BE49-F238E27FC236}">
              <a16:creationId xmlns:a16="http://schemas.microsoft.com/office/drawing/2014/main" id="{27B0DEC8-4754-44DA-8B10-1AB32A770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78" name="Imagen 3">
          <a:extLst>
            <a:ext uri="{FF2B5EF4-FFF2-40B4-BE49-F238E27FC236}">
              <a16:creationId xmlns:a16="http://schemas.microsoft.com/office/drawing/2014/main" id="{43E30D6A-1CC7-4C3E-928D-2218B7E22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79" name="Imagen 3">
          <a:extLst>
            <a:ext uri="{FF2B5EF4-FFF2-40B4-BE49-F238E27FC236}">
              <a16:creationId xmlns:a16="http://schemas.microsoft.com/office/drawing/2014/main" id="{514B50DE-29C5-4283-AFF5-F713BEC6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0" name="Imagen 3">
          <a:extLst>
            <a:ext uri="{FF2B5EF4-FFF2-40B4-BE49-F238E27FC236}">
              <a16:creationId xmlns:a16="http://schemas.microsoft.com/office/drawing/2014/main" id="{0D1CBF5A-7B76-421A-A52F-7CD3371A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1" name="Imagen 3">
          <a:extLst>
            <a:ext uri="{FF2B5EF4-FFF2-40B4-BE49-F238E27FC236}">
              <a16:creationId xmlns:a16="http://schemas.microsoft.com/office/drawing/2014/main" id="{7A5F695F-B6C0-4F14-BBDD-FA4F16DA2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2" name="Imagen 3">
          <a:extLst>
            <a:ext uri="{FF2B5EF4-FFF2-40B4-BE49-F238E27FC236}">
              <a16:creationId xmlns:a16="http://schemas.microsoft.com/office/drawing/2014/main" id="{51E30BF7-44D1-4EDD-B1EC-2E4BCC0D9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3" name="Imagen 3">
          <a:extLst>
            <a:ext uri="{FF2B5EF4-FFF2-40B4-BE49-F238E27FC236}">
              <a16:creationId xmlns:a16="http://schemas.microsoft.com/office/drawing/2014/main" id="{CCDA02CA-2CFA-416E-9C7A-A9D5B4290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4" name="Imagen 3">
          <a:extLst>
            <a:ext uri="{FF2B5EF4-FFF2-40B4-BE49-F238E27FC236}">
              <a16:creationId xmlns:a16="http://schemas.microsoft.com/office/drawing/2014/main" id="{2C4B7CF7-A479-4609-83E4-1D31F9A95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5" name="Imagen 3">
          <a:extLst>
            <a:ext uri="{FF2B5EF4-FFF2-40B4-BE49-F238E27FC236}">
              <a16:creationId xmlns:a16="http://schemas.microsoft.com/office/drawing/2014/main" id="{2BC4B4BA-79E0-4D53-BC0A-11FEDE456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6" name="Imagen 3">
          <a:extLst>
            <a:ext uri="{FF2B5EF4-FFF2-40B4-BE49-F238E27FC236}">
              <a16:creationId xmlns:a16="http://schemas.microsoft.com/office/drawing/2014/main" id="{47694840-1307-4374-BC3F-A30CA3157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7" name="Imagen 3">
          <a:extLst>
            <a:ext uri="{FF2B5EF4-FFF2-40B4-BE49-F238E27FC236}">
              <a16:creationId xmlns:a16="http://schemas.microsoft.com/office/drawing/2014/main" id="{B6E0F7A9-14FA-4457-9836-033BB4DD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8" name="Imagen 3">
          <a:extLst>
            <a:ext uri="{FF2B5EF4-FFF2-40B4-BE49-F238E27FC236}">
              <a16:creationId xmlns:a16="http://schemas.microsoft.com/office/drawing/2014/main" id="{3B454056-D729-426B-B478-345D472CF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89" name="Imagen 3">
          <a:extLst>
            <a:ext uri="{FF2B5EF4-FFF2-40B4-BE49-F238E27FC236}">
              <a16:creationId xmlns:a16="http://schemas.microsoft.com/office/drawing/2014/main" id="{4C786A2A-E094-40DF-AA68-8C56A7C5E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0" name="Imagen 3">
          <a:extLst>
            <a:ext uri="{FF2B5EF4-FFF2-40B4-BE49-F238E27FC236}">
              <a16:creationId xmlns:a16="http://schemas.microsoft.com/office/drawing/2014/main" id="{FDEEBFC1-6C52-4D5B-950A-FFF9B0ED4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1" name="Imagen 3">
          <a:extLst>
            <a:ext uri="{FF2B5EF4-FFF2-40B4-BE49-F238E27FC236}">
              <a16:creationId xmlns:a16="http://schemas.microsoft.com/office/drawing/2014/main" id="{236FA905-3719-4BB2-B274-BDCE019CC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2" name="Imagen 3">
          <a:extLst>
            <a:ext uri="{FF2B5EF4-FFF2-40B4-BE49-F238E27FC236}">
              <a16:creationId xmlns:a16="http://schemas.microsoft.com/office/drawing/2014/main" id="{5777F023-9B9E-4462-B0CC-C53127104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3" name="Imagen 3">
          <a:extLst>
            <a:ext uri="{FF2B5EF4-FFF2-40B4-BE49-F238E27FC236}">
              <a16:creationId xmlns:a16="http://schemas.microsoft.com/office/drawing/2014/main" id="{D7E2CC61-6559-4176-9476-4DC2BF37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4" name="Imagen 3">
          <a:extLst>
            <a:ext uri="{FF2B5EF4-FFF2-40B4-BE49-F238E27FC236}">
              <a16:creationId xmlns:a16="http://schemas.microsoft.com/office/drawing/2014/main" id="{4233F4CB-370D-4943-AC7B-2189FAC7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5" name="Imagen 3">
          <a:extLst>
            <a:ext uri="{FF2B5EF4-FFF2-40B4-BE49-F238E27FC236}">
              <a16:creationId xmlns:a16="http://schemas.microsoft.com/office/drawing/2014/main" id="{929ADC45-DE10-4614-8303-9AABB83A8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6" name="Imagen 3">
          <a:extLst>
            <a:ext uri="{FF2B5EF4-FFF2-40B4-BE49-F238E27FC236}">
              <a16:creationId xmlns:a16="http://schemas.microsoft.com/office/drawing/2014/main" id="{2D16EE13-265F-4FBD-8ECB-A5DAB9E5D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7" name="Imagen 3">
          <a:extLst>
            <a:ext uri="{FF2B5EF4-FFF2-40B4-BE49-F238E27FC236}">
              <a16:creationId xmlns:a16="http://schemas.microsoft.com/office/drawing/2014/main" id="{155FB4B6-613A-4D46-9207-01A507362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8" name="Imagen 3">
          <a:extLst>
            <a:ext uri="{FF2B5EF4-FFF2-40B4-BE49-F238E27FC236}">
              <a16:creationId xmlns:a16="http://schemas.microsoft.com/office/drawing/2014/main" id="{FD0C3BDF-17D0-4D2B-A751-97411BC37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199" name="Imagen 3">
          <a:extLst>
            <a:ext uri="{FF2B5EF4-FFF2-40B4-BE49-F238E27FC236}">
              <a16:creationId xmlns:a16="http://schemas.microsoft.com/office/drawing/2014/main" id="{30A8FB1D-B563-4F05-A4A1-AAAC8C2B2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0" name="Imagen 3">
          <a:extLst>
            <a:ext uri="{FF2B5EF4-FFF2-40B4-BE49-F238E27FC236}">
              <a16:creationId xmlns:a16="http://schemas.microsoft.com/office/drawing/2014/main" id="{E60BCFFC-E733-4F45-B5F6-30FBFBB10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1" name="Imagen 3">
          <a:extLst>
            <a:ext uri="{FF2B5EF4-FFF2-40B4-BE49-F238E27FC236}">
              <a16:creationId xmlns:a16="http://schemas.microsoft.com/office/drawing/2014/main" id="{07B850C5-8EC6-4A09-8489-201E415A6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2" name="Imagen 3">
          <a:extLst>
            <a:ext uri="{FF2B5EF4-FFF2-40B4-BE49-F238E27FC236}">
              <a16:creationId xmlns:a16="http://schemas.microsoft.com/office/drawing/2014/main" id="{838BEB90-9120-4CF7-8279-F9E331506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3" name="Imagen 3">
          <a:extLst>
            <a:ext uri="{FF2B5EF4-FFF2-40B4-BE49-F238E27FC236}">
              <a16:creationId xmlns:a16="http://schemas.microsoft.com/office/drawing/2014/main" id="{075F576A-B8DF-436E-AF34-46F2148C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4" name="Imagen 3">
          <a:extLst>
            <a:ext uri="{FF2B5EF4-FFF2-40B4-BE49-F238E27FC236}">
              <a16:creationId xmlns:a16="http://schemas.microsoft.com/office/drawing/2014/main" id="{CFBF16F6-968C-43DA-A3E4-83B08BC90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5" name="Imagen 3">
          <a:extLst>
            <a:ext uri="{FF2B5EF4-FFF2-40B4-BE49-F238E27FC236}">
              <a16:creationId xmlns:a16="http://schemas.microsoft.com/office/drawing/2014/main" id="{8390B49A-10C4-4ED8-89FC-FCF20EF00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6" name="Imagen 3">
          <a:extLst>
            <a:ext uri="{FF2B5EF4-FFF2-40B4-BE49-F238E27FC236}">
              <a16:creationId xmlns:a16="http://schemas.microsoft.com/office/drawing/2014/main" id="{F478CC81-31E6-49E8-9A52-6D7323B1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7" name="Imagen 3">
          <a:extLst>
            <a:ext uri="{FF2B5EF4-FFF2-40B4-BE49-F238E27FC236}">
              <a16:creationId xmlns:a16="http://schemas.microsoft.com/office/drawing/2014/main" id="{E1A25129-104B-4594-A6A7-5637027AB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8" name="Imagen 3">
          <a:extLst>
            <a:ext uri="{FF2B5EF4-FFF2-40B4-BE49-F238E27FC236}">
              <a16:creationId xmlns:a16="http://schemas.microsoft.com/office/drawing/2014/main" id="{72C923E9-E162-4B0E-A3FA-1162380B2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09" name="Imagen 3">
          <a:extLst>
            <a:ext uri="{FF2B5EF4-FFF2-40B4-BE49-F238E27FC236}">
              <a16:creationId xmlns:a16="http://schemas.microsoft.com/office/drawing/2014/main" id="{4E5D0A09-0CD5-4761-AE18-3308B5EAB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0" name="Imagen 3">
          <a:extLst>
            <a:ext uri="{FF2B5EF4-FFF2-40B4-BE49-F238E27FC236}">
              <a16:creationId xmlns:a16="http://schemas.microsoft.com/office/drawing/2014/main" id="{7DFF178D-F8EC-487D-B4E2-D3F56BE79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1" name="Imagen 3">
          <a:extLst>
            <a:ext uri="{FF2B5EF4-FFF2-40B4-BE49-F238E27FC236}">
              <a16:creationId xmlns:a16="http://schemas.microsoft.com/office/drawing/2014/main" id="{51325665-89EC-4840-917E-35161F3C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2" name="Imagen 3">
          <a:extLst>
            <a:ext uri="{FF2B5EF4-FFF2-40B4-BE49-F238E27FC236}">
              <a16:creationId xmlns:a16="http://schemas.microsoft.com/office/drawing/2014/main" id="{E97218ED-910C-41D7-A842-AFA8CE0B0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3" name="Imagen 3">
          <a:extLst>
            <a:ext uri="{FF2B5EF4-FFF2-40B4-BE49-F238E27FC236}">
              <a16:creationId xmlns:a16="http://schemas.microsoft.com/office/drawing/2014/main" id="{A8BE0F71-714D-4D12-8BD7-71F502210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4" name="Imagen 3">
          <a:extLst>
            <a:ext uri="{FF2B5EF4-FFF2-40B4-BE49-F238E27FC236}">
              <a16:creationId xmlns:a16="http://schemas.microsoft.com/office/drawing/2014/main" id="{9DBFCBF4-05E7-4800-9626-5B70A956A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5" name="Imagen 3">
          <a:extLst>
            <a:ext uri="{FF2B5EF4-FFF2-40B4-BE49-F238E27FC236}">
              <a16:creationId xmlns:a16="http://schemas.microsoft.com/office/drawing/2014/main" id="{18B42AD1-E061-462C-B241-0D01FE1F0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6" name="Imagen 3">
          <a:extLst>
            <a:ext uri="{FF2B5EF4-FFF2-40B4-BE49-F238E27FC236}">
              <a16:creationId xmlns:a16="http://schemas.microsoft.com/office/drawing/2014/main" id="{C0CA8A4A-C37C-45B7-8669-841CDA1A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7" name="Imagen 3">
          <a:extLst>
            <a:ext uri="{FF2B5EF4-FFF2-40B4-BE49-F238E27FC236}">
              <a16:creationId xmlns:a16="http://schemas.microsoft.com/office/drawing/2014/main" id="{2C86DD62-CA29-4D4A-B2E7-B0F4A205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8" name="Imagen 3">
          <a:extLst>
            <a:ext uri="{FF2B5EF4-FFF2-40B4-BE49-F238E27FC236}">
              <a16:creationId xmlns:a16="http://schemas.microsoft.com/office/drawing/2014/main" id="{17489139-6FD2-45BD-9C64-5CFA5796E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19" name="Imagen 3">
          <a:extLst>
            <a:ext uri="{FF2B5EF4-FFF2-40B4-BE49-F238E27FC236}">
              <a16:creationId xmlns:a16="http://schemas.microsoft.com/office/drawing/2014/main" id="{E080C7A5-D667-41BB-A7E8-C8C9B078F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0" name="Imagen 3">
          <a:extLst>
            <a:ext uri="{FF2B5EF4-FFF2-40B4-BE49-F238E27FC236}">
              <a16:creationId xmlns:a16="http://schemas.microsoft.com/office/drawing/2014/main" id="{5B9548D8-C997-47AA-978D-25312CF78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1" name="Imagen 3">
          <a:extLst>
            <a:ext uri="{FF2B5EF4-FFF2-40B4-BE49-F238E27FC236}">
              <a16:creationId xmlns:a16="http://schemas.microsoft.com/office/drawing/2014/main" id="{18858E6F-11FA-41C9-B5E9-9B4E83058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2" name="Imagen 3">
          <a:extLst>
            <a:ext uri="{FF2B5EF4-FFF2-40B4-BE49-F238E27FC236}">
              <a16:creationId xmlns:a16="http://schemas.microsoft.com/office/drawing/2014/main" id="{DE8615CB-4FF4-46D6-8F47-D531B8C38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3" name="Imagen 3">
          <a:extLst>
            <a:ext uri="{FF2B5EF4-FFF2-40B4-BE49-F238E27FC236}">
              <a16:creationId xmlns:a16="http://schemas.microsoft.com/office/drawing/2014/main" id="{5DEAEE7F-671D-4399-955B-757CCCB4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4" name="Imagen 3">
          <a:extLst>
            <a:ext uri="{FF2B5EF4-FFF2-40B4-BE49-F238E27FC236}">
              <a16:creationId xmlns:a16="http://schemas.microsoft.com/office/drawing/2014/main" id="{723F12C2-F4BD-4A2E-BF19-6BF3671B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5" name="Imagen 3">
          <a:extLst>
            <a:ext uri="{FF2B5EF4-FFF2-40B4-BE49-F238E27FC236}">
              <a16:creationId xmlns:a16="http://schemas.microsoft.com/office/drawing/2014/main" id="{F2064431-3FB9-44A4-AE96-B7CE3DC4D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6" name="Imagen 3">
          <a:extLst>
            <a:ext uri="{FF2B5EF4-FFF2-40B4-BE49-F238E27FC236}">
              <a16:creationId xmlns:a16="http://schemas.microsoft.com/office/drawing/2014/main" id="{8E19D8F5-F6CB-4ACC-8DC2-56C0AF441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7" name="Imagen 3">
          <a:extLst>
            <a:ext uri="{FF2B5EF4-FFF2-40B4-BE49-F238E27FC236}">
              <a16:creationId xmlns:a16="http://schemas.microsoft.com/office/drawing/2014/main" id="{9929BBDD-0CF5-4477-A2B8-C905A0D12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228" name="Imagen 3">
          <a:extLst>
            <a:ext uri="{FF2B5EF4-FFF2-40B4-BE49-F238E27FC236}">
              <a16:creationId xmlns:a16="http://schemas.microsoft.com/office/drawing/2014/main" id="{2F15555A-2965-4672-811C-9E1660D99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29" name="Imagen 3">
          <a:extLst>
            <a:ext uri="{FF2B5EF4-FFF2-40B4-BE49-F238E27FC236}">
              <a16:creationId xmlns:a16="http://schemas.microsoft.com/office/drawing/2014/main" id="{E431EEE6-E6FE-409F-99CA-6D27AF59E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0" name="Imagen 3">
          <a:extLst>
            <a:ext uri="{FF2B5EF4-FFF2-40B4-BE49-F238E27FC236}">
              <a16:creationId xmlns:a16="http://schemas.microsoft.com/office/drawing/2014/main" id="{1FF7346C-915C-449A-A571-D8A7220CF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1" name="Imagen 3">
          <a:extLst>
            <a:ext uri="{FF2B5EF4-FFF2-40B4-BE49-F238E27FC236}">
              <a16:creationId xmlns:a16="http://schemas.microsoft.com/office/drawing/2014/main" id="{35C7B64B-55FD-4E8F-8AF8-E98A374C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2" name="Imagen 3">
          <a:extLst>
            <a:ext uri="{FF2B5EF4-FFF2-40B4-BE49-F238E27FC236}">
              <a16:creationId xmlns:a16="http://schemas.microsoft.com/office/drawing/2014/main" id="{47656524-2D23-4568-A5B3-2F5BB5D8E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3" name="Imagen 3">
          <a:extLst>
            <a:ext uri="{FF2B5EF4-FFF2-40B4-BE49-F238E27FC236}">
              <a16:creationId xmlns:a16="http://schemas.microsoft.com/office/drawing/2014/main" id="{EE7CC953-E402-4392-A631-AF355126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4" name="Imagen 3">
          <a:extLst>
            <a:ext uri="{FF2B5EF4-FFF2-40B4-BE49-F238E27FC236}">
              <a16:creationId xmlns:a16="http://schemas.microsoft.com/office/drawing/2014/main" id="{2E96D159-0B84-4284-A647-2C36224C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5" name="Imagen 3">
          <a:extLst>
            <a:ext uri="{FF2B5EF4-FFF2-40B4-BE49-F238E27FC236}">
              <a16:creationId xmlns:a16="http://schemas.microsoft.com/office/drawing/2014/main" id="{4DADF8E2-E56F-4DA9-A9DF-DDE316D9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6" name="Imagen 3">
          <a:extLst>
            <a:ext uri="{FF2B5EF4-FFF2-40B4-BE49-F238E27FC236}">
              <a16:creationId xmlns:a16="http://schemas.microsoft.com/office/drawing/2014/main" id="{3A5F913B-0DF8-4683-AAF7-FB082AF83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7" name="Imagen 3">
          <a:extLst>
            <a:ext uri="{FF2B5EF4-FFF2-40B4-BE49-F238E27FC236}">
              <a16:creationId xmlns:a16="http://schemas.microsoft.com/office/drawing/2014/main" id="{852545DB-6246-46A7-B658-F1B348739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8" name="Imagen 3">
          <a:extLst>
            <a:ext uri="{FF2B5EF4-FFF2-40B4-BE49-F238E27FC236}">
              <a16:creationId xmlns:a16="http://schemas.microsoft.com/office/drawing/2014/main" id="{D103E420-86FB-472A-BC70-E9D04C397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39" name="Imagen 3">
          <a:extLst>
            <a:ext uri="{FF2B5EF4-FFF2-40B4-BE49-F238E27FC236}">
              <a16:creationId xmlns:a16="http://schemas.microsoft.com/office/drawing/2014/main" id="{10B47079-52AE-4736-93A7-F2674DBC3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0" name="Imagen 3">
          <a:extLst>
            <a:ext uri="{FF2B5EF4-FFF2-40B4-BE49-F238E27FC236}">
              <a16:creationId xmlns:a16="http://schemas.microsoft.com/office/drawing/2014/main" id="{4C45B27B-D000-4CC3-974E-86E79E5EF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1" name="Imagen 3">
          <a:extLst>
            <a:ext uri="{FF2B5EF4-FFF2-40B4-BE49-F238E27FC236}">
              <a16:creationId xmlns:a16="http://schemas.microsoft.com/office/drawing/2014/main" id="{0EA0239B-03D2-4491-90AA-8BD753C3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2" name="Imagen 3">
          <a:extLst>
            <a:ext uri="{FF2B5EF4-FFF2-40B4-BE49-F238E27FC236}">
              <a16:creationId xmlns:a16="http://schemas.microsoft.com/office/drawing/2014/main" id="{36894CB7-5CDA-4804-AA4E-9CAE8BB0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3" name="Imagen 3">
          <a:extLst>
            <a:ext uri="{FF2B5EF4-FFF2-40B4-BE49-F238E27FC236}">
              <a16:creationId xmlns:a16="http://schemas.microsoft.com/office/drawing/2014/main" id="{90C814AC-8ABA-49F6-9E84-A74C583C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4" name="Imagen 3">
          <a:extLst>
            <a:ext uri="{FF2B5EF4-FFF2-40B4-BE49-F238E27FC236}">
              <a16:creationId xmlns:a16="http://schemas.microsoft.com/office/drawing/2014/main" id="{4913CD9C-00D7-405E-A9D5-137C8F6D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5" name="Imagen 3">
          <a:extLst>
            <a:ext uri="{FF2B5EF4-FFF2-40B4-BE49-F238E27FC236}">
              <a16:creationId xmlns:a16="http://schemas.microsoft.com/office/drawing/2014/main" id="{4C75E5ED-5F70-4CA3-9EB0-07AA94B77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6" name="Imagen 3">
          <a:extLst>
            <a:ext uri="{FF2B5EF4-FFF2-40B4-BE49-F238E27FC236}">
              <a16:creationId xmlns:a16="http://schemas.microsoft.com/office/drawing/2014/main" id="{E9858182-E08C-4B73-ABFF-26F4CD1C1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7" name="Imagen 3">
          <a:extLst>
            <a:ext uri="{FF2B5EF4-FFF2-40B4-BE49-F238E27FC236}">
              <a16:creationId xmlns:a16="http://schemas.microsoft.com/office/drawing/2014/main" id="{2B9FF1FB-37F4-47FE-B26D-A197DB003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8" name="Imagen 3">
          <a:extLst>
            <a:ext uri="{FF2B5EF4-FFF2-40B4-BE49-F238E27FC236}">
              <a16:creationId xmlns:a16="http://schemas.microsoft.com/office/drawing/2014/main" id="{6FC54E6C-4BE2-4272-B8BB-75EF8DC52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49" name="Imagen 3">
          <a:extLst>
            <a:ext uri="{FF2B5EF4-FFF2-40B4-BE49-F238E27FC236}">
              <a16:creationId xmlns:a16="http://schemas.microsoft.com/office/drawing/2014/main" id="{67696A95-2B34-4939-8FD1-2238B8E81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0" name="Imagen 3">
          <a:extLst>
            <a:ext uri="{FF2B5EF4-FFF2-40B4-BE49-F238E27FC236}">
              <a16:creationId xmlns:a16="http://schemas.microsoft.com/office/drawing/2014/main" id="{21691DF5-11FF-4D93-B087-D34363617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1" name="Imagen 3">
          <a:extLst>
            <a:ext uri="{FF2B5EF4-FFF2-40B4-BE49-F238E27FC236}">
              <a16:creationId xmlns:a16="http://schemas.microsoft.com/office/drawing/2014/main" id="{34CB842B-DD70-42AE-A41B-838CC933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2" name="Imagen 3">
          <a:extLst>
            <a:ext uri="{FF2B5EF4-FFF2-40B4-BE49-F238E27FC236}">
              <a16:creationId xmlns:a16="http://schemas.microsoft.com/office/drawing/2014/main" id="{3784B7DD-9CAA-4773-ADB8-4CC3D4DCB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3" name="Imagen 3">
          <a:extLst>
            <a:ext uri="{FF2B5EF4-FFF2-40B4-BE49-F238E27FC236}">
              <a16:creationId xmlns:a16="http://schemas.microsoft.com/office/drawing/2014/main" id="{11C89A36-59F2-41E9-988A-FB422293D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4" name="Imagen 3">
          <a:extLst>
            <a:ext uri="{FF2B5EF4-FFF2-40B4-BE49-F238E27FC236}">
              <a16:creationId xmlns:a16="http://schemas.microsoft.com/office/drawing/2014/main" id="{6889E1DD-1BE2-4B28-83CF-0EA803798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5" name="Imagen 3">
          <a:extLst>
            <a:ext uri="{FF2B5EF4-FFF2-40B4-BE49-F238E27FC236}">
              <a16:creationId xmlns:a16="http://schemas.microsoft.com/office/drawing/2014/main" id="{E998A1BF-B44E-4C03-A323-3C2AECB07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6" name="Imagen 3">
          <a:extLst>
            <a:ext uri="{FF2B5EF4-FFF2-40B4-BE49-F238E27FC236}">
              <a16:creationId xmlns:a16="http://schemas.microsoft.com/office/drawing/2014/main" id="{C55298D2-2824-4000-B4F4-56AAD464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7" name="Imagen 3">
          <a:extLst>
            <a:ext uri="{FF2B5EF4-FFF2-40B4-BE49-F238E27FC236}">
              <a16:creationId xmlns:a16="http://schemas.microsoft.com/office/drawing/2014/main" id="{51CB6EE0-200C-4DEC-A940-BC9AE9ADB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8" name="Imagen 3">
          <a:extLst>
            <a:ext uri="{FF2B5EF4-FFF2-40B4-BE49-F238E27FC236}">
              <a16:creationId xmlns:a16="http://schemas.microsoft.com/office/drawing/2014/main" id="{F74E50B9-AE0C-4D00-A448-3E4144F3F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59" name="Imagen 3">
          <a:extLst>
            <a:ext uri="{FF2B5EF4-FFF2-40B4-BE49-F238E27FC236}">
              <a16:creationId xmlns:a16="http://schemas.microsoft.com/office/drawing/2014/main" id="{66E8E732-3316-4EEB-BC12-A4B5834AD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0" name="Imagen 3">
          <a:extLst>
            <a:ext uri="{FF2B5EF4-FFF2-40B4-BE49-F238E27FC236}">
              <a16:creationId xmlns:a16="http://schemas.microsoft.com/office/drawing/2014/main" id="{BAD19462-FE13-45C4-8A5B-CCAD09230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1" name="Imagen 3">
          <a:extLst>
            <a:ext uri="{FF2B5EF4-FFF2-40B4-BE49-F238E27FC236}">
              <a16:creationId xmlns:a16="http://schemas.microsoft.com/office/drawing/2014/main" id="{EA35C849-3AFD-461B-8FB0-A1D1199D5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2" name="Imagen 3">
          <a:extLst>
            <a:ext uri="{FF2B5EF4-FFF2-40B4-BE49-F238E27FC236}">
              <a16:creationId xmlns:a16="http://schemas.microsoft.com/office/drawing/2014/main" id="{0C1DE499-0828-4193-99FD-A1E828CE9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3" name="Imagen 3">
          <a:extLst>
            <a:ext uri="{FF2B5EF4-FFF2-40B4-BE49-F238E27FC236}">
              <a16:creationId xmlns:a16="http://schemas.microsoft.com/office/drawing/2014/main" id="{5335C1C9-9BA6-4479-83E2-4E8B517FC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4" name="Imagen 3">
          <a:extLst>
            <a:ext uri="{FF2B5EF4-FFF2-40B4-BE49-F238E27FC236}">
              <a16:creationId xmlns:a16="http://schemas.microsoft.com/office/drawing/2014/main" id="{138924C1-330A-4EA1-A07C-4CE0ACE39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5" name="Imagen 3">
          <a:extLst>
            <a:ext uri="{FF2B5EF4-FFF2-40B4-BE49-F238E27FC236}">
              <a16:creationId xmlns:a16="http://schemas.microsoft.com/office/drawing/2014/main" id="{BEA416A1-10A7-4476-836A-4F5E70D42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6" name="Imagen 3">
          <a:extLst>
            <a:ext uri="{FF2B5EF4-FFF2-40B4-BE49-F238E27FC236}">
              <a16:creationId xmlns:a16="http://schemas.microsoft.com/office/drawing/2014/main" id="{4F55ECF8-773F-43EE-98D1-208E9EEB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7" name="Imagen 3">
          <a:extLst>
            <a:ext uri="{FF2B5EF4-FFF2-40B4-BE49-F238E27FC236}">
              <a16:creationId xmlns:a16="http://schemas.microsoft.com/office/drawing/2014/main" id="{E25324F4-0D82-49A4-AD6D-8FF01DCBF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8" name="Imagen 3">
          <a:extLst>
            <a:ext uri="{FF2B5EF4-FFF2-40B4-BE49-F238E27FC236}">
              <a16:creationId xmlns:a16="http://schemas.microsoft.com/office/drawing/2014/main" id="{88998350-D09F-4D77-B546-3DED2666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69" name="Imagen 3">
          <a:extLst>
            <a:ext uri="{FF2B5EF4-FFF2-40B4-BE49-F238E27FC236}">
              <a16:creationId xmlns:a16="http://schemas.microsoft.com/office/drawing/2014/main" id="{EE1B9880-41AF-47C8-A530-ED1F62C5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0" name="Imagen 3">
          <a:extLst>
            <a:ext uri="{FF2B5EF4-FFF2-40B4-BE49-F238E27FC236}">
              <a16:creationId xmlns:a16="http://schemas.microsoft.com/office/drawing/2014/main" id="{22E85A75-6721-45B9-A5D1-C4396897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1" name="Imagen 3">
          <a:extLst>
            <a:ext uri="{FF2B5EF4-FFF2-40B4-BE49-F238E27FC236}">
              <a16:creationId xmlns:a16="http://schemas.microsoft.com/office/drawing/2014/main" id="{44C0707F-9C1E-4C78-A0A5-2681AEED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2" name="Imagen 3">
          <a:extLst>
            <a:ext uri="{FF2B5EF4-FFF2-40B4-BE49-F238E27FC236}">
              <a16:creationId xmlns:a16="http://schemas.microsoft.com/office/drawing/2014/main" id="{55200090-F523-4A86-B8E4-864A78ABC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3" name="Imagen 3">
          <a:extLst>
            <a:ext uri="{FF2B5EF4-FFF2-40B4-BE49-F238E27FC236}">
              <a16:creationId xmlns:a16="http://schemas.microsoft.com/office/drawing/2014/main" id="{A2F630A6-1928-4658-808D-2F89B48A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4" name="Imagen 3">
          <a:extLst>
            <a:ext uri="{FF2B5EF4-FFF2-40B4-BE49-F238E27FC236}">
              <a16:creationId xmlns:a16="http://schemas.microsoft.com/office/drawing/2014/main" id="{126AD650-0CE2-493F-BB81-6DCD4E68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5" name="Imagen 3">
          <a:extLst>
            <a:ext uri="{FF2B5EF4-FFF2-40B4-BE49-F238E27FC236}">
              <a16:creationId xmlns:a16="http://schemas.microsoft.com/office/drawing/2014/main" id="{902AFB99-1B98-435A-A95C-86214E946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6" name="Imagen 3">
          <a:extLst>
            <a:ext uri="{FF2B5EF4-FFF2-40B4-BE49-F238E27FC236}">
              <a16:creationId xmlns:a16="http://schemas.microsoft.com/office/drawing/2014/main" id="{E745479A-4BF2-485E-A886-B92EED0E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7" name="Imagen 3">
          <a:extLst>
            <a:ext uri="{FF2B5EF4-FFF2-40B4-BE49-F238E27FC236}">
              <a16:creationId xmlns:a16="http://schemas.microsoft.com/office/drawing/2014/main" id="{1D046C55-FB1F-4F09-99C3-CDF26457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8" name="Imagen 3">
          <a:extLst>
            <a:ext uri="{FF2B5EF4-FFF2-40B4-BE49-F238E27FC236}">
              <a16:creationId xmlns:a16="http://schemas.microsoft.com/office/drawing/2014/main" id="{9A349463-2766-46D1-BFA2-8E98D6A61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79" name="Imagen 3">
          <a:extLst>
            <a:ext uri="{FF2B5EF4-FFF2-40B4-BE49-F238E27FC236}">
              <a16:creationId xmlns:a16="http://schemas.microsoft.com/office/drawing/2014/main" id="{03C88B0C-9344-4014-A917-D7821F0AB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0" name="Imagen 3">
          <a:extLst>
            <a:ext uri="{FF2B5EF4-FFF2-40B4-BE49-F238E27FC236}">
              <a16:creationId xmlns:a16="http://schemas.microsoft.com/office/drawing/2014/main" id="{B9A1FE5A-0571-46E7-8006-4AEA7EA9D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1" name="Imagen 3">
          <a:extLst>
            <a:ext uri="{FF2B5EF4-FFF2-40B4-BE49-F238E27FC236}">
              <a16:creationId xmlns:a16="http://schemas.microsoft.com/office/drawing/2014/main" id="{35F1BD26-FEF8-4644-87B6-F18729F11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2" name="Imagen 3">
          <a:extLst>
            <a:ext uri="{FF2B5EF4-FFF2-40B4-BE49-F238E27FC236}">
              <a16:creationId xmlns:a16="http://schemas.microsoft.com/office/drawing/2014/main" id="{C975604D-95BC-4F5D-BB80-6A08B5E3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3" name="Imagen 3">
          <a:extLst>
            <a:ext uri="{FF2B5EF4-FFF2-40B4-BE49-F238E27FC236}">
              <a16:creationId xmlns:a16="http://schemas.microsoft.com/office/drawing/2014/main" id="{531B78A4-7C1B-4EB0-A619-BB167735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4" name="Imagen 3">
          <a:extLst>
            <a:ext uri="{FF2B5EF4-FFF2-40B4-BE49-F238E27FC236}">
              <a16:creationId xmlns:a16="http://schemas.microsoft.com/office/drawing/2014/main" id="{36FC5A6C-FEE5-48B9-A520-FFA6E3DCC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5" name="Imagen 3">
          <a:extLst>
            <a:ext uri="{FF2B5EF4-FFF2-40B4-BE49-F238E27FC236}">
              <a16:creationId xmlns:a16="http://schemas.microsoft.com/office/drawing/2014/main" id="{702AB4F6-BB12-4D78-9BDB-638270355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6" name="Imagen 3">
          <a:extLst>
            <a:ext uri="{FF2B5EF4-FFF2-40B4-BE49-F238E27FC236}">
              <a16:creationId xmlns:a16="http://schemas.microsoft.com/office/drawing/2014/main" id="{8B2CB2AB-4656-4043-B703-CF4709BAB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7" name="Imagen 3">
          <a:extLst>
            <a:ext uri="{FF2B5EF4-FFF2-40B4-BE49-F238E27FC236}">
              <a16:creationId xmlns:a16="http://schemas.microsoft.com/office/drawing/2014/main" id="{1FCE746C-0214-4F33-82A9-651945DBA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8" name="Imagen 3">
          <a:extLst>
            <a:ext uri="{FF2B5EF4-FFF2-40B4-BE49-F238E27FC236}">
              <a16:creationId xmlns:a16="http://schemas.microsoft.com/office/drawing/2014/main" id="{3367C2D3-4400-474B-B6FB-2F41307C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89" name="Imagen 3">
          <a:extLst>
            <a:ext uri="{FF2B5EF4-FFF2-40B4-BE49-F238E27FC236}">
              <a16:creationId xmlns:a16="http://schemas.microsoft.com/office/drawing/2014/main" id="{E8495A75-FB67-4798-9B93-EC12AADD4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0" name="Imagen 3">
          <a:extLst>
            <a:ext uri="{FF2B5EF4-FFF2-40B4-BE49-F238E27FC236}">
              <a16:creationId xmlns:a16="http://schemas.microsoft.com/office/drawing/2014/main" id="{050815C9-A1F1-4EAA-B3AA-36484B69B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1" name="Imagen 3">
          <a:extLst>
            <a:ext uri="{FF2B5EF4-FFF2-40B4-BE49-F238E27FC236}">
              <a16:creationId xmlns:a16="http://schemas.microsoft.com/office/drawing/2014/main" id="{09C2A0A7-96EC-4168-9494-D68DA2AB6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2" name="Imagen 3">
          <a:extLst>
            <a:ext uri="{FF2B5EF4-FFF2-40B4-BE49-F238E27FC236}">
              <a16:creationId xmlns:a16="http://schemas.microsoft.com/office/drawing/2014/main" id="{11B6FDCB-E677-488E-A99E-5E6549501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3" name="Imagen 3">
          <a:extLst>
            <a:ext uri="{FF2B5EF4-FFF2-40B4-BE49-F238E27FC236}">
              <a16:creationId xmlns:a16="http://schemas.microsoft.com/office/drawing/2014/main" id="{9CC91247-C947-4959-87C6-D412C71D8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4" name="Imagen 3">
          <a:extLst>
            <a:ext uri="{FF2B5EF4-FFF2-40B4-BE49-F238E27FC236}">
              <a16:creationId xmlns:a16="http://schemas.microsoft.com/office/drawing/2014/main" id="{5509AC05-47D3-41ED-84C9-40602A20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5" name="Imagen 3">
          <a:extLst>
            <a:ext uri="{FF2B5EF4-FFF2-40B4-BE49-F238E27FC236}">
              <a16:creationId xmlns:a16="http://schemas.microsoft.com/office/drawing/2014/main" id="{66C7A48D-7029-423F-AA06-5F404E48C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6" name="Imagen 3">
          <a:extLst>
            <a:ext uri="{FF2B5EF4-FFF2-40B4-BE49-F238E27FC236}">
              <a16:creationId xmlns:a16="http://schemas.microsoft.com/office/drawing/2014/main" id="{33F44B42-8A8F-4871-AFA7-57EB4C295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7" name="Imagen 3">
          <a:extLst>
            <a:ext uri="{FF2B5EF4-FFF2-40B4-BE49-F238E27FC236}">
              <a16:creationId xmlns:a16="http://schemas.microsoft.com/office/drawing/2014/main" id="{232DB50A-9597-4AB8-B826-3A41AB164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8" name="Imagen 3">
          <a:extLst>
            <a:ext uri="{FF2B5EF4-FFF2-40B4-BE49-F238E27FC236}">
              <a16:creationId xmlns:a16="http://schemas.microsoft.com/office/drawing/2014/main" id="{F0DDCBC4-038E-4290-8D9C-BBCA6D118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299" name="Imagen 3">
          <a:extLst>
            <a:ext uri="{FF2B5EF4-FFF2-40B4-BE49-F238E27FC236}">
              <a16:creationId xmlns:a16="http://schemas.microsoft.com/office/drawing/2014/main" id="{80F50625-1F21-479A-929D-4D63FD31C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0" name="Imagen 3">
          <a:extLst>
            <a:ext uri="{FF2B5EF4-FFF2-40B4-BE49-F238E27FC236}">
              <a16:creationId xmlns:a16="http://schemas.microsoft.com/office/drawing/2014/main" id="{AF7D14ED-4703-428A-839B-051B18C54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1" name="Imagen 3">
          <a:extLst>
            <a:ext uri="{FF2B5EF4-FFF2-40B4-BE49-F238E27FC236}">
              <a16:creationId xmlns:a16="http://schemas.microsoft.com/office/drawing/2014/main" id="{47B4E93C-8B65-4F70-910A-FCD592BD0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2" name="Imagen 3">
          <a:extLst>
            <a:ext uri="{FF2B5EF4-FFF2-40B4-BE49-F238E27FC236}">
              <a16:creationId xmlns:a16="http://schemas.microsoft.com/office/drawing/2014/main" id="{E0B02916-CA03-40D9-BCF4-C1EC66964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3" name="Imagen 3">
          <a:extLst>
            <a:ext uri="{FF2B5EF4-FFF2-40B4-BE49-F238E27FC236}">
              <a16:creationId xmlns:a16="http://schemas.microsoft.com/office/drawing/2014/main" id="{2D0DB1B4-CEE5-4A7A-967F-92A1984AE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4" name="Imagen 3">
          <a:extLst>
            <a:ext uri="{FF2B5EF4-FFF2-40B4-BE49-F238E27FC236}">
              <a16:creationId xmlns:a16="http://schemas.microsoft.com/office/drawing/2014/main" id="{9079FCBB-E26B-4496-9991-D3D33D651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5" name="Imagen 3">
          <a:extLst>
            <a:ext uri="{FF2B5EF4-FFF2-40B4-BE49-F238E27FC236}">
              <a16:creationId xmlns:a16="http://schemas.microsoft.com/office/drawing/2014/main" id="{01CB0D46-7369-48D7-8D16-B4F28EB0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6" name="Imagen 3">
          <a:extLst>
            <a:ext uri="{FF2B5EF4-FFF2-40B4-BE49-F238E27FC236}">
              <a16:creationId xmlns:a16="http://schemas.microsoft.com/office/drawing/2014/main" id="{982D7DE8-3C80-47CD-9639-6DCAF57CA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7" name="Imagen 3">
          <a:extLst>
            <a:ext uri="{FF2B5EF4-FFF2-40B4-BE49-F238E27FC236}">
              <a16:creationId xmlns:a16="http://schemas.microsoft.com/office/drawing/2014/main" id="{F9452552-BC20-4AF0-9667-F604B24F4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8" name="Imagen 3">
          <a:extLst>
            <a:ext uri="{FF2B5EF4-FFF2-40B4-BE49-F238E27FC236}">
              <a16:creationId xmlns:a16="http://schemas.microsoft.com/office/drawing/2014/main" id="{CF93486F-873F-4634-9E21-B70BB967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09" name="Imagen 3">
          <a:extLst>
            <a:ext uri="{FF2B5EF4-FFF2-40B4-BE49-F238E27FC236}">
              <a16:creationId xmlns:a16="http://schemas.microsoft.com/office/drawing/2014/main" id="{0AABDC73-5041-4B53-8ECE-0DDC5D304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0" name="Imagen 3">
          <a:extLst>
            <a:ext uri="{FF2B5EF4-FFF2-40B4-BE49-F238E27FC236}">
              <a16:creationId xmlns:a16="http://schemas.microsoft.com/office/drawing/2014/main" id="{8A28B23C-99A2-48F0-92CD-7942911D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1" name="Imagen 3">
          <a:extLst>
            <a:ext uri="{FF2B5EF4-FFF2-40B4-BE49-F238E27FC236}">
              <a16:creationId xmlns:a16="http://schemas.microsoft.com/office/drawing/2014/main" id="{B05BB2F2-427E-4D8B-A983-484092E58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2" name="Imagen 3">
          <a:extLst>
            <a:ext uri="{FF2B5EF4-FFF2-40B4-BE49-F238E27FC236}">
              <a16:creationId xmlns:a16="http://schemas.microsoft.com/office/drawing/2014/main" id="{1B45A068-9811-47FC-AC59-CFB33EF67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3" name="Imagen 3">
          <a:extLst>
            <a:ext uri="{FF2B5EF4-FFF2-40B4-BE49-F238E27FC236}">
              <a16:creationId xmlns:a16="http://schemas.microsoft.com/office/drawing/2014/main" id="{4A0BFEBF-586C-4F4D-B50A-0393F3DD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4" name="Imagen 3">
          <a:extLst>
            <a:ext uri="{FF2B5EF4-FFF2-40B4-BE49-F238E27FC236}">
              <a16:creationId xmlns:a16="http://schemas.microsoft.com/office/drawing/2014/main" id="{224D960B-B376-4AE4-AADE-35370BB72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5" name="Imagen 3">
          <a:extLst>
            <a:ext uri="{FF2B5EF4-FFF2-40B4-BE49-F238E27FC236}">
              <a16:creationId xmlns:a16="http://schemas.microsoft.com/office/drawing/2014/main" id="{84B73E0B-E7B8-40A9-B852-6D165A4F3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6" name="Imagen 3">
          <a:extLst>
            <a:ext uri="{FF2B5EF4-FFF2-40B4-BE49-F238E27FC236}">
              <a16:creationId xmlns:a16="http://schemas.microsoft.com/office/drawing/2014/main" id="{FA5ED36B-2442-41AC-9172-395BC8427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7" name="Imagen 3">
          <a:extLst>
            <a:ext uri="{FF2B5EF4-FFF2-40B4-BE49-F238E27FC236}">
              <a16:creationId xmlns:a16="http://schemas.microsoft.com/office/drawing/2014/main" id="{D3CF0AEB-C3EF-45CC-99CC-282D99D42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8" name="Imagen 3">
          <a:extLst>
            <a:ext uri="{FF2B5EF4-FFF2-40B4-BE49-F238E27FC236}">
              <a16:creationId xmlns:a16="http://schemas.microsoft.com/office/drawing/2014/main" id="{0DFC76B3-D416-4E41-9751-56DDE1053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19" name="Imagen 3">
          <a:extLst>
            <a:ext uri="{FF2B5EF4-FFF2-40B4-BE49-F238E27FC236}">
              <a16:creationId xmlns:a16="http://schemas.microsoft.com/office/drawing/2014/main" id="{FF6D0133-C262-452E-892F-827847168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0" name="Imagen 3">
          <a:extLst>
            <a:ext uri="{FF2B5EF4-FFF2-40B4-BE49-F238E27FC236}">
              <a16:creationId xmlns:a16="http://schemas.microsoft.com/office/drawing/2014/main" id="{96F47FE9-B6EE-4195-8ED2-053CA5B7F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1" name="Imagen 3">
          <a:extLst>
            <a:ext uri="{FF2B5EF4-FFF2-40B4-BE49-F238E27FC236}">
              <a16:creationId xmlns:a16="http://schemas.microsoft.com/office/drawing/2014/main" id="{8503ACF9-0AA2-41DB-BC3E-FDC617A09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2" name="Imagen 3">
          <a:extLst>
            <a:ext uri="{FF2B5EF4-FFF2-40B4-BE49-F238E27FC236}">
              <a16:creationId xmlns:a16="http://schemas.microsoft.com/office/drawing/2014/main" id="{E0B2B924-AC7C-4598-A51D-BAB764C17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3" name="Imagen 3">
          <a:extLst>
            <a:ext uri="{FF2B5EF4-FFF2-40B4-BE49-F238E27FC236}">
              <a16:creationId xmlns:a16="http://schemas.microsoft.com/office/drawing/2014/main" id="{3BA4FCB9-363E-4111-951F-258F79D61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4" name="Imagen 3">
          <a:extLst>
            <a:ext uri="{FF2B5EF4-FFF2-40B4-BE49-F238E27FC236}">
              <a16:creationId xmlns:a16="http://schemas.microsoft.com/office/drawing/2014/main" id="{32BE9DEB-23E0-4314-B993-4DF5225C8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5" name="Imagen 3">
          <a:extLst>
            <a:ext uri="{FF2B5EF4-FFF2-40B4-BE49-F238E27FC236}">
              <a16:creationId xmlns:a16="http://schemas.microsoft.com/office/drawing/2014/main" id="{C0892093-61A5-4834-ACB5-71461C7D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6" name="Imagen 3">
          <a:extLst>
            <a:ext uri="{FF2B5EF4-FFF2-40B4-BE49-F238E27FC236}">
              <a16:creationId xmlns:a16="http://schemas.microsoft.com/office/drawing/2014/main" id="{9601C5C0-C0F3-4674-B8D7-20EFA3C47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7" name="Imagen 3">
          <a:extLst>
            <a:ext uri="{FF2B5EF4-FFF2-40B4-BE49-F238E27FC236}">
              <a16:creationId xmlns:a16="http://schemas.microsoft.com/office/drawing/2014/main" id="{08D7737E-9B9C-4C1C-B4E3-24E371DFD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8" name="Imagen 3">
          <a:extLst>
            <a:ext uri="{FF2B5EF4-FFF2-40B4-BE49-F238E27FC236}">
              <a16:creationId xmlns:a16="http://schemas.microsoft.com/office/drawing/2014/main" id="{2D735C5E-A453-4C31-9F60-6D066253E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29" name="Imagen 3">
          <a:extLst>
            <a:ext uri="{FF2B5EF4-FFF2-40B4-BE49-F238E27FC236}">
              <a16:creationId xmlns:a16="http://schemas.microsoft.com/office/drawing/2014/main" id="{3E01FD8A-E5FA-4472-AB53-340F2A22C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0" name="Imagen 3">
          <a:extLst>
            <a:ext uri="{FF2B5EF4-FFF2-40B4-BE49-F238E27FC236}">
              <a16:creationId xmlns:a16="http://schemas.microsoft.com/office/drawing/2014/main" id="{AB1D3957-9BE2-4586-8D39-4D363ED7C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1" name="Imagen 3">
          <a:extLst>
            <a:ext uri="{FF2B5EF4-FFF2-40B4-BE49-F238E27FC236}">
              <a16:creationId xmlns:a16="http://schemas.microsoft.com/office/drawing/2014/main" id="{BE34EB26-E007-483F-BC47-6DFE4AD2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2" name="Imagen 3">
          <a:extLst>
            <a:ext uri="{FF2B5EF4-FFF2-40B4-BE49-F238E27FC236}">
              <a16:creationId xmlns:a16="http://schemas.microsoft.com/office/drawing/2014/main" id="{B51BF5A6-856A-4500-A96D-CDDD3AD7D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3" name="Imagen 3">
          <a:extLst>
            <a:ext uri="{FF2B5EF4-FFF2-40B4-BE49-F238E27FC236}">
              <a16:creationId xmlns:a16="http://schemas.microsoft.com/office/drawing/2014/main" id="{32C7766B-1061-4BED-B8B0-F91DAD282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4" name="Imagen 3">
          <a:extLst>
            <a:ext uri="{FF2B5EF4-FFF2-40B4-BE49-F238E27FC236}">
              <a16:creationId xmlns:a16="http://schemas.microsoft.com/office/drawing/2014/main" id="{01DD6CEC-A265-495D-9B9C-414F9E50C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5" name="Imagen 3">
          <a:extLst>
            <a:ext uri="{FF2B5EF4-FFF2-40B4-BE49-F238E27FC236}">
              <a16:creationId xmlns:a16="http://schemas.microsoft.com/office/drawing/2014/main" id="{A142BF27-7696-46BA-BBD7-2FE6D9283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6" name="Imagen 3">
          <a:extLst>
            <a:ext uri="{FF2B5EF4-FFF2-40B4-BE49-F238E27FC236}">
              <a16:creationId xmlns:a16="http://schemas.microsoft.com/office/drawing/2014/main" id="{963A4A52-E5EB-444E-BC29-B961D4C38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7" name="Imagen 3">
          <a:extLst>
            <a:ext uri="{FF2B5EF4-FFF2-40B4-BE49-F238E27FC236}">
              <a16:creationId xmlns:a16="http://schemas.microsoft.com/office/drawing/2014/main" id="{7002EC7E-0367-42CF-A67F-4260DCC41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8" name="Imagen 3">
          <a:extLst>
            <a:ext uri="{FF2B5EF4-FFF2-40B4-BE49-F238E27FC236}">
              <a16:creationId xmlns:a16="http://schemas.microsoft.com/office/drawing/2014/main" id="{44A1C581-BE93-4D6B-B02D-7D8E5470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39" name="Imagen 3">
          <a:extLst>
            <a:ext uri="{FF2B5EF4-FFF2-40B4-BE49-F238E27FC236}">
              <a16:creationId xmlns:a16="http://schemas.microsoft.com/office/drawing/2014/main" id="{B4821805-A9A7-4DD1-B104-9AE98EBB6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40" name="Imagen 3">
          <a:extLst>
            <a:ext uri="{FF2B5EF4-FFF2-40B4-BE49-F238E27FC236}">
              <a16:creationId xmlns:a16="http://schemas.microsoft.com/office/drawing/2014/main" id="{6CA69A0A-AD07-49EE-B4F8-A70F8BD6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1" name="Imagen 3">
          <a:extLst>
            <a:ext uri="{FF2B5EF4-FFF2-40B4-BE49-F238E27FC236}">
              <a16:creationId xmlns:a16="http://schemas.microsoft.com/office/drawing/2014/main" id="{CA8D37C4-91CC-43AF-AEC8-527024A0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2" name="Imagen 3">
          <a:extLst>
            <a:ext uri="{FF2B5EF4-FFF2-40B4-BE49-F238E27FC236}">
              <a16:creationId xmlns:a16="http://schemas.microsoft.com/office/drawing/2014/main" id="{999828B4-41F6-426E-A9CC-6DF7760F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3" name="Imagen 3">
          <a:extLst>
            <a:ext uri="{FF2B5EF4-FFF2-40B4-BE49-F238E27FC236}">
              <a16:creationId xmlns:a16="http://schemas.microsoft.com/office/drawing/2014/main" id="{924B01CB-0EF5-49E5-85C0-8AD56B778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4" name="Imagen 3">
          <a:extLst>
            <a:ext uri="{FF2B5EF4-FFF2-40B4-BE49-F238E27FC236}">
              <a16:creationId xmlns:a16="http://schemas.microsoft.com/office/drawing/2014/main" id="{A80AAFA8-194D-4358-B606-3809F5AF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5" name="Imagen 3">
          <a:extLst>
            <a:ext uri="{FF2B5EF4-FFF2-40B4-BE49-F238E27FC236}">
              <a16:creationId xmlns:a16="http://schemas.microsoft.com/office/drawing/2014/main" id="{D51E7B24-AEA9-4F35-BD2D-A9F702F2D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6" name="Imagen 3">
          <a:extLst>
            <a:ext uri="{FF2B5EF4-FFF2-40B4-BE49-F238E27FC236}">
              <a16:creationId xmlns:a16="http://schemas.microsoft.com/office/drawing/2014/main" id="{A85AF435-F5E5-40D6-B404-FD2BB7D2D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7" name="Imagen 3">
          <a:extLst>
            <a:ext uri="{FF2B5EF4-FFF2-40B4-BE49-F238E27FC236}">
              <a16:creationId xmlns:a16="http://schemas.microsoft.com/office/drawing/2014/main" id="{3A90F0FA-3E7F-4A20-9F74-C29BC99EB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8" name="Imagen 3">
          <a:extLst>
            <a:ext uri="{FF2B5EF4-FFF2-40B4-BE49-F238E27FC236}">
              <a16:creationId xmlns:a16="http://schemas.microsoft.com/office/drawing/2014/main" id="{20CA3420-C556-46F1-9410-DA6B7785E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49" name="Imagen 3">
          <a:extLst>
            <a:ext uri="{FF2B5EF4-FFF2-40B4-BE49-F238E27FC236}">
              <a16:creationId xmlns:a16="http://schemas.microsoft.com/office/drawing/2014/main" id="{97FC0795-40E7-4F24-B05F-4C89F1D84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0" name="Imagen 3">
          <a:extLst>
            <a:ext uri="{FF2B5EF4-FFF2-40B4-BE49-F238E27FC236}">
              <a16:creationId xmlns:a16="http://schemas.microsoft.com/office/drawing/2014/main" id="{DBEB3DFB-10C9-4B26-ADD4-A0B90738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1" name="Imagen 3">
          <a:extLst>
            <a:ext uri="{FF2B5EF4-FFF2-40B4-BE49-F238E27FC236}">
              <a16:creationId xmlns:a16="http://schemas.microsoft.com/office/drawing/2014/main" id="{FE953429-C1AE-4120-A34F-3C000F7D7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2" name="Imagen 3">
          <a:extLst>
            <a:ext uri="{FF2B5EF4-FFF2-40B4-BE49-F238E27FC236}">
              <a16:creationId xmlns:a16="http://schemas.microsoft.com/office/drawing/2014/main" id="{A0F2C935-51E1-4619-BFA4-547CD3AA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3" name="Imagen 3">
          <a:extLst>
            <a:ext uri="{FF2B5EF4-FFF2-40B4-BE49-F238E27FC236}">
              <a16:creationId xmlns:a16="http://schemas.microsoft.com/office/drawing/2014/main" id="{FE9ABDEC-22D8-4287-8D33-524731562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4" name="Imagen 3">
          <a:extLst>
            <a:ext uri="{FF2B5EF4-FFF2-40B4-BE49-F238E27FC236}">
              <a16:creationId xmlns:a16="http://schemas.microsoft.com/office/drawing/2014/main" id="{4E0173FD-B661-4155-A398-3E715F7D3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5" name="Imagen 3">
          <a:extLst>
            <a:ext uri="{FF2B5EF4-FFF2-40B4-BE49-F238E27FC236}">
              <a16:creationId xmlns:a16="http://schemas.microsoft.com/office/drawing/2014/main" id="{33A76805-BC30-48BE-8B2A-E43102FA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6" name="Imagen 3">
          <a:extLst>
            <a:ext uri="{FF2B5EF4-FFF2-40B4-BE49-F238E27FC236}">
              <a16:creationId xmlns:a16="http://schemas.microsoft.com/office/drawing/2014/main" id="{41AC058E-A6E6-44A8-AD54-072549631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7" name="Imagen 3">
          <a:extLst>
            <a:ext uri="{FF2B5EF4-FFF2-40B4-BE49-F238E27FC236}">
              <a16:creationId xmlns:a16="http://schemas.microsoft.com/office/drawing/2014/main" id="{56AF0F97-D497-4E5A-8D3D-913C9D17D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8" name="Imagen 3">
          <a:extLst>
            <a:ext uri="{FF2B5EF4-FFF2-40B4-BE49-F238E27FC236}">
              <a16:creationId xmlns:a16="http://schemas.microsoft.com/office/drawing/2014/main" id="{91C91BFA-48D5-4BF4-B814-28AB955D0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59" name="Imagen 3">
          <a:extLst>
            <a:ext uri="{FF2B5EF4-FFF2-40B4-BE49-F238E27FC236}">
              <a16:creationId xmlns:a16="http://schemas.microsoft.com/office/drawing/2014/main" id="{6057A5CE-BD72-4FD0-856D-AFBEC82E6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0" name="Imagen 3">
          <a:extLst>
            <a:ext uri="{FF2B5EF4-FFF2-40B4-BE49-F238E27FC236}">
              <a16:creationId xmlns:a16="http://schemas.microsoft.com/office/drawing/2014/main" id="{467C6A66-0C76-41B5-BE3E-063A284D7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1" name="Imagen 3">
          <a:extLst>
            <a:ext uri="{FF2B5EF4-FFF2-40B4-BE49-F238E27FC236}">
              <a16:creationId xmlns:a16="http://schemas.microsoft.com/office/drawing/2014/main" id="{C86030F0-7C77-4203-871F-AE03F0C68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2" name="Imagen 3">
          <a:extLst>
            <a:ext uri="{FF2B5EF4-FFF2-40B4-BE49-F238E27FC236}">
              <a16:creationId xmlns:a16="http://schemas.microsoft.com/office/drawing/2014/main" id="{579BDEAC-037D-4E05-9732-8F58554EF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3" name="Imagen 3">
          <a:extLst>
            <a:ext uri="{FF2B5EF4-FFF2-40B4-BE49-F238E27FC236}">
              <a16:creationId xmlns:a16="http://schemas.microsoft.com/office/drawing/2014/main" id="{28385A12-DADA-4AF9-A2CD-C7C215873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4" name="Imagen 3">
          <a:extLst>
            <a:ext uri="{FF2B5EF4-FFF2-40B4-BE49-F238E27FC236}">
              <a16:creationId xmlns:a16="http://schemas.microsoft.com/office/drawing/2014/main" id="{F3C77608-6D5A-4069-A40E-7471F8BFA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5" name="Imagen 3">
          <a:extLst>
            <a:ext uri="{FF2B5EF4-FFF2-40B4-BE49-F238E27FC236}">
              <a16:creationId xmlns:a16="http://schemas.microsoft.com/office/drawing/2014/main" id="{EF2455A3-714B-450B-9B94-A33F12D5F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6" name="Imagen 3">
          <a:extLst>
            <a:ext uri="{FF2B5EF4-FFF2-40B4-BE49-F238E27FC236}">
              <a16:creationId xmlns:a16="http://schemas.microsoft.com/office/drawing/2014/main" id="{E06A2754-6398-4DBC-A7D6-04C47BE20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7" name="Imagen 3">
          <a:extLst>
            <a:ext uri="{FF2B5EF4-FFF2-40B4-BE49-F238E27FC236}">
              <a16:creationId xmlns:a16="http://schemas.microsoft.com/office/drawing/2014/main" id="{8FDEA6DF-2AB2-4583-8097-C16737F77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8" name="Imagen 3">
          <a:extLst>
            <a:ext uri="{FF2B5EF4-FFF2-40B4-BE49-F238E27FC236}">
              <a16:creationId xmlns:a16="http://schemas.microsoft.com/office/drawing/2014/main" id="{BC6E7D10-BD81-4729-B629-902B8ADF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69" name="Imagen 3">
          <a:extLst>
            <a:ext uri="{FF2B5EF4-FFF2-40B4-BE49-F238E27FC236}">
              <a16:creationId xmlns:a16="http://schemas.microsoft.com/office/drawing/2014/main" id="{AEABC8EA-E20C-492A-B9F4-8319C7717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0" name="Imagen 3">
          <a:extLst>
            <a:ext uri="{FF2B5EF4-FFF2-40B4-BE49-F238E27FC236}">
              <a16:creationId xmlns:a16="http://schemas.microsoft.com/office/drawing/2014/main" id="{04DDDEC6-C1C3-4E6B-85C8-4D9D1A5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1" name="Imagen 3">
          <a:extLst>
            <a:ext uri="{FF2B5EF4-FFF2-40B4-BE49-F238E27FC236}">
              <a16:creationId xmlns:a16="http://schemas.microsoft.com/office/drawing/2014/main" id="{49B78874-4564-4B26-8D31-5512C7CAA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2" name="Imagen 3">
          <a:extLst>
            <a:ext uri="{FF2B5EF4-FFF2-40B4-BE49-F238E27FC236}">
              <a16:creationId xmlns:a16="http://schemas.microsoft.com/office/drawing/2014/main" id="{76471DD8-748D-478F-9B4B-63176B97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3" name="Imagen 3">
          <a:extLst>
            <a:ext uri="{FF2B5EF4-FFF2-40B4-BE49-F238E27FC236}">
              <a16:creationId xmlns:a16="http://schemas.microsoft.com/office/drawing/2014/main" id="{2D36E0BC-FD04-409D-8F9D-2AE6CC63C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4" name="Imagen 3">
          <a:extLst>
            <a:ext uri="{FF2B5EF4-FFF2-40B4-BE49-F238E27FC236}">
              <a16:creationId xmlns:a16="http://schemas.microsoft.com/office/drawing/2014/main" id="{45617300-4435-4473-A074-C94975846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5" name="Imagen 3">
          <a:extLst>
            <a:ext uri="{FF2B5EF4-FFF2-40B4-BE49-F238E27FC236}">
              <a16:creationId xmlns:a16="http://schemas.microsoft.com/office/drawing/2014/main" id="{0F601E9D-39F2-453E-AC87-832D6393F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6" name="Imagen 3">
          <a:extLst>
            <a:ext uri="{FF2B5EF4-FFF2-40B4-BE49-F238E27FC236}">
              <a16:creationId xmlns:a16="http://schemas.microsoft.com/office/drawing/2014/main" id="{B27D8C6B-2AF0-47E6-9367-575976658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7" name="Imagen 3">
          <a:extLst>
            <a:ext uri="{FF2B5EF4-FFF2-40B4-BE49-F238E27FC236}">
              <a16:creationId xmlns:a16="http://schemas.microsoft.com/office/drawing/2014/main" id="{42AA2873-F610-4D1D-843B-81CF4D8A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8" name="Imagen 3">
          <a:extLst>
            <a:ext uri="{FF2B5EF4-FFF2-40B4-BE49-F238E27FC236}">
              <a16:creationId xmlns:a16="http://schemas.microsoft.com/office/drawing/2014/main" id="{72147704-D15A-42D9-B7D1-83DACBFAE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79" name="Imagen 3">
          <a:extLst>
            <a:ext uri="{FF2B5EF4-FFF2-40B4-BE49-F238E27FC236}">
              <a16:creationId xmlns:a16="http://schemas.microsoft.com/office/drawing/2014/main" id="{D29EA548-DC8A-4571-B8A9-EAB6B2CFA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0" name="Imagen 3">
          <a:extLst>
            <a:ext uri="{FF2B5EF4-FFF2-40B4-BE49-F238E27FC236}">
              <a16:creationId xmlns:a16="http://schemas.microsoft.com/office/drawing/2014/main" id="{BDD881D5-32CD-46DE-AD48-2B0E784A5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1" name="Imagen 3">
          <a:extLst>
            <a:ext uri="{FF2B5EF4-FFF2-40B4-BE49-F238E27FC236}">
              <a16:creationId xmlns:a16="http://schemas.microsoft.com/office/drawing/2014/main" id="{030A69F2-7CC0-4591-B6A5-774A1B3DE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2" name="Imagen 3">
          <a:extLst>
            <a:ext uri="{FF2B5EF4-FFF2-40B4-BE49-F238E27FC236}">
              <a16:creationId xmlns:a16="http://schemas.microsoft.com/office/drawing/2014/main" id="{1A9D8124-40BB-4A26-99A8-21EAF1A86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3" name="Imagen 3">
          <a:extLst>
            <a:ext uri="{FF2B5EF4-FFF2-40B4-BE49-F238E27FC236}">
              <a16:creationId xmlns:a16="http://schemas.microsoft.com/office/drawing/2014/main" id="{FA019F05-D147-4E78-9BDF-9AFC30EEB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4" name="Imagen 3">
          <a:extLst>
            <a:ext uri="{FF2B5EF4-FFF2-40B4-BE49-F238E27FC236}">
              <a16:creationId xmlns:a16="http://schemas.microsoft.com/office/drawing/2014/main" id="{E783E5C8-AFA3-4916-9191-1581653D3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5" name="Imagen 3">
          <a:extLst>
            <a:ext uri="{FF2B5EF4-FFF2-40B4-BE49-F238E27FC236}">
              <a16:creationId xmlns:a16="http://schemas.microsoft.com/office/drawing/2014/main" id="{62747387-B5CE-4DF7-B260-03D1F2BA1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6" name="Imagen 3">
          <a:extLst>
            <a:ext uri="{FF2B5EF4-FFF2-40B4-BE49-F238E27FC236}">
              <a16:creationId xmlns:a16="http://schemas.microsoft.com/office/drawing/2014/main" id="{59E0CCF4-2B56-4E63-BC1E-70252C10E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7" name="Imagen 3">
          <a:extLst>
            <a:ext uri="{FF2B5EF4-FFF2-40B4-BE49-F238E27FC236}">
              <a16:creationId xmlns:a16="http://schemas.microsoft.com/office/drawing/2014/main" id="{C4C6B8D8-1B58-4516-BEAF-26A94BB06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8" name="Imagen 3">
          <a:extLst>
            <a:ext uri="{FF2B5EF4-FFF2-40B4-BE49-F238E27FC236}">
              <a16:creationId xmlns:a16="http://schemas.microsoft.com/office/drawing/2014/main" id="{ED640241-52D3-413A-BEC2-C4F46A95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89" name="Imagen 3">
          <a:extLst>
            <a:ext uri="{FF2B5EF4-FFF2-40B4-BE49-F238E27FC236}">
              <a16:creationId xmlns:a16="http://schemas.microsoft.com/office/drawing/2014/main" id="{8225CF7F-5E78-4A38-B16E-A22C963C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90" name="Imagen 3">
          <a:extLst>
            <a:ext uri="{FF2B5EF4-FFF2-40B4-BE49-F238E27FC236}">
              <a16:creationId xmlns:a16="http://schemas.microsoft.com/office/drawing/2014/main" id="{19E79AEF-1494-4941-BB7F-99F7F71BC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91" name="Imagen 3">
          <a:extLst>
            <a:ext uri="{FF2B5EF4-FFF2-40B4-BE49-F238E27FC236}">
              <a16:creationId xmlns:a16="http://schemas.microsoft.com/office/drawing/2014/main" id="{15585F3C-32B5-4ED1-BCD0-34A280AF5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92" name="Imagen 3">
          <a:extLst>
            <a:ext uri="{FF2B5EF4-FFF2-40B4-BE49-F238E27FC236}">
              <a16:creationId xmlns:a16="http://schemas.microsoft.com/office/drawing/2014/main" id="{3EEAFFEF-8CDB-4897-902F-2D2DC8156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93" name="Imagen 3">
          <a:extLst>
            <a:ext uri="{FF2B5EF4-FFF2-40B4-BE49-F238E27FC236}">
              <a16:creationId xmlns:a16="http://schemas.microsoft.com/office/drawing/2014/main" id="{17CE7E59-2D56-4AC6-A5A3-E037B282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94" name="Imagen 3">
          <a:extLst>
            <a:ext uri="{FF2B5EF4-FFF2-40B4-BE49-F238E27FC236}">
              <a16:creationId xmlns:a16="http://schemas.microsoft.com/office/drawing/2014/main" id="{4E61BBA7-AA56-4996-8A82-7A22E9D11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95" name="Imagen 3">
          <a:extLst>
            <a:ext uri="{FF2B5EF4-FFF2-40B4-BE49-F238E27FC236}">
              <a16:creationId xmlns:a16="http://schemas.microsoft.com/office/drawing/2014/main" id="{8F1E6EBE-0642-4EE9-AB8B-C49F9865F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396" name="Imagen 3">
          <a:extLst>
            <a:ext uri="{FF2B5EF4-FFF2-40B4-BE49-F238E27FC236}">
              <a16:creationId xmlns:a16="http://schemas.microsoft.com/office/drawing/2014/main" id="{C2FF8F52-F146-4145-87C9-9DF35D647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97" name="Imagen 3">
          <a:extLst>
            <a:ext uri="{FF2B5EF4-FFF2-40B4-BE49-F238E27FC236}">
              <a16:creationId xmlns:a16="http://schemas.microsoft.com/office/drawing/2014/main" id="{CEE5EAB6-FD12-4BC1-89DC-EDCD64E81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98" name="Imagen 3">
          <a:extLst>
            <a:ext uri="{FF2B5EF4-FFF2-40B4-BE49-F238E27FC236}">
              <a16:creationId xmlns:a16="http://schemas.microsoft.com/office/drawing/2014/main" id="{6C93C722-75E9-4AA0-BBD8-2C14BA2E1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399" name="Imagen 3">
          <a:extLst>
            <a:ext uri="{FF2B5EF4-FFF2-40B4-BE49-F238E27FC236}">
              <a16:creationId xmlns:a16="http://schemas.microsoft.com/office/drawing/2014/main" id="{08B71C36-29AD-4FA1-BD33-6DFA17A2D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0" name="Imagen 3">
          <a:extLst>
            <a:ext uri="{FF2B5EF4-FFF2-40B4-BE49-F238E27FC236}">
              <a16:creationId xmlns:a16="http://schemas.microsoft.com/office/drawing/2014/main" id="{A9B023D4-81A9-4EEB-8C8C-3A6786ACD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1" name="Imagen 3">
          <a:extLst>
            <a:ext uri="{FF2B5EF4-FFF2-40B4-BE49-F238E27FC236}">
              <a16:creationId xmlns:a16="http://schemas.microsoft.com/office/drawing/2014/main" id="{225C25F8-7541-45CD-8C8E-F5323EDB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2" name="Imagen 3">
          <a:extLst>
            <a:ext uri="{FF2B5EF4-FFF2-40B4-BE49-F238E27FC236}">
              <a16:creationId xmlns:a16="http://schemas.microsoft.com/office/drawing/2014/main" id="{C74701F3-CAE9-433D-A5CC-104E5A145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3" name="Imagen 3">
          <a:extLst>
            <a:ext uri="{FF2B5EF4-FFF2-40B4-BE49-F238E27FC236}">
              <a16:creationId xmlns:a16="http://schemas.microsoft.com/office/drawing/2014/main" id="{EEC9C488-EBBF-4E63-BB59-AD962CBCD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4" name="Imagen 3">
          <a:extLst>
            <a:ext uri="{FF2B5EF4-FFF2-40B4-BE49-F238E27FC236}">
              <a16:creationId xmlns:a16="http://schemas.microsoft.com/office/drawing/2014/main" id="{A043DCD9-D3BA-4341-B981-26C45788F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5" name="Imagen 3">
          <a:extLst>
            <a:ext uri="{FF2B5EF4-FFF2-40B4-BE49-F238E27FC236}">
              <a16:creationId xmlns:a16="http://schemas.microsoft.com/office/drawing/2014/main" id="{06970038-4169-4A0C-A0E5-21E7BA08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6" name="Imagen 3">
          <a:extLst>
            <a:ext uri="{FF2B5EF4-FFF2-40B4-BE49-F238E27FC236}">
              <a16:creationId xmlns:a16="http://schemas.microsoft.com/office/drawing/2014/main" id="{A5F7016E-7972-47FF-B47D-B0978E899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7" name="Imagen 3">
          <a:extLst>
            <a:ext uri="{FF2B5EF4-FFF2-40B4-BE49-F238E27FC236}">
              <a16:creationId xmlns:a16="http://schemas.microsoft.com/office/drawing/2014/main" id="{86307EA5-D5B2-4DAD-A849-3957295AF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8" name="Imagen 3">
          <a:extLst>
            <a:ext uri="{FF2B5EF4-FFF2-40B4-BE49-F238E27FC236}">
              <a16:creationId xmlns:a16="http://schemas.microsoft.com/office/drawing/2014/main" id="{08D9F785-AB4E-4F90-91D1-D9126F289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09" name="Imagen 3">
          <a:extLst>
            <a:ext uri="{FF2B5EF4-FFF2-40B4-BE49-F238E27FC236}">
              <a16:creationId xmlns:a16="http://schemas.microsoft.com/office/drawing/2014/main" id="{6011E29F-8FBE-4EA2-B380-428F9A37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0" name="Imagen 3">
          <a:extLst>
            <a:ext uri="{FF2B5EF4-FFF2-40B4-BE49-F238E27FC236}">
              <a16:creationId xmlns:a16="http://schemas.microsoft.com/office/drawing/2014/main" id="{6AFE7EE1-C52F-4E3D-B810-8ADC8621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1" name="Imagen 3">
          <a:extLst>
            <a:ext uri="{FF2B5EF4-FFF2-40B4-BE49-F238E27FC236}">
              <a16:creationId xmlns:a16="http://schemas.microsoft.com/office/drawing/2014/main" id="{4B2BE571-E1EE-498B-9C0A-CED3AF756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2" name="Imagen 3">
          <a:extLst>
            <a:ext uri="{FF2B5EF4-FFF2-40B4-BE49-F238E27FC236}">
              <a16:creationId xmlns:a16="http://schemas.microsoft.com/office/drawing/2014/main" id="{B75F84AE-E03E-4479-9D17-A63B19970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3" name="Imagen 3">
          <a:extLst>
            <a:ext uri="{FF2B5EF4-FFF2-40B4-BE49-F238E27FC236}">
              <a16:creationId xmlns:a16="http://schemas.microsoft.com/office/drawing/2014/main" id="{810CF74C-C49B-43B7-9BBD-603E40BFA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4" name="Imagen 3">
          <a:extLst>
            <a:ext uri="{FF2B5EF4-FFF2-40B4-BE49-F238E27FC236}">
              <a16:creationId xmlns:a16="http://schemas.microsoft.com/office/drawing/2014/main" id="{EF78B692-1841-41FC-BE2A-354CD1300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5" name="Imagen 3">
          <a:extLst>
            <a:ext uri="{FF2B5EF4-FFF2-40B4-BE49-F238E27FC236}">
              <a16:creationId xmlns:a16="http://schemas.microsoft.com/office/drawing/2014/main" id="{4054DB20-A2ED-49E1-BDD5-15B45B7B1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6" name="Imagen 3">
          <a:extLst>
            <a:ext uri="{FF2B5EF4-FFF2-40B4-BE49-F238E27FC236}">
              <a16:creationId xmlns:a16="http://schemas.microsoft.com/office/drawing/2014/main" id="{F6E5014F-AD34-48F5-A418-379A274E6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7" name="Imagen 3">
          <a:extLst>
            <a:ext uri="{FF2B5EF4-FFF2-40B4-BE49-F238E27FC236}">
              <a16:creationId xmlns:a16="http://schemas.microsoft.com/office/drawing/2014/main" id="{2CB9ABB5-BDC1-41B4-9EFC-98CB7FDB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8" name="Imagen 3">
          <a:extLst>
            <a:ext uri="{FF2B5EF4-FFF2-40B4-BE49-F238E27FC236}">
              <a16:creationId xmlns:a16="http://schemas.microsoft.com/office/drawing/2014/main" id="{DD28F41A-4E7F-4E55-86B2-49F3CC33E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19" name="Imagen 3">
          <a:extLst>
            <a:ext uri="{FF2B5EF4-FFF2-40B4-BE49-F238E27FC236}">
              <a16:creationId xmlns:a16="http://schemas.microsoft.com/office/drawing/2014/main" id="{52F31988-0170-4A76-AE0B-E9AFEB62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0" name="Imagen 3">
          <a:extLst>
            <a:ext uri="{FF2B5EF4-FFF2-40B4-BE49-F238E27FC236}">
              <a16:creationId xmlns:a16="http://schemas.microsoft.com/office/drawing/2014/main" id="{F3754E94-5DA3-4716-97F4-970EF3EB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1" name="Imagen 3">
          <a:extLst>
            <a:ext uri="{FF2B5EF4-FFF2-40B4-BE49-F238E27FC236}">
              <a16:creationId xmlns:a16="http://schemas.microsoft.com/office/drawing/2014/main" id="{D5421C82-B383-4A33-8DB0-F28E864A7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2" name="Imagen 3">
          <a:extLst>
            <a:ext uri="{FF2B5EF4-FFF2-40B4-BE49-F238E27FC236}">
              <a16:creationId xmlns:a16="http://schemas.microsoft.com/office/drawing/2014/main" id="{284F61D3-A981-41C6-955F-0A37BE71F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3" name="Imagen 3">
          <a:extLst>
            <a:ext uri="{FF2B5EF4-FFF2-40B4-BE49-F238E27FC236}">
              <a16:creationId xmlns:a16="http://schemas.microsoft.com/office/drawing/2014/main" id="{0F4EE681-3DE1-46F5-ADCC-7157334DA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4" name="Imagen 3">
          <a:extLst>
            <a:ext uri="{FF2B5EF4-FFF2-40B4-BE49-F238E27FC236}">
              <a16:creationId xmlns:a16="http://schemas.microsoft.com/office/drawing/2014/main" id="{D4FEBC7E-2FC0-489B-9C0B-0B0546E46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5" name="Imagen 3">
          <a:extLst>
            <a:ext uri="{FF2B5EF4-FFF2-40B4-BE49-F238E27FC236}">
              <a16:creationId xmlns:a16="http://schemas.microsoft.com/office/drawing/2014/main" id="{E6031294-C3F8-4B12-83E6-F93B5368A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6" name="Imagen 3">
          <a:extLst>
            <a:ext uri="{FF2B5EF4-FFF2-40B4-BE49-F238E27FC236}">
              <a16:creationId xmlns:a16="http://schemas.microsoft.com/office/drawing/2014/main" id="{5952AD93-3C52-4052-A45C-66A54F67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7" name="Imagen 3">
          <a:extLst>
            <a:ext uri="{FF2B5EF4-FFF2-40B4-BE49-F238E27FC236}">
              <a16:creationId xmlns:a16="http://schemas.microsoft.com/office/drawing/2014/main" id="{4E3C5608-76BA-4246-9B26-74A1B8505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8" name="Imagen 3">
          <a:extLst>
            <a:ext uri="{FF2B5EF4-FFF2-40B4-BE49-F238E27FC236}">
              <a16:creationId xmlns:a16="http://schemas.microsoft.com/office/drawing/2014/main" id="{064388A7-A0AA-4462-9608-7D4FAF329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29" name="Imagen 3">
          <a:extLst>
            <a:ext uri="{FF2B5EF4-FFF2-40B4-BE49-F238E27FC236}">
              <a16:creationId xmlns:a16="http://schemas.microsoft.com/office/drawing/2014/main" id="{18081668-CDA6-4E51-8444-C10821173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0" name="Imagen 3">
          <a:extLst>
            <a:ext uri="{FF2B5EF4-FFF2-40B4-BE49-F238E27FC236}">
              <a16:creationId xmlns:a16="http://schemas.microsoft.com/office/drawing/2014/main" id="{88F38756-1E4C-4882-AF5C-C3C55D966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1" name="Imagen 3">
          <a:extLst>
            <a:ext uri="{FF2B5EF4-FFF2-40B4-BE49-F238E27FC236}">
              <a16:creationId xmlns:a16="http://schemas.microsoft.com/office/drawing/2014/main" id="{4F58A2E5-D380-4E8E-BE2F-4F7122159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2" name="Imagen 3">
          <a:extLst>
            <a:ext uri="{FF2B5EF4-FFF2-40B4-BE49-F238E27FC236}">
              <a16:creationId xmlns:a16="http://schemas.microsoft.com/office/drawing/2014/main" id="{28483189-1F54-46D3-A21D-FD175DCF5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3" name="Imagen 3">
          <a:extLst>
            <a:ext uri="{FF2B5EF4-FFF2-40B4-BE49-F238E27FC236}">
              <a16:creationId xmlns:a16="http://schemas.microsoft.com/office/drawing/2014/main" id="{895AAF2C-5837-4B06-A7E5-7D296462A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4" name="Imagen 3">
          <a:extLst>
            <a:ext uri="{FF2B5EF4-FFF2-40B4-BE49-F238E27FC236}">
              <a16:creationId xmlns:a16="http://schemas.microsoft.com/office/drawing/2014/main" id="{2144C2D0-0F58-4B32-9871-4763DB375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5" name="Imagen 3">
          <a:extLst>
            <a:ext uri="{FF2B5EF4-FFF2-40B4-BE49-F238E27FC236}">
              <a16:creationId xmlns:a16="http://schemas.microsoft.com/office/drawing/2014/main" id="{0BBEDF2B-E155-46F7-90D6-50DE308D5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6" name="Imagen 3">
          <a:extLst>
            <a:ext uri="{FF2B5EF4-FFF2-40B4-BE49-F238E27FC236}">
              <a16:creationId xmlns:a16="http://schemas.microsoft.com/office/drawing/2014/main" id="{B1E07A31-9B05-4053-AA37-B6A8EAB48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7" name="Imagen 3">
          <a:extLst>
            <a:ext uri="{FF2B5EF4-FFF2-40B4-BE49-F238E27FC236}">
              <a16:creationId xmlns:a16="http://schemas.microsoft.com/office/drawing/2014/main" id="{ECF85C9C-15C9-4F56-BF59-5CF7C2B18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8" name="Imagen 3">
          <a:extLst>
            <a:ext uri="{FF2B5EF4-FFF2-40B4-BE49-F238E27FC236}">
              <a16:creationId xmlns:a16="http://schemas.microsoft.com/office/drawing/2014/main" id="{7C7985C3-CFBD-474B-AE0F-F2C89B88B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39" name="Imagen 3">
          <a:extLst>
            <a:ext uri="{FF2B5EF4-FFF2-40B4-BE49-F238E27FC236}">
              <a16:creationId xmlns:a16="http://schemas.microsoft.com/office/drawing/2014/main" id="{D8A4C3FD-0C9D-4096-92CB-EDAB363EF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0" name="Imagen 3">
          <a:extLst>
            <a:ext uri="{FF2B5EF4-FFF2-40B4-BE49-F238E27FC236}">
              <a16:creationId xmlns:a16="http://schemas.microsoft.com/office/drawing/2014/main" id="{EAA8E15C-5693-4DD6-92BD-092F7053E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1" name="Imagen 3">
          <a:extLst>
            <a:ext uri="{FF2B5EF4-FFF2-40B4-BE49-F238E27FC236}">
              <a16:creationId xmlns:a16="http://schemas.microsoft.com/office/drawing/2014/main" id="{D2E05959-B282-481B-8EE1-8F02B997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2" name="Imagen 3">
          <a:extLst>
            <a:ext uri="{FF2B5EF4-FFF2-40B4-BE49-F238E27FC236}">
              <a16:creationId xmlns:a16="http://schemas.microsoft.com/office/drawing/2014/main" id="{A13B6D42-1986-47EF-B006-3C18C8B6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3" name="Imagen 3">
          <a:extLst>
            <a:ext uri="{FF2B5EF4-FFF2-40B4-BE49-F238E27FC236}">
              <a16:creationId xmlns:a16="http://schemas.microsoft.com/office/drawing/2014/main" id="{E9BD3E83-376C-4AFD-A971-C76638D74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4" name="Imagen 3">
          <a:extLst>
            <a:ext uri="{FF2B5EF4-FFF2-40B4-BE49-F238E27FC236}">
              <a16:creationId xmlns:a16="http://schemas.microsoft.com/office/drawing/2014/main" id="{E21F7ECB-809A-4FDD-8CD4-22381DEC3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5" name="Imagen 3">
          <a:extLst>
            <a:ext uri="{FF2B5EF4-FFF2-40B4-BE49-F238E27FC236}">
              <a16:creationId xmlns:a16="http://schemas.microsoft.com/office/drawing/2014/main" id="{F5591127-3272-409B-8F4E-A49D9DD74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6" name="Imagen 3">
          <a:extLst>
            <a:ext uri="{FF2B5EF4-FFF2-40B4-BE49-F238E27FC236}">
              <a16:creationId xmlns:a16="http://schemas.microsoft.com/office/drawing/2014/main" id="{1505ECB4-7DCB-43E7-92C9-1ABDB1789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7" name="Imagen 3">
          <a:extLst>
            <a:ext uri="{FF2B5EF4-FFF2-40B4-BE49-F238E27FC236}">
              <a16:creationId xmlns:a16="http://schemas.microsoft.com/office/drawing/2014/main" id="{FC44F2F2-3798-4777-A228-5B4E26306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8" name="Imagen 3">
          <a:extLst>
            <a:ext uri="{FF2B5EF4-FFF2-40B4-BE49-F238E27FC236}">
              <a16:creationId xmlns:a16="http://schemas.microsoft.com/office/drawing/2014/main" id="{64183550-CFC2-48EE-9C82-4DA58966F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49" name="Imagen 3">
          <a:extLst>
            <a:ext uri="{FF2B5EF4-FFF2-40B4-BE49-F238E27FC236}">
              <a16:creationId xmlns:a16="http://schemas.microsoft.com/office/drawing/2014/main" id="{E76829CC-CD89-4853-B1F0-CE35A7CD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0" name="Imagen 3">
          <a:extLst>
            <a:ext uri="{FF2B5EF4-FFF2-40B4-BE49-F238E27FC236}">
              <a16:creationId xmlns:a16="http://schemas.microsoft.com/office/drawing/2014/main" id="{1B5C3598-9056-43B0-A855-9B720B989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1" name="Imagen 3">
          <a:extLst>
            <a:ext uri="{FF2B5EF4-FFF2-40B4-BE49-F238E27FC236}">
              <a16:creationId xmlns:a16="http://schemas.microsoft.com/office/drawing/2014/main" id="{2D13B425-B803-4C36-8622-8227C6298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2" name="Imagen 3">
          <a:extLst>
            <a:ext uri="{FF2B5EF4-FFF2-40B4-BE49-F238E27FC236}">
              <a16:creationId xmlns:a16="http://schemas.microsoft.com/office/drawing/2014/main" id="{65870485-7060-4A45-B2B7-7639A1029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3" name="Imagen 3">
          <a:extLst>
            <a:ext uri="{FF2B5EF4-FFF2-40B4-BE49-F238E27FC236}">
              <a16:creationId xmlns:a16="http://schemas.microsoft.com/office/drawing/2014/main" id="{26AD8007-F16F-4C73-A323-59DE97C27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4" name="Imagen 3">
          <a:extLst>
            <a:ext uri="{FF2B5EF4-FFF2-40B4-BE49-F238E27FC236}">
              <a16:creationId xmlns:a16="http://schemas.microsoft.com/office/drawing/2014/main" id="{DE97CEDB-8D68-4E67-B0D6-767DC78C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5" name="Imagen 3">
          <a:extLst>
            <a:ext uri="{FF2B5EF4-FFF2-40B4-BE49-F238E27FC236}">
              <a16:creationId xmlns:a16="http://schemas.microsoft.com/office/drawing/2014/main" id="{C13E8421-0B6B-4A4B-A9AD-D9F2E599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6" name="Imagen 3">
          <a:extLst>
            <a:ext uri="{FF2B5EF4-FFF2-40B4-BE49-F238E27FC236}">
              <a16:creationId xmlns:a16="http://schemas.microsoft.com/office/drawing/2014/main" id="{AF8B0233-77E2-47A5-A64E-9446E59C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7" name="Imagen 3">
          <a:extLst>
            <a:ext uri="{FF2B5EF4-FFF2-40B4-BE49-F238E27FC236}">
              <a16:creationId xmlns:a16="http://schemas.microsoft.com/office/drawing/2014/main" id="{B27A133F-D74F-4543-B700-B6A3AF9F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8" name="Imagen 3">
          <a:extLst>
            <a:ext uri="{FF2B5EF4-FFF2-40B4-BE49-F238E27FC236}">
              <a16:creationId xmlns:a16="http://schemas.microsoft.com/office/drawing/2014/main" id="{565670EC-80BD-43FB-AB01-2AD53A00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59" name="Imagen 3">
          <a:extLst>
            <a:ext uri="{FF2B5EF4-FFF2-40B4-BE49-F238E27FC236}">
              <a16:creationId xmlns:a16="http://schemas.microsoft.com/office/drawing/2014/main" id="{30C56F37-5A20-4FF2-825F-F311510CA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0" name="Imagen 3">
          <a:extLst>
            <a:ext uri="{FF2B5EF4-FFF2-40B4-BE49-F238E27FC236}">
              <a16:creationId xmlns:a16="http://schemas.microsoft.com/office/drawing/2014/main" id="{97F64378-EE79-4D5D-9373-D341E2DED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1" name="Imagen 3">
          <a:extLst>
            <a:ext uri="{FF2B5EF4-FFF2-40B4-BE49-F238E27FC236}">
              <a16:creationId xmlns:a16="http://schemas.microsoft.com/office/drawing/2014/main" id="{BC992F76-75C4-4703-B0C5-06E0D3D8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2" name="Imagen 3">
          <a:extLst>
            <a:ext uri="{FF2B5EF4-FFF2-40B4-BE49-F238E27FC236}">
              <a16:creationId xmlns:a16="http://schemas.microsoft.com/office/drawing/2014/main" id="{5ACA1DCA-636D-49A5-863A-8D2D3AB0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3" name="Imagen 3">
          <a:extLst>
            <a:ext uri="{FF2B5EF4-FFF2-40B4-BE49-F238E27FC236}">
              <a16:creationId xmlns:a16="http://schemas.microsoft.com/office/drawing/2014/main" id="{7A8F3792-031D-465B-B635-A7B56AC00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4" name="Imagen 3">
          <a:extLst>
            <a:ext uri="{FF2B5EF4-FFF2-40B4-BE49-F238E27FC236}">
              <a16:creationId xmlns:a16="http://schemas.microsoft.com/office/drawing/2014/main" id="{D37BBBF4-4B4D-489B-85CC-009E8079A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5" name="Imagen 3">
          <a:extLst>
            <a:ext uri="{FF2B5EF4-FFF2-40B4-BE49-F238E27FC236}">
              <a16:creationId xmlns:a16="http://schemas.microsoft.com/office/drawing/2014/main" id="{80CE5643-F48D-414E-8713-614829D00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6" name="Imagen 3">
          <a:extLst>
            <a:ext uri="{FF2B5EF4-FFF2-40B4-BE49-F238E27FC236}">
              <a16:creationId xmlns:a16="http://schemas.microsoft.com/office/drawing/2014/main" id="{E0A406EC-ADE0-402A-87CE-BE15923B5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7" name="Imagen 3">
          <a:extLst>
            <a:ext uri="{FF2B5EF4-FFF2-40B4-BE49-F238E27FC236}">
              <a16:creationId xmlns:a16="http://schemas.microsoft.com/office/drawing/2014/main" id="{4BCF3B48-2423-47E4-B0CC-244505DAC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8" name="Imagen 3">
          <a:extLst>
            <a:ext uri="{FF2B5EF4-FFF2-40B4-BE49-F238E27FC236}">
              <a16:creationId xmlns:a16="http://schemas.microsoft.com/office/drawing/2014/main" id="{B74A7183-A5D1-41CD-9B68-40C02EBB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69" name="Imagen 3">
          <a:extLst>
            <a:ext uri="{FF2B5EF4-FFF2-40B4-BE49-F238E27FC236}">
              <a16:creationId xmlns:a16="http://schemas.microsoft.com/office/drawing/2014/main" id="{B24331E6-E6B1-4950-B147-D909EA31C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0" name="Imagen 3">
          <a:extLst>
            <a:ext uri="{FF2B5EF4-FFF2-40B4-BE49-F238E27FC236}">
              <a16:creationId xmlns:a16="http://schemas.microsoft.com/office/drawing/2014/main" id="{D5AAB73A-7E9C-41F1-B951-0FFD59EDD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1" name="Imagen 3">
          <a:extLst>
            <a:ext uri="{FF2B5EF4-FFF2-40B4-BE49-F238E27FC236}">
              <a16:creationId xmlns:a16="http://schemas.microsoft.com/office/drawing/2014/main" id="{5725014F-CA38-4E96-BA82-0049E42C5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2" name="Imagen 3">
          <a:extLst>
            <a:ext uri="{FF2B5EF4-FFF2-40B4-BE49-F238E27FC236}">
              <a16:creationId xmlns:a16="http://schemas.microsoft.com/office/drawing/2014/main" id="{FAD89D39-3C49-441E-903A-D0C697EE1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3" name="Imagen 3">
          <a:extLst>
            <a:ext uri="{FF2B5EF4-FFF2-40B4-BE49-F238E27FC236}">
              <a16:creationId xmlns:a16="http://schemas.microsoft.com/office/drawing/2014/main" id="{F1061242-C301-429C-949D-EDCA7DD02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4" name="Imagen 3">
          <a:extLst>
            <a:ext uri="{FF2B5EF4-FFF2-40B4-BE49-F238E27FC236}">
              <a16:creationId xmlns:a16="http://schemas.microsoft.com/office/drawing/2014/main" id="{0C1483CB-1F3C-4C2E-A867-9BBD420E6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5" name="Imagen 3">
          <a:extLst>
            <a:ext uri="{FF2B5EF4-FFF2-40B4-BE49-F238E27FC236}">
              <a16:creationId xmlns:a16="http://schemas.microsoft.com/office/drawing/2014/main" id="{F0E5A43C-D95E-4B1B-8FAA-B2EB161CC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6" name="Imagen 3">
          <a:extLst>
            <a:ext uri="{FF2B5EF4-FFF2-40B4-BE49-F238E27FC236}">
              <a16:creationId xmlns:a16="http://schemas.microsoft.com/office/drawing/2014/main" id="{6D2FEAB8-1F97-4A8B-9813-CBD3F8979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7" name="Imagen 3">
          <a:extLst>
            <a:ext uri="{FF2B5EF4-FFF2-40B4-BE49-F238E27FC236}">
              <a16:creationId xmlns:a16="http://schemas.microsoft.com/office/drawing/2014/main" id="{168D3329-F813-4E27-8352-072579A7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8" name="Imagen 3">
          <a:extLst>
            <a:ext uri="{FF2B5EF4-FFF2-40B4-BE49-F238E27FC236}">
              <a16:creationId xmlns:a16="http://schemas.microsoft.com/office/drawing/2014/main" id="{A4B32450-4159-4B10-BF24-87CA8B434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79" name="Imagen 3">
          <a:extLst>
            <a:ext uri="{FF2B5EF4-FFF2-40B4-BE49-F238E27FC236}">
              <a16:creationId xmlns:a16="http://schemas.microsoft.com/office/drawing/2014/main" id="{D5F2DC9A-1792-42A7-B70D-73361F1C1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0" name="Imagen 3">
          <a:extLst>
            <a:ext uri="{FF2B5EF4-FFF2-40B4-BE49-F238E27FC236}">
              <a16:creationId xmlns:a16="http://schemas.microsoft.com/office/drawing/2014/main" id="{B6834069-C92D-4AC7-B07F-C54A49C8B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1" name="Imagen 3">
          <a:extLst>
            <a:ext uri="{FF2B5EF4-FFF2-40B4-BE49-F238E27FC236}">
              <a16:creationId xmlns:a16="http://schemas.microsoft.com/office/drawing/2014/main" id="{1622BA00-E48E-451B-B896-C748D7B6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2" name="Imagen 3">
          <a:extLst>
            <a:ext uri="{FF2B5EF4-FFF2-40B4-BE49-F238E27FC236}">
              <a16:creationId xmlns:a16="http://schemas.microsoft.com/office/drawing/2014/main" id="{05B6E78B-C4E9-4685-84AA-048D394EB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3" name="Imagen 3">
          <a:extLst>
            <a:ext uri="{FF2B5EF4-FFF2-40B4-BE49-F238E27FC236}">
              <a16:creationId xmlns:a16="http://schemas.microsoft.com/office/drawing/2014/main" id="{528E93E4-D6E9-4B14-94AE-E353FDA4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4" name="Imagen 3">
          <a:extLst>
            <a:ext uri="{FF2B5EF4-FFF2-40B4-BE49-F238E27FC236}">
              <a16:creationId xmlns:a16="http://schemas.microsoft.com/office/drawing/2014/main" id="{F19A17B6-7DE1-430F-A288-875ED5A61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5" name="Imagen 3">
          <a:extLst>
            <a:ext uri="{FF2B5EF4-FFF2-40B4-BE49-F238E27FC236}">
              <a16:creationId xmlns:a16="http://schemas.microsoft.com/office/drawing/2014/main" id="{419203F4-5C97-4C9E-83EA-C0BB12BE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6" name="Imagen 3">
          <a:extLst>
            <a:ext uri="{FF2B5EF4-FFF2-40B4-BE49-F238E27FC236}">
              <a16:creationId xmlns:a16="http://schemas.microsoft.com/office/drawing/2014/main" id="{FEC767B6-6BEC-4882-980A-09EF848E1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7" name="Imagen 3">
          <a:extLst>
            <a:ext uri="{FF2B5EF4-FFF2-40B4-BE49-F238E27FC236}">
              <a16:creationId xmlns:a16="http://schemas.microsoft.com/office/drawing/2014/main" id="{7A1E9F0C-398A-48A8-8903-7056632FF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8" name="Imagen 3">
          <a:extLst>
            <a:ext uri="{FF2B5EF4-FFF2-40B4-BE49-F238E27FC236}">
              <a16:creationId xmlns:a16="http://schemas.microsoft.com/office/drawing/2014/main" id="{5D848293-B3F4-4312-B918-73E1C031F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89" name="Imagen 3">
          <a:extLst>
            <a:ext uri="{FF2B5EF4-FFF2-40B4-BE49-F238E27FC236}">
              <a16:creationId xmlns:a16="http://schemas.microsoft.com/office/drawing/2014/main" id="{B4A2C4D2-4E58-4FA5-B64D-A6333266F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0" name="Imagen 3">
          <a:extLst>
            <a:ext uri="{FF2B5EF4-FFF2-40B4-BE49-F238E27FC236}">
              <a16:creationId xmlns:a16="http://schemas.microsoft.com/office/drawing/2014/main" id="{E1110127-40CE-48C6-B2F6-54040591B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1" name="Imagen 3">
          <a:extLst>
            <a:ext uri="{FF2B5EF4-FFF2-40B4-BE49-F238E27FC236}">
              <a16:creationId xmlns:a16="http://schemas.microsoft.com/office/drawing/2014/main" id="{E35FDFEF-F61B-4A44-993A-46300986C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2" name="Imagen 3">
          <a:extLst>
            <a:ext uri="{FF2B5EF4-FFF2-40B4-BE49-F238E27FC236}">
              <a16:creationId xmlns:a16="http://schemas.microsoft.com/office/drawing/2014/main" id="{9BCDF883-32E5-4D0E-99C3-6C5254A4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3" name="Imagen 3">
          <a:extLst>
            <a:ext uri="{FF2B5EF4-FFF2-40B4-BE49-F238E27FC236}">
              <a16:creationId xmlns:a16="http://schemas.microsoft.com/office/drawing/2014/main" id="{36431DB9-F0BB-4389-AFE9-68E5D53D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4" name="Imagen 3">
          <a:extLst>
            <a:ext uri="{FF2B5EF4-FFF2-40B4-BE49-F238E27FC236}">
              <a16:creationId xmlns:a16="http://schemas.microsoft.com/office/drawing/2014/main" id="{32055218-7633-4709-8C79-069686435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5" name="Imagen 3">
          <a:extLst>
            <a:ext uri="{FF2B5EF4-FFF2-40B4-BE49-F238E27FC236}">
              <a16:creationId xmlns:a16="http://schemas.microsoft.com/office/drawing/2014/main" id="{6A4A2FCA-DEF1-410F-8FBD-5A894F22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6" name="Imagen 3">
          <a:extLst>
            <a:ext uri="{FF2B5EF4-FFF2-40B4-BE49-F238E27FC236}">
              <a16:creationId xmlns:a16="http://schemas.microsoft.com/office/drawing/2014/main" id="{2C0950A4-1513-4CF7-85E3-5720E07E7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7" name="Imagen 3">
          <a:extLst>
            <a:ext uri="{FF2B5EF4-FFF2-40B4-BE49-F238E27FC236}">
              <a16:creationId xmlns:a16="http://schemas.microsoft.com/office/drawing/2014/main" id="{37CC9AA4-F755-4991-9009-BCEE3A961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8" name="Imagen 3">
          <a:extLst>
            <a:ext uri="{FF2B5EF4-FFF2-40B4-BE49-F238E27FC236}">
              <a16:creationId xmlns:a16="http://schemas.microsoft.com/office/drawing/2014/main" id="{DD92D530-0549-4BE7-8FED-F63FFAA5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499" name="Imagen 3">
          <a:extLst>
            <a:ext uri="{FF2B5EF4-FFF2-40B4-BE49-F238E27FC236}">
              <a16:creationId xmlns:a16="http://schemas.microsoft.com/office/drawing/2014/main" id="{7ECF7F8D-F521-4100-B68F-1D8433871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0" name="Imagen 3">
          <a:extLst>
            <a:ext uri="{FF2B5EF4-FFF2-40B4-BE49-F238E27FC236}">
              <a16:creationId xmlns:a16="http://schemas.microsoft.com/office/drawing/2014/main" id="{6EF73F5E-F060-470A-820A-E11220D03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1" name="Imagen 3">
          <a:extLst>
            <a:ext uri="{FF2B5EF4-FFF2-40B4-BE49-F238E27FC236}">
              <a16:creationId xmlns:a16="http://schemas.microsoft.com/office/drawing/2014/main" id="{BF14992D-1935-485D-B703-A87D0575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2" name="Imagen 3">
          <a:extLst>
            <a:ext uri="{FF2B5EF4-FFF2-40B4-BE49-F238E27FC236}">
              <a16:creationId xmlns:a16="http://schemas.microsoft.com/office/drawing/2014/main" id="{5E6C5027-CD8A-4300-A3C9-AF4C2A63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3" name="Imagen 3">
          <a:extLst>
            <a:ext uri="{FF2B5EF4-FFF2-40B4-BE49-F238E27FC236}">
              <a16:creationId xmlns:a16="http://schemas.microsoft.com/office/drawing/2014/main" id="{93843F62-30DC-4FF4-B6DC-78FACDBD6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4" name="Imagen 3">
          <a:extLst>
            <a:ext uri="{FF2B5EF4-FFF2-40B4-BE49-F238E27FC236}">
              <a16:creationId xmlns:a16="http://schemas.microsoft.com/office/drawing/2014/main" id="{4244B66C-A196-4E86-9A79-4BCE82C47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5" name="Imagen 3">
          <a:extLst>
            <a:ext uri="{FF2B5EF4-FFF2-40B4-BE49-F238E27FC236}">
              <a16:creationId xmlns:a16="http://schemas.microsoft.com/office/drawing/2014/main" id="{BCECEC57-1211-4413-B55C-74D27EC15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6" name="Imagen 3">
          <a:extLst>
            <a:ext uri="{FF2B5EF4-FFF2-40B4-BE49-F238E27FC236}">
              <a16:creationId xmlns:a16="http://schemas.microsoft.com/office/drawing/2014/main" id="{EED60D06-0FD2-4CF8-92A9-024BE9564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7" name="Imagen 3">
          <a:extLst>
            <a:ext uri="{FF2B5EF4-FFF2-40B4-BE49-F238E27FC236}">
              <a16:creationId xmlns:a16="http://schemas.microsoft.com/office/drawing/2014/main" id="{2A0C0D06-97D3-49F6-B8E6-8B8011F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8" name="Imagen 3">
          <a:extLst>
            <a:ext uri="{FF2B5EF4-FFF2-40B4-BE49-F238E27FC236}">
              <a16:creationId xmlns:a16="http://schemas.microsoft.com/office/drawing/2014/main" id="{CD704FBA-5BDB-46AC-801E-4FCA14043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09" name="Imagen 3">
          <a:extLst>
            <a:ext uri="{FF2B5EF4-FFF2-40B4-BE49-F238E27FC236}">
              <a16:creationId xmlns:a16="http://schemas.microsoft.com/office/drawing/2014/main" id="{02D2676C-542A-4235-9D87-0CD991FB1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0" name="Imagen 3">
          <a:extLst>
            <a:ext uri="{FF2B5EF4-FFF2-40B4-BE49-F238E27FC236}">
              <a16:creationId xmlns:a16="http://schemas.microsoft.com/office/drawing/2014/main" id="{F8DF1A7F-05E3-468F-B4E9-A4DC33824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1" name="Imagen 3">
          <a:extLst>
            <a:ext uri="{FF2B5EF4-FFF2-40B4-BE49-F238E27FC236}">
              <a16:creationId xmlns:a16="http://schemas.microsoft.com/office/drawing/2014/main" id="{78807C9F-7931-42DE-B8C5-63A30D05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2" name="Imagen 3">
          <a:extLst>
            <a:ext uri="{FF2B5EF4-FFF2-40B4-BE49-F238E27FC236}">
              <a16:creationId xmlns:a16="http://schemas.microsoft.com/office/drawing/2014/main" id="{8FE0FCE2-C0BC-4AB8-B42F-E913AA90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3" name="Imagen 3">
          <a:extLst>
            <a:ext uri="{FF2B5EF4-FFF2-40B4-BE49-F238E27FC236}">
              <a16:creationId xmlns:a16="http://schemas.microsoft.com/office/drawing/2014/main" id="{E12C79D3-4668-46AA-98B4-C72AA720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4" name="Imagen 3">
          <a:extLst>
            <a:ext uri="{FF2B5EF4-FFF2-40B4-BE49-F238E27FC236}">
              <a16:creationId xmlns:a16="http://schemas.microsoft.com/office/drawing/2014/main" id="{90A3F444-6FD0-4A45-B9B6-E2A62A393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5" name="Imagen 3">
          <a:extLst>
            <a:ext uri="{FF2B5EF4-FFF2-40B4-BE49-F238E27FC236}">
              <a16:creationId xmlns:a16="http://schemas.microsoft.com/office/drawing/2014/main" id="{611C56BB-652C-4B63-AD6A-DD43D333D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6" name="Imagen 3">
          <a:extLst>
            <a:ext uri="{FF2B5EF4-FFF2-40B4-BE49-F238E27FC236}">
              <a16:creationId xmlns:a16="http://schemas.microsoft.com/office/drawing/2014/main" id="{E978B2CA-511D-4C3F-A3B4-B6F9F4429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7" name="Imagen 3">
          <a:extLst>
            <a:ext uri="{FF2B5EF4-FFF2-40B4-BE49-F238E27FC236}">
              <a16:creationId xmlns:a16="http://schemas.microsoft.com/office/drawing/2014/main" id="{A219ED66-51B7-45F6-B48E-00715A8E5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8" name="Imagen 3">
          <a:extLst>
            <a:ext uri="{FF2B5EF4-FFF2-40B4-BE49-F238E27FC236}">
              <a16:creationId xmlns:a16="http://schemas.microsoft.com/office/drawing/2014/main" id="{178B35FF-F921-4193-9B65-1F4638C5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19" name="Imagen 3">
          <a:extLst>
            <a:ext uri="{FF2B5EF4-FFF2-40B4-BE49-F238E27FC236}">
              <a16:creationId xmlns:a16="http://schemas.microsoft.com/office/drawing/2014/main" id="{BB8FA72D-ECC8-4087-8194-5DD844670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0" name="Imagen 3">
          <a:extLst>
            <a:ext uri="{FF2B5EF4-FFF2-40B4-BE49-F238E27FC236}">
              <a16:creationId xmlns:a16="http://schemas.microsoft.com/office/drawing/2014/main" id="{921D3B90-7408-47D1-A5E2-009F319F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1" name="Imagen 3">
          <a:extLst>
            <a:ext uri="{FF2B5EF4-FFF2-40B4-BE49-F238E27FC236}">
              <a16:creationId xmlns:a16="http://schemas.microsoft.com/office/drawing/2014/main" id="{CFD58992-15E5-4D37-A9C0-902ECFAD7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2" name="Imagen 3">
          <a:extLst>
            <a:ext uri="{FF2B5EF4-FFF2-40B4-BE49-F238E27FC236}">
              <a16:creationId xmlns:a16="http://schemas.microsoft.com/office/drawing/2014/main" id="{6DEEE09E-4D9C-49F6-BD81-C9C67989A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3" name="Imagen 3">
          <a:extLst>
            <a:ext uri="{FF2B5EF4-FFF2-40B4-BE49-F238E27FC236}">
              <a16:creationId xmlns:a16="http://schemas.microsoft.com/office/drawing/2014/main" id="{6678A4DA-B0F9-4443-8744-D85840AE0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4" name="Imagen 3">
          <a:extLst>
            <a:ext uri="{FF2B5EF4-FFF2-40B4-BE49-F238E27FC236}">
              <a16:creationId xmlns:a16="http://schemas.microsoft.com/office/drawing/2014/main" id="{6D4045E6-6DF1-4590-A355-17FDCDED9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5" name="Imagen 3">
          <a:extLst>
            <a:ext uri="{FF2B5EF4-FFF2-40B4-BE49-F238E27FC236}">
              <a16:creationId xmlns:a16="http://schemas.microsoft.com/office/drawing/2014/main" id="{EFC78783-94C8-493A-B981-0E8D02109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6" name="Imagen 3">
          <a:extLst>
            <a:ext uri="{FF2B5EF4-FFF2-40B4-BE49-F238E27FC236}">
              <a16:creationId xmlns:a16="http://schemas.microsoft.com/office/drawing/2014/main" id="{683ACB47-C015-4C8A-B412-AF0A8000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7" name="Imagen 3">
          <a:extLst>
            <a:ext uri="{FF2B5EF4-FFF2-40B4-BE49-F238E27FC236}">
              <a16:creationId xmlns:a16="http://schemas.microsoft.com/office/drawing/2014/main" id="{F48E6155-2FAD-43A0-80C6-AEAF05B8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8" name="Imagen 3">
          <a:extLst>
            <a:ext uri="{FF2B5EF4-FFF2-40B4-BE49-F238E27FC236}">
              <a16:creationId xmlns:a16="http://schemas.microsoft.com/office/drawing/2014/main" id="{26924446-176B-47D5-8FB8-FFBDEE9D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29" name="Imagen 3">
          <a:extLst>
            <a:ext uri="{FF2B5EF4-FFF2-40B4-BE49-F238E27FC236}">
              <a16:creationId xmlns:a16="http://schemas.microsoft.com/office/drawing/2014/main" id="{6049FAB3-968D-47F9-BDFB-799B35E6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0" name="Imagen 3">
          <a:extLst>
            <a:ext uri="{FF2B5EF4-FFF2-40B4-BE49-F238E27FC236}">
              <a16:creationId xmlns:a16="http://schemas.microsoft.com/office/drawing/2014/main" id="{233AE5EE-F5BD-44C7-9263-506C7A4DE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1" name="Imagen 3">
          <a:extLst>
            <a:ext uri="{FF2B5EF4-FFF2-40B4-BE49-F238E27FC236}">
              <a16:creationId xmlns:a16="http://schemas.microsoft.com/office/drawing/2014/main" id="{DE9EC97D-995C-4E70-BBF1-D79BD2C3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2" name="Imagen 3">
          <a:extLst>
            <a:ext uri="{FF2B5EF4-FFF2-40B4-BE49-F238E27FC236}">
              <a16:creationId xmlns:a16="http://schemas.microsoft.com/office/drawing/2014/main" id="{4A2EF12F-784A-4DEF-A673-12E0F133F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3" name="Imagen 3">
          <a:extLst>
            <a:ext uri="{FF2B5EF4-FFF2-40B4-BE49-F238E27FC236}">
              <a16:creationId xmlns:a16="http://schemas.microsoft.com/office/drawing/2014/main" id="{685C7AA6-2CC5-40C5-9FF4-A52B07BCA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4" name="Imagen 3">
          <a:extLst>
            <a:ext uri="{FF2B5EF4-FFF2-40B4-BE49-F238E27FC236}">
              <a16:creationId xmlns:a16="http://schemas.microsoft.com/office/drawing/2014/main" id="{FC977C3C-0C71-47D7-BE6A-A7F05F44B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5" name="Imagen 3">
          <a:extLst>
            <a:ext uri="{FF2B5EF4-FFF2-40B4-BE49-F238E27FC236}">
              <a16:creationId xmlns:a16="http://schemas.microsoft.com/office/drawing/2014/main" id="{E0ED1CB5-9438-4392-9CAC-10242F87D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6" name="Imagen 3">
          <a:extLst>
            <a:ext uri="{FF2B5EF4-FFF2-40B4-BE49-F238E27FC236}">
              <a16:creationId xmlns:a16="http://schemas.microsoft.com/office/drawing/2014/main" id="{9E9E4DC0-0102-483F-898E-094A81F6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7" name="Imagen 3">
          <a:extLst>
            <a:ext uri="{FF2B5EF4-FFF2-40B4-BE49-F238E27FC236}">
              <a16:creationId xmlns:a16="http://schemas.microsoft.com/office/drawing/2014/main" id="{A02A85C0-82F9-4AF0-A2EF-BE98F945B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8" name="Imagen 3">
          <a:extLst>
            <a:ext uri="{FF2B5EF4-FFF2-40B4-BE49-F238E27FC236}">
              <a16:creationId xmlns:a16="http://schemas.microsoft.com/office/drawing/2014/main" id="{EB11A3BD-24F3-4BEC-B7C5-4DB8FC183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39" name="Imagen 3">
          <a:extLst>
            <a:ext uri="{FF2B5EF4-FFF2-40B4-BE49-F238E27FC236}">
              <a16:creationId xmlns:a16="http://schemas.microsoft.com/office/drawing/2014/main" id="{6CA8E806-EA1C-4A37-A9D4-411F8E17A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0" name="Imagen 3">
          <a:extLst>
            <a:ext uri="{FF2B5EF4-FFF2-40B4-BE49-F238E27FC236}">
              <a16:creationId xmlns:a16="http://schemas.microsoft.com/office/drawing/2014/main" id="{EB269EA8-52C4-4B80-8F8B-13E8DC8E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1" name="Imagen 3">
          <a:extLst>
            <a:ext uri="{FF2B5EF4-FFF2-40B4-BE49-F238E27FC236}">
              <a16:creationId xmlns:a16="http://schemas.microsoft.com/office/drawing/2014/main" id="{972D2B71-6778-47B4-9F04-8CB84FA1D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2" name="Imagen 3">
          <a:extLst>
            <a:ext uri="{FF2B5EF4-FFF2-40B4-BE49-F238E27FC236}">
              <a16:creationId xmlns:a16="http://schemas.microsoft.com/office/drawing/2014/main" id="{1D2D99DE-8DA5-4444-AD2E-5FE98783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3" name="Imagen 3">
          <a:extLst>
            <a:ext uri="{FF2B5EF4-FFF2-40B4-BE49-F238E27FC236}">
              <a16:creationId xmlns:a16="http://schemas.microsoft.com/office/drawing/2014/main" id="{62C470B9-9DDD-4270-AF70-5EF1F166A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4" name="Imagen 3">
          <a:extLst>
            <a:ext uri="{FF2B5EF4-FFF2-40B4-BE49-F238E27FC236}">
              <a16:creationId xmlns:a16="http://schemas.microsoft.com/office/drawing/2014/main" id="{B99584D9-6515-45B8-AEF8-481A880B2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5" name="Imagen 3">
          <a:extLst>
            <a:ext uri="{FF2B5EF4-FFF2-40B4-BE49-F238E27FC236}">
              <a16:creationId xmlns:a16="http://schemas.microsoft.com/office/drawing/2014/main" id="{281B4EEB-A11C-496B-B499-2BA664A09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6" name="Imagen 3">
          <a:extLst>
            <a:ext uri="{FF2B5EF4-FFF2-40B4-BE49-F238E27FC236}">
              <a16:creationId xmlns:a16="http://schemas.microsoft.com/office/drawing/2014/main" id="{184A478A-88F1-4FC2-82A5-79765A33C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7" name="Imagen 3">
          <a:extLst>
            <a:ext uri="{FF2B5EF4-FFF2-40B4-BE49-F238E27FC236}">
              <a16:creationId xmlns:a16="http://schemas.microsoft.com/office/drawing/2014/main" id="{A9AC821A-C634-4879-90DB-578662E8D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8" name="Imagen 3">
          <a:extLst>
            <a:ext uri="{FF2B5EF4-FFF2-40B4-BE49-F238E27FC236}">
              <a16:creationId xmlns:a16="http://schemas.microsoft.com/office/drawing/2014/main" id="{C0915F61-EEEC-47EE-840A-B73D84D87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49" name="Imagen 3">
          <a:extLst>
            <a:ext uri="{FF2B5EF4-FFF2-40B4-BE49-F238E27FC236}">
              <a16:creationId xmlns:a16="http://schemas.microsoft.com/office/drawing/2014/main" id="{370F45EF-9C60-4DCC-99BC-E78EF0EC7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0" name="Imagen 3">
          <a:extLst>
            <a:ext uri="{FF2B5EF4-FFF2-40B4-BE49-F238E27FC236}">
              <a16:creationId xmlns:a16="http://schemas.microsoft.com/office/drawing/2014/main" id="{555FD240-F425-4DBB-8203-4C4A8C49F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1" name="Imagen 3">
          <a:extLst>
            <a:ext uri="{FF2B5EF4-FFF2-40B4-BE49-F238E27FC236}">
              <a16:creationId xmlns:a16="http://schemas.microsoft.com/office/drawing/2014/main" id="{37CA047C-0A05-4E13-B47F-B0B827D52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2" name="Imagen 3">
          <a:extLst>
            <a:ext uri="{FF2B5EF4-FFF2-40B4-BE49-F238E27FC236}">
              <a16:creationId xmlns:a16="http://schemas.microsoft.com/office/drawing/2014/main" id="{AFBD5AA7-9266-45FC-92B3-81F596529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3" name="Imagen 3">
          <a:extLst>
            <a:ext uri="{FF2B5EF4-FFF2-40B4-BE49-F238E27FC236}">
              <a16:creationId xmlns:a16="http://schemas.microsoft.com/office/drawing/2014/main" id="{C9C50662-BE2A-4BE4-AB08-7CEB3B144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4" name="Imagen 3">
          <a:extLst>
            <a:ext uri="{FF2B5EF4-FFF2-40B4-BE49-F238E27FC236}">
              <a16:creationId xmlns:a16="http://schemas.microsoft.com/office/drawing/2014/main" id="{E3AD2784-47E2-45A3-BBBE-B91340A3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5" name="Imagen 3">
          <a:extLst>
            <a:ext uri="{FF2B5EF4-FFF2-40B4-BE49-F238E27FC236}">
              <a16:creationId xmlns:a16="http://schemas.microsoft.com/office/drawing/2014/main" id="{3D02634E-A5C7-47E0-9BF3-FC97DD853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6" name="Imagen 3">
          <a:extLst>
            <a:ext uri="{FF2B5EF4-FFF2-40B4-BE49-F238E27FC236}">
              <a16:creationId xmlns:a16="http://schemas.microsoft.com/office/drawing/2014/main" id="{F44147AD-C259-44DB-B365-E18E3E35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7" name="Imagen 3">
          <a:extLst>
            <a:ext uri="{FF2B5EF4-FFF2-40B4-BE49-F238E27FC236}">
              <a16:creationId xmlns:a16="http://schemas.microsoft.com/office/drawing/2014/main" id="{BD95D745-DB8B-4BB4-88DC-770CE67BE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8" name="Imagen 3">
          <a:extLst>
            <a:ext uri="{FF2B5EF4-FFF2-40B4-BE49-F238E27FC236}">
              <a16:creationId xmlns:a16="http://schemas.microsoft.com/office/drawing/2014/main" id="{A1F7DC63-2C43-439F-840A-DF1D8C9B6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59" name="Imagen 3">
          <a:extLst>
            <a:ext uri="{FF2B5EF4-FFF2-40B4-BE49-F238E27FC236}">
              <a16:creationId xmlns:a16="http://schemas.microsoft.com/office/drawing/2014/main" id="{350EE0D5-E008-4E33-8A32-0F48FB606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60" name="Imagen 3">
          <a:extLst>
            <a:ext uri="{FF2B5EF4-FFF2-40B4-BE49-F238E27FC236}">
              <a16:creationId xmlns:a16="http://schemas.microsoft.com/office/drawing/2014/main" id="{14AD51FD-53D0-48B7-BE84-D256DD7D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61" name="Imagen 3">
          <a:extLst>
            <a:ext uri="{FF2B5EF4-FFF2-40B4-BE49-F238E27FC236}">
              <a16:creationId xmlns:a16="http://schemas.microsoft.com/office/drawing/2014/main" id="{F6875CCC-B174-49A0-8099-4DF6A6556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62" name="Imagen 3">
          <a:extLst>
            <a:ext uri="{FF2B5EF4-FFF2-40B4-BE49-F238E27FC236}">
              <a16:creationId xmlns:a16="http://schemas.microsoft.com/office/drawing/2014/main" id="{FB0BDD37-D4A0-4DDE-A4A2-8EF16B4FD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63" name="Imagen 3">
          <a:extLst>
            <a:ext uri="{FF2B5EF4-FFF2-40B4-BE49-F238E27FC236}">
              <a16:creationId xmlns:a16="http://schemas.microsoft.com/office/drawing/2014/main" id="{D54FA5DC-5A12-43CF-9EA1-02FA09CF5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564" name="Imagen 3">
          <a:extLst>
            <a:ext uri="{FF2B5EF4-FFF2-40B4-BE49-F238E27FC236}">
              <a16:creationId xmlns:a16="http://schemas.microsoft.com/office/drawing/2014/main" id="{F39DD42B-EDF1-407B-94F8-3744C3D77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65" name="Imagen 3">
          <a:extLst>
            <a:ext uri="{FF2B5EF4-FFF2-40B4-BE49-F238E27FC236}">
              <a16:creationId xmlns:a16="http://schemas.microsoft.com/office/drawing/2014/main" id="{2EAEA85C-A2FC-4552-9F54-55190D868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66" name="Imagen 3">
          <a:extLst>
            <a:ext uri="{FF2B5EF4-FFF2-40B4-BE49-F238E27FC236}">
              <a16:creationId xmlns:a16="http://schemas.microsoft.com/office/drawing/2014/main" id="{5F7BD79C-ABE7-4DA9-8081-3627D9FA6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67" name="Imagen 3">
          <a:extLst>
            <a:ext uri="{FF2B5EF4-FFF2-40B4-BE49-F238E27FC236}">
              <a16:creationId xmlns:a16="http://schemas.microsoft.com/office/drawing/2014/main" id="{6C0570D4-B886-4B14-95F3-253EC6466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68" name="Imagen 3">
          <a:extLst>
            <a:ext uri="{FF2B5EF4-FFF2-40B4-BE49-F238E27FC236}">
              <a16:creationId xmlns:a16="http://schemas.microsoft.com/office/drawing/2014/main" id="{59A9089D-3CCF-4E7D-BD5D-0C4E677F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69" name="Imagen 3">
          <a:extLst>
            <a:ext uri="{FF2B5EF4-FFF2-40B4-BE49-F238E27FC236}">
              <a16:creationId xmlns:a16="http://schemas.microsoft.com/office/drawing/2014/main" id="{AD5E7CCC-E8F4-4768-A88F-4D1D3DBCC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0" name="Imagen 3">
          <a:extLst>
            <a:ext uri="{FF2B5EF4-FFF2-40B4-BE49-F238E27FC236}">
              <a16:creationId xmlns:a16="http://schemas.microsoft.com/office/drawing/2014/main" id="{56DF0AA3-8EE6-4E41-ADD9-535C3A26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1" name="Imagen 3">
          <a:extLst>
            <a:ext uri="{FF2B5EF4-FFF2-40B4-BE49-F238E27FC236}">
              <a16:creationId xmlns:a16="http://schemas.microsoft.com/office/drawing/2014/main" id="{52590DBF-AEC1-4A68-A692-19A8E57A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2" name="Imagen 3">
          <a:extLst>
            <a:ext uri="{FF2B5EF4-FFF2-40B4-BE49-F238E27FC236}">
              <a16:creationId xmlns:a16="http://schemas.microsoft.com/office/drawing/2014/main" id="{046401E6-8CBC-4890-9351-A0E5E5EB5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3" name="Imagen 3">
          <a:extLst>
            <a:ext uri="{FF2B5EF4-FFF2-40B4-BE49-F238E27FC236}">
              <a16:creationId xmlns:a16="http://schemas.microsoft.com/office/drawing/2014/main" id="{583B9A2A-578A-4FBE-8D2E-C7390872C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4" name="Imagen 3">
          <a:extLst>
            <a:ext uri="{FF2B5EF4-FFF2-40B4-BE49-F238E27FC236}">
              <a16:creationId xmlns:a16="http://schemas.microsoft.com/office/drawing/2014/main" id="{1DFCA3B3-52E2-46DE-8917-85B309A3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5" name="Imagen 3">
          <a:extLst>
            <a:ext uri="{FF2B5EF4-FFF2-40B4-BE49-F238E27FC236}">
              <a16:creationId xmlns:a16="http://schemas.microsoft.com/office/drawing/2014/main" id="{0E870A7B-4B36-469E-B466-4A768D0D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6" name="Imagen 3">
          <a:extLst>
            <a:ext uri="{FF2B5EF4-FFF2-40B4-BE49-F238E27FC236}">
              <a16:creationId xmlns:a16="http://schemas.microsoft.com/office/drawing/2014/main" id="{ECDA05D3-6550-4518-8301-42A11EA7A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7" name="Imagen 3">
          <a:extLst>
            <a:ext uri="{FF2B5EF4-FFF2-40B4-BE49-F238E27FC236}">
              <a16:creationId xmlns:a16="http://schemas.microsoft.com/office/drawing/2014/main" id="{E30561F1-E70D-408D-AE80-975AEEF3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8" name="Imagen 3">
          <a:extLst>
            <a:ext uri="{FF2B5EF4-FFF2-40B4-BE49-F238E27FC236}">
              <a16:creationId xmlns:a16="http://schemas.microsoft.com/office/drawing/2014/main" id="{04C3FB30-FE46-4DCC-BE82-A126824AF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79" name="Imagen 3">
          <a:extLst>
            <a:ext uri="{FF2B5EF4-FFF2-40B4-BE49-F238E27FC236}">
              <a16:creationId xmlns:a16="http://schemas.microsoft.com/office/drawing/2014/main" id="{2FAB24F9-E03A-4149-922E-1AF3E32D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0" name="Imagen 3">
          <a:extLst>
            <a:ext uri="{FF2B5EF4-FFF2-40B4-BE49-F238E27FC236}">
              <a16:creationId xmlns:a16="http://schemas.microsoft.com/office/drawing/2014/main" id="{13093E12-D18F-4D1E-95EB-960663CBF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1" name="Imagen 3">
          <a:extLst>
            <a:ext uri="{FF2B5EF4-FFF2-40B4-BE49-F238E27FC236}">
              <a16:creationId xmlns:a16="http://schemas.microsoft.com/office/drawing/2014/main" id="{E35FCAAB-1FBC-480B-9BFE-C23057C2E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2" name="Imagen 3">
          <a:extLst>
            <a:ext uri="{FF2B5EF4-FFF2-40B4-BE49-F238E27FC236}">
              <a16:creationId xmlns:a16="http://schemas.microsoft.com/office/drawing/2014/main" id="{FE355597-203E-4C93-8A38-01D91E509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3" name="Imagen 3">
          <a:extLst>
            <a:ext uri="{FF2B5EF4-FFF2-40B4-BE49-F238E27FC236}">
              <a16:creationId xmlns:a16="http://schemas.microsoft.com/office/drawing/2014/main" id="{758F010F-5DC3-42B2-8F90-264DC5A8B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4" name="Imagen 3">
          <a:extLst>
            <a:ext uri="{FF2B5EF4-FFF2-40B4-BE49-F238E27FC236}">
              <a16:creationId xmlns:a16="http://schemas.microsoft.com/office/drawing/2014/main" id="{73F92945-F0A8-40CC-8893-69A81061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5" name="Imagen 3">
          <a:extLst>
            <a:ext uri="{FF2B5EF4-FFF2-40B4-BE49-F238E27FC236}">
              <a16:creationId xmlns:a16="http://schemas.microsoft.com/office/drawing/2014/main" id="{16E2F06B-64D2-48D6-B16A-C126AFE04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6" name="Imagen 3">
          <a:extLst>
            <a:ext uri="{FF2B5EF4-FFF2-40B4-BE49-F238E27FC236}">
              <a16:creationId xmlns:a16="http://schemas.microsoft.com/office/drawing/2014/main" id="{DDE39B67-F4AB-4AF8-990C-0CA788597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7" name="Imagen 3">
          <a:extLst>
            <a:ext uri="{FF2B5EF4-FFF2-40B4-BE49-F238E27FC236}">
              <a16:creationId xmlns:a16="http://schemas.microsoft.com/office/drawing/2014/main" id="{80FC789F-BFF9-4558-A86B-284DA688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8" name="Imagen 3">
          <a:extLst>
            <a:ext uri="{FF2B5EF4-FFF2-40B4-BE49-F238E27FC236}">
              <a16:creationId xmlns:a16="http://schemas.microsoft.com/office/drawing/2014/main" id="{D00D1411-A32C-4DBB-A6B1-26596F2E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89" name="Imagen 3">
          <a:extLst>
            <a:ext uri="{FF2B5EF4-FFF2-40B4-BE49-F238E27FC236}">
              <a16:creationId xmlns:a16="http://schemas.microsoft.com/office/drawing/2014/main" id="{B9A00B1C-CEBC-4AE4-B004-802C68C72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0" name="Imagen 3">
          <a:extLst>
            <a:ext uri="{FF2B5EF4-FFF2-40B4-BE49-F238E27FC236}">
              <a16:creationId xmlns:a16="http://schemas.microsoft.com/office/drawing/2014/main" id="{08CB24F6-2B29-4387-9C49-B3AFF399A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1" name="Imagen 3">
          <a:extLst>
            <a:ext uri="{FF2B5EF4-FFF2-40B4-BE49-F238E27FC236}">
              <a16:creationId xmlns:a16="http://schemas.microsoft.com/office/drawing/2014/main" id="{C9315C2C-C4F7-43F7-A2AF-0CD30F767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2" name="Imagen 3">
          <a:extLst>
            <a:ext uri="{FF2B5EF4-FFF2-40B4-BE49-F238E27FC236}">
              <a16:creationId xmlns:a16="http://schemas.microsoft.com/office/drawing/2014/main" id="{7D673634-AEA6-46CC-A279-CEA9A8332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3" name="Imagen 3">
          <a:extLst>
            <a:ext uri="{FF2B5EF4-FFF2-40B4-BE49-F238E27FC236}">
              <a16:creationId xmlns:a16="http://schemas.microsoft.com/office/drawing/2014/main" id="{78F3748D-D126-4FED-AEE9-D9B55B048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4" name="Imagen 3">
          <a:extLst>
            <a:ext uri="{FF2B5EF4-FFF2-40B4-BE49-F238E27FC236}">
              <a16:creationId xmlns:a16="http://schemas.microsoft.com/office/drawing/2014/main" id="{26E9AFEE-98AF-491A-98FE-7CAE193B7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5" name="Imagen 3">
          <a:extLst>
            <a:ext uri="{FF2B5EF4-FFF2-40B4-BE49-F238E27FC236}">
              <a16:creationId xmlns:a16="http://schemas.microsoft.com/office/drawing/2014/main" id="{E23B43B6-C384-4312-97CA-D28B4FC4B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6" name="Imagen 3">
          <a:extLst>
            <a:ext uri="{FF2B5EF4-FFF2-40B4-BE49-F238E27FC236}">
              <a16:creationId xmlns:a16="http://schemas.microsoft.com/office/drawing/2014/main" id="{0C842168-DC1A-4C3B-B5EB-03B5AD55E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7" name="Imagen 3">
          <a:extLst>
            <a:ext uri="{FF2B5EF4-FFF2-40B4-BE49-F238E27FC236}">
              <a16:creationId xmlns:a16="http://schemas.microsoft.com/office/drawing/2014/main" id="{BC4A3772-6B6A-4DC0-BF64-377D04A3F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8" name="Imagen 3">
          <a:extLst>
            <a:ext uri="{FF2B5EF4-FFF2-40B4-BE49-F238E27FC236}">
              <a16:creationId xmlns:a16="http://schemas.microsoft.com/office/drawing/2014/main" id="{95580ACF-0F0D-4783-8C30-BD562AB7C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599" name="Imagen 3">
          <a:extLst>
            <a:ext uri="{FF2B5EF4-FFF2-40B4-BE49-F238E27FC236}">
              <a16:creationId xmlns:a16="http://schemas.microsoft.com/office/drawing/2014/main" id="{6F578A70-87DB-4756-AF4F-3A5629B51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0" name="Imagen 3">
          <a:extLst>
            <a:ext uri="{FF2B5EF4-FFF2-40B4-BE49-F238E27FC236}">
              <a16:creationId xmlns:a16="http://schemas.microsoft.com/office/drawing/2014/main" id="{41162FD2-FA2E-455A-A5B7-F63B701B2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1" name="Imagen 3">
          <a:extLst>
            <a:ext uri="{FF2B5EF4-FFF2-40B4-BE49-F238E27FC236}">
              <a16:creationId xmlns:a16="http://schemas.microsoft.com/office/drawing/2014/main" id="{33F10C13-F36E-4C27-B463-E8F3AE32F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2" name="Imagen 3">
          <a:extLst>
            <a:ext uri="{FF2B5EF4-FFF2-40B4-BE49-F238E27FC236}">
              <a16:creationId xmlns:a16="http://schemas.microsoft.com/office/drawing/2014/main" id="{74DEF368-1C7E-4F28-BAF0-C3C44B901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3" name="Imagen 3">
          <a:extLst>
            <a:ext uri="{FF2B5EF4-FFF2-40B4-BE49-F238E27FC236}">
              <a16:creationId xmlns:a16="http://schemas.microsoft.com/office/drawing/2014/main" id="{7D927BBA-316C-4775-8A1A-BFE28E9C0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4" name="Imagen 3">
          <a:extLst>
            <a:ext uri="{FF2B5EF4-FFF2-40B4-BE49-F238E27FC236}">
              <a16:creationId xmlns:a16="http://schemas.microsoft.com/office/drawing/2014/main" id="{D232F5ED-A3E2-4274-B005-2CB5A18D4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5" name="Imagen 3">
          <a:extLst>
            <a:ext uri="{FF2B5EF4-FFF2-40B4-BE49-F238E27FC236}">
              <a16:creationId xmlns:a16="http://schemas.microsoft.com/office/drawing/2014/main" id="{842A1192-2044-4CFE-8D70-FAEB25F11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6" name="Imagen 3">
          <a:extLst>
            <a:ext uri="{FF2B5EF4-FFF2-40B4-BE49-F238E27FC236}">
              <a16:creationId xmlns:a16="http://schemas.microsoft.com/office/drawing/2014/main" id="{07E33ED8-FB26-4390-B367-64FE3E0BF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7" name="Imagen 3">
          <a:extLst>
            <a:ext uri="{FF2B5EF4-FFF2-40B4-BE49-F238E27FC236}">
              <a16:creationId xmlns:a16="http://schemas.microsoft.com/office/drawing/2014/main" id="{C5B3FA86-49D4-4D7C-A33B-1554FC0F5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8" name="Imagen 3">
          <a:extLst>
            <a:ext uri="{FF2B5EF4-FFF2-40B4-BE49-F238E27FC236}">
              <a16:creationId xmlns:a16="http://schemas.microsoft.com/office/drawing/2014/main" id="{25F24912-8CE8-4571-ACA4-0676C9D8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09" name="Imagen 3">
          <a:extLst>
            <a:ext uri="{FF2B5EF4-FFF2-40B4-BE49-F238E27FC236}">
              <a16:creationId xmlns:a16="http://schemas.microsoft.com/office/drawing/2014/main" id="{1955597F-764D-4531-90CA-07F8D0682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0" name="Imagen 3">
          <a:extLst>
            <a:ext uri="{FF2B5EF4-FFF2-40B4-BE49-F238E27FC236}">
              <a16:creationId xmlns:a16="http://schemas.microsoft.com/office/drawing/2014/main" id="{BB7EF3A3-D266-461A-9C2F-94ED6F88A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1" name="Imagen 3">
          <a:extLst>
            <a:ext uri="{FF2B5EF4-FFF2-40B4-BE49-F238E27FC236}">
              <a16:creationId xmlns:a16="http://schemas.microsoft.com/office/drawing/2014/main" id="{247164A2-76C1-4FEA-B831-626303F2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2" name="Imagen 3">
          <a:extLst>
            <a:ext uri="{FF2B5EF4-FFF2-40B4-BE49-F238E27FC236}">
              <a16:creationId xmlns:a16="http://schemas.microsoft.com/office/drawing/2014/main" id="{CB986FA9-4E97-4475-8773-47338966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3" name="Imagen 3">
          <a:extLst>
            <a:ext uri="{FF2B5EF4-FFF2-40B4-BE49-F238E27FC236}">
              <a16:creationId xmlns:a16="http://schemas.microsoft.com/office/drawing/2014/main" id="{11713D0B-66FB-4E7D-ABCF-807C9D11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4" name="Imagen 3">
          <a:extLst>
            <a:ext uri="{FF2B5EF4-FFF2-40B4-BE49-F238E27FC236}">
              <a16:creationId xmlns:a16="http://schemas.microsoft.com/office/drawing/2014/main" id="{83875D8A-B5AC-4931-801C-6B4534972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5" name="Imagen 3">
          <a:extLst>
            <a:ext uri="{FF2B5EF4-FFF2-40B4-BE49-F238E27FC236}">
              <a16:creationId xmlns:a16="http://schemas.microsoft.com/office/drawing/2014/main" id="{DEF5854C-6DE1-4BDA-84EE-5E1B0012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6" name="Imagen 3">
          <a:extLst>
            <a:ext uri="{FF2B5EF4-FFF2-40B4-BE49-F238E27FC236}">
              <a16:creationId xmlns:a16="http://schemas.microsoft.com/office/drawing/2014/main" id="{3BF43D32-E8C3-411C-B4E8-B157E0F52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7" name="Imagen 3">
          <a:extLst>
            <a:ext uri="{FF2B5EF4-FFF2-40B4-BE49-F238E27FC236}">
              <a16:creationId xmlns:a16="http://schemas.microsoft.com/office/drawing/2014/main" id="{046AFE28-B30B-46E0-95A3-1ED66245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8" name="Imagen 3">
          <a:extLst>
            <a:ext uri="{FF2B5EF4-FFF2-40B4-BE49-F238E27FC236}">
              <a16:creationId xmlns:a16="http://schemas.microsoft.com/office/drawing/2014/main" id="{F27D27D8-2125-411F-9B1B-58D87A621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19" name="Imagen 3">
          <a:extLst>
            <a:ext uri="{FF2B5EF4-FFF2-40B4-BE49-F238E27FC236}">
              <a16:creationId xmlns:a16="http://schemas.microsoft.com/office/drawing/2014/main" id="{6B6143BD-0060-4E4A-8BF0-EB162F8D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0" name="Imagen 3">
          <a:extLst>
            <a:ext uri="{FF2B5EF4-FFF2-40B4-BE49-F238E27FC236}">
              <a16:creationId xmlns:a16="http://schemas.microsoft.com/office/drawing/2014/main" id="{6BEF3A7C-9293-4068-A7B8-4917E753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1" name="Imagen 3">
          <a:extLst>
            <a:ext uri="{FF2B5EF4-FFF2-40B4-BE49-F238E27FC236}">
              <a16:creationId xmlns:a16="http://schemas.microsoft.com/office/drawing/2014/main" id="{8EA0B37F-59CE-451D-A525-D3EC89F9C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2" name="Imagen 3">
          <a:extLst>
            <a:ext uri="{FF2B5EF4-FFF2-40B4-BE49-F238E27FC236}">
              <a16:creationId xmlns:a16="http://schemas.microsoft.com/office/drawing/2014/main" id="{E06F1292-C3C2-4F66-AA45-596F609E1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3" name="Imagen 3">
          <a:extLst>
            <a:ext uri="{FF2B5EF4-FFF2-40B4-BE49-F238E27FC236}">
              <a16:creationId xmlns:a16="http://schemas.microsoft.com/office/drawing/2014/main" id="{0EC8330A-C4C1-4FB1-AB13-2FCFF35DD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4" name="Imagen 3">
          <a:extLst>
            <a:ext uri="{FF2B5EF4-FFF2-40B4-BE49-F238E27FC236}">
              <a16:creationId xmlns:a16="http://schemas.microsoft.com/office/drawing/2014/main" id="{F607F5D5-51EF-4FA3-A35E-605F7C4CC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5" name="Imagen 3">
          <a:extLst>
            <a:ext uri="{FF2B5EF4-FFF2-40B4-BE49-F238E27FC236}">
              <a16:creationId xmlns:a16="http://schemas.microsoft.com/office/drawing/2014/main" id="{0E110D28-E841-4478-9597-0B05EB6DB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6" name="Imagen 3">
          <a:extLst>
            <a:ext uri="{FF2B5EF4-FFF2-40B4-BE49-F238E27FC236}">
              <a16:creationId xmlns:a16="http://schemas.microsoft.com/office/drawing/2014/main" id="{D9E93E05-2826-40F4-866C-81ED92FA5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7" name="Imagen 3">
          <a:extLst>
            <a:ext uri="{FF2B5EF4-FFF2-40B4-BE49-F238E27FC236}">
              <a16:creationId xmlns:a16="http://schemas.microsoft.com/office/drawing/2014/main" id="{5C912594-295E-46F3-8AFC-5C78FB46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8" name="Imagen 3">
          <a:extLst>
            <a:ext uri="{FF2B5EF4-FFF2-40B4-BE49-F238E27FC236}">
              <a16:creationId xmlns:a16="http://schemas.microsoft.com/office/drawing/2014/main" id="{76C5C296-122C-4259-8EBB-A18BE20FF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29" name="Imagen 3">
          <a:extLst>
            <a:ext uri="{FF2B5EF4-FFF2-40B4-BE49-F238E27FC236}">
              <a16:creationId xmlns:a16="http://schemas.microsoft.com/office/drawing/2014/main" id="{15D79599-6D97-4D83-8160-5BE2FEDD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0" name="Imagen 3">
          <a:extLst>
            <a:ext uri="{FF2B5EF4-FFF2-40B4-BE49-F238E27FC236}">
              <a16:creationId xmlns:a16="http://schemas.microsoft.com/office/drawing/2014/main" id="{912441BD-5757-4933-855A-1F431F7DF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1" name="Imagen 3">
          <a:extLst>
            <a:ext uri="{FF2B5EF4-FFF2-40B4-BE49-F238E27FC236}">
              <a16:creationId xmlns:a16="http://schemas.microsoft.com/office/drawing/2014/main" id="{9935A393-AC24-4E92-BB5B-E5963598B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2" name="Imagen 3">
          <a:extLst>
            <a:ext uri="{FF2B5EF4-FFF2-40B4-BE49-F238E27FC236}">
              <a16:creationId xmlns:a16="http://schemas.microsoft.com/office/drawing/2014/main" id="{75CABE2A-9A6F-4C93-8EB3-07A602012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3" name="Imagen 3">
          <a:extLst>
            <a:ext uri="{FF2B5EF4-FFF2-40B4-BE49-F238E27FC236}">
              <a16:creationId xmlns:a16="http://schemas.microsoft.com/office/drawing/2014/main" id="{FFE27B91-A3C6-42A5-A20B-AF36E9569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4" name="Imagen 3">
          <a:extLst>
            <a:ext uri="{FF2B5EF4-FFF2-40B4-BE49-F238E27FC236}">
              <a16:creationId xmlns:a16="http://schemas.microsoft.com/office/drawing/2014/main" id="{E147D786-41FC-429E-B2C7-9ABF420CA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5" name="Imagen 3">
          <a:extLst>
            <a:ext uri="{FF2B5EF4-FFF2-40B4-BE49-F238E27FC236}">
              <a16:creationId xmlns:a16="http://schemas.microsoft.com/office/drawing/2014/main" id="{D53DAEA4-DD0C-4A7B-9C6F-F649CC24E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6" name="Imagen 3">
          <a:extLst>
            <a:ext uri="{FF2B5EF4-FFF2-40B4-BE49-F238E27FC236}">
              <a16:creationId xmlns:a16="http://schemas.microsoft.com/office/drawing/2014/main" id="{FE5B140B-0C80-463A-8338-2498E80F6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7" name="Imagen 3">
          <a:extLst>
            <a:ext uri="{FF2B5EF4-FFF2-40B4-BE49-F238E27FC236}">
              <a16:creationId xmlns:a16="http://schemas.microsoft.com/office/drawing/2014/main" id="{26EA6BBF-4E05-47CB-B276-BA661A781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8" name="Imagen 3">
          <a:extLst>
            <a:ext uri="{FF2B5EF4-FFF2-40B4-BE49-F238E27FC236}">
              <a16:creationId xmlns:a16="http://schemas.microsoft.com/office/drawing/2014/main" id="{A8B8843B-E861-4209-AB53-537EBF420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39" name="Imagen 3">
          <a:extLst>
            <a:ext uri="{FF2B5EF4-FFF2-40B4-BE49-F238E27FC236}">
              <a16:creationId xmlns:a16="http://schemas.microsoft.com/office/drawing/2014/main" id="{DBFFF78A-A97B-496C-BEC6-C0158915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0" name="Imagen 3">
          <a:extLst>
            <a:ext uri="{FF2B5EF4-FFF2-40B4-BE49-F238E27FC236}">
              <a16:creationId xmlns:a16="http://schemas.microsoft.com/office/drawing/2014/main" id="{0F7C0733-E4B7-4268-A5A5-D120037A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1" name="Imagen 3">
          <a:extLst>
            <a:ext uri="{FF2B5EF4-FFF2-40B4-BE49-F238E27FC236}">
              <a16:creationId xmlns:a16="http://schemas.microsoft.com/office/drawing/2014/main" id="{164BA389-6766-4A6B-AF7B-245D8FBC1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2" name="Imagen 3">
          <a:extLst>
            <a:ext uri="{FF2B5EF4-FFF2-40B4-BE49-F238E27FC236}">
              <a16:creationId xmlns:a16="http://schemas.microsoft.com/office/drawing/2014/main" id="{42F7E407-6616-42DC-9A4D-A30BDBF08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3" name="Imagen 3">
          <a:extLst>
            <a:ext uri="{FF2B5EF4-FFF2-40B4-BE49-F238E27FC236}">
              <a16:creationId xmlns:a16="http://schemas.microsoft.com/office/drawing/2014/main" id="{1892F2F2-5BAA-4777-A344-1F587E91B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4" name="Imagen 3">
          <a:extLst>
            <a:ext uri="{FF2B5EF4-FFF2-40B4-BE49-F238E27FC236}">
              <a16:creationId xmlns:a16="http://schemas.microsoft.com/office/drawing/2014/main" id="{CACD768D-C7A9-4829-A6FE-45EC91E4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5" name="Imagen 3">
          <a:extLst>
            <a:ext uri="{FF2B5EF4-FFF2-40B4-BE49-F238E27FC236}">
              <a16:creationId xmlns:a16="http://schemas.microsoft.com/office/drawing/2014/main" id="{34BF6324-1E54-453A-8090-164B397A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6" name="Imagen 3">
          <a:extLst>
            <a:ext uri="{FF2B5EF4-FFF2-40B4-BE49-F238E27FC236}">
              <a16:creationId xmlns:a16="http://schemas.microsoft.com/office/drawing/2014/main" id="{1C6D8435-21CC-4EB4-BD04-772FC1DA2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7" name="Imagen 3">
          <a:extLst>
            <a:ext uri="{FF2B5EF4-FFF2-40B4-BE49-F238E27FC236}">
              <a16:creationId xmlns:a16="http://schemas.microsoft.com/office/drawing/2014/main" id="{D8596080-ACBE-4EA9-AEDE-118E8E8EA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8" name="Imagen 3">
          <a:extLst>
            <a:ext uri="{FF2B5EF4-FFF2-40B4-BE49-F238E27FC236}">
              <a16:creationId xmlns:a16="http://schemas.microsoft.com/office/drawing/2014/main" id="{3CA9FA96-F3FB-4449-BA5A-F0E3C0764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49" name="Imagen 3">
          <a:extLst>
            <a:ext uri="{FF2B5EF4-FFF2-40B4-BE49-F238E27FC236}">
              <a16:creationId xmlns:a16="http://schemas.microsoft.com/office/drawing/2014/main" id="{82FDC104-3A3E-4002-8D75-AB5CB1BCC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0" name="Imagen 3">
          <a:extLst>
            <a:ext uri="{FF2B5EF4-FFF2-40B4-BE49-F238E27FC236}">
              <a16:creationId xmlns:a16="http://schemas.microsoft.com/office/drawing/2014/main" id="{481BB012-F0A3-4135-9CE5-D33E76236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1" name="Imagen 3">
          <a:extLst>
            <a:ext uri="{FF2B5EF4-FFF2-40B4-BE49-F238E27FC236}">
              <a16:creationId xmlns:a16="http://schemas.microsoft.com/office/drawing/2014/main" id="{90D676D4-5F5F-4840-ADE3-66E103AD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2" name="Imagen 3">
          <a:extLst>
            <a:ext uri="{FF2B5EF4-FFF2-40B4-BE49-F238E27FC236}">
              <a16:creationId xmlns:a16="http://schemas.microsoft.com/office/drawing/2014/main" id="{DD505D8E-6EA5-4F72-9C60-B52AC5E09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3" name="Imagen 3">
          <a:extLst>
            <a:ext uri="{FF2B5EF4-FFF2-40B4-BE49-F238E27FC236}">
              <a16:creationId xmlns:a16="http://schemas.microsoft.com/office/drawing/2014/main" id="{29AE44FF-E6C7-4B39-BB28-469348083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4" name="Imagen 3">
          <a:extLst>
            <a:ext uri="{FF2B5EF4-FFF2-40B4-BE49-F238E27FC236}">
              <a16:creationId xmlns:a16="http://schemas.microsoft.com/office/drawing/2014/main" id="{91AD0F7E-1BAA-4DC4-97C5-0AE06BA12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5" name="Imagen 3">
          <a:extLst>
            <a:ext uri="{FF2B5EF4-FFF2-40B4-BE49-F238E27FC236}">
              <a16:creationId xmlns:a16="http://schemas.microsoft.com/office/drawing/2014/main" id="{EF32EAB2-1A50-40D8-B3ED-5CB332E85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6" name="Imagen 3">
          <a:extLst>
            <a:ext uri="{FF2B5EF4-FFF2-40B4-BE49-F238E27FC236}">
              <a16:creationId xmlns:a16="http://schemas.microsoft.com/office/drawing/2014/main" id="{4CA10285-46A3-494B-9C9F-D564628C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7" name="Imagen 3">
          <a:extLst>
            <a:ext uri="{FF2B5EF4-FFF2-40B4-BE49-F238E27FC236}">
              <a16:creationId xmlns:a16="http://schemas.microsoft.com/office/drawing/2014/main" id="{BE20AD82-B95E-4711-89B9-685100A37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8" name="Imagen 3">
          <a:extLst>
            <a:ext uri="{FF2B5EF4-FFF2-40B4-BE49-F238E27FC236}">
              <a16:creationId xmlns:a16="http://schemas.microsoft.com/office/drawing/2014/main" id="{5D2307E9-378D-4518-97CC-704DED39B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30480" cy="7620"/>
    <xdr:pic>
      <xdr:nvPicPr>
        <xdr:cNvPr id="659" name="Imagen 3">
          <a:extLst>
            <a:ext uri="{FF2B5EF4-FFF2-40B4-BE49-F238E27FC236}">
              <a16:creationId xmlns:a16="http://schemas.microsoft.com/office/drawing/2014/main" id="{EE198D0F-6F30-4E24-AB38-9CE4D0887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57350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0" name="Imagen 3">
          <a:extLst>
            <a:ext uri="{FF2B5EF4-FFF2-40B4-BE49-F238E27FC236}">
              <a16:creationId xmlns:a16="http://schemas.microsoft.com/office/drawing/2014/main" id="{5CA1D158-99F3-4ADA-9351-244DEBAEC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1" name="Imagen 3">
          <a:extLst>
            <a:ext uri="{FF2B5EF4-FFF2-40B4-BE49-F238E27FC236}">
              <a16:creationId xmlns:a16="http://schemas.microsoft.com/office/drawing/2014/main" id="{B3D23268-4C38-46BC-8D17-8338090A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2" name="Imagen 3">
          <a:extLst>
            <a:ext uri="{FF2B5EF4-FFF2-40B4-BE49-F238E27FC236}">
              <a16:creationId xmlns:a16="http://schemas.microsoft.com/office/drawing/2014/main" id="{866CEE69-BA1C-41FC-A673-C9B1F5B74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3" name="Imagen 3">
          <a:extLst>
            <a:ext uri="{FF2B5EF4-FFF2-40B4-BE49-F238E27FC236}">
              <a16:creationId xmlns:a16="http://schemas.microsoft.com/office/drawing/2014/main" id="{77548C3A-11E5-4B6E-AF4B-5B7980BE3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4" name="Imagen 3">
          <a:extLst>
            <a:ext uri="{FF2B5EF4-FFF2-40B4-BE49-F238E27FC236}">
              <a16:creationId xmlns:a16="http://schemas.microsoft.com/office/drawing/2014/main" id="{2B3BAA04-19F0-4B6C-8D32-A9A3C5708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5" name="Imagen 3">
          <a:extLst>
            <a:ext uri="{FF2B5EF4-FFF2-40B4-BE49-F238E27FC236}">
              <a16:creationId xmlns:a16="http://schemas.microsoft.com/office/drawing/2014/main" id="{D5179D37-84A6-44BE-A3DF-D66FFB36D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6" name="Imagen 3">
          <a:extLst>
            <a:ext uri="{FF2B5EF4-FFF2-40B4-BE49-F238E27FC236}">
              <a16:creationId xmlns:a16="http://schemas.microsoft.com/office/drawing/2014/main" id="{9CB13E49-3877-4A98-8967-23BB626D2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7" name="Imagen 3">
          <a:extLst>
            <a:ext uri="{FF2B5EF4-FFF2-40B4-BE49-F238E27FC236}">
              <a16:creationId xmlns:a16="http://schemas.microsoft.com/office/drawing/2014/main" id="{DDB91167-3C15-4D69-B3DB-7A3086854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8" name="Imagen 3">
          <a:extLst>
            <a:ext uri="{FF2B5EF4-FFF2-40B4-BE49-F238E27FC236}">
              <a16:creationId xmlns:a16="http://schemas.microsoft.com/office/drawing/2014/main" id="{69F06983-DC2A-4C82-8073-2ABF9C457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69" name="Imagen 3">
          <a:extLst>
            <a:ext uri="{FF2B5EF4-FFF2-40B4-BE49-F238E27FC236}">
              <a16:creationId xmlns:a16="http://schemas.microsoft.com/office/drawing/2014/main" id="{EA36278E-14A0-4C4F-B93B-C36308E1D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0" name="Imagen 3">
          <a:extLst>
            <a:ext uri="{FF2B5EF4-FFF2-40B4-BE49-F238E27FC236}">
              <a16:creationId xmlns:a16="http://schemas.microsoft.com/office/drawing/2014/main" id="{FDA712FD-0AD6-4347-AF9E-9539109CE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1" name="Imagen 3">
          <a:extLst>
            <a:ext uri="{FF2B5EF4-FFF2-40B4-BE49-F238E27FC236}">
              <a16:creationId xmlns:a16="http://schemas.microsoft.com/office/drawing/2014/main" id="{C5E485AD-9C41-4917-81BB-742AA5F27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2" name="Imagen 3">
          <a:extLst>
            <a:ext uri="{FF2B5EF4-FFF2-40B4-BE49-F238E27FC236}">
              <a16:creationId xmlns:a16="http://schemas.microsoft.com/office/drawing/2014/main" id="{4CDCDF05-8399-494D-9ADC-8F6ACF65A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3" name="Imagen 3">
          <a:extLst>
            <a:ext uri="{FF2B5EF4-FFF2-40B4-BE49-F238E27FC236}">
              <a16:creationId xmlns:a16="http://schemas.microsoft.com/office/drawing/2014/main" id="{CAA8BDBE-F001-4D8B-998D-14BEED8CA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4" name="Imagen 3">
          <a:extLst>
            <a:ext uri="{FF2B5EF4-FFF2-40B4-BE49-F238E27FC236}">
              <a16:creationId xmlns:a16="http://schemas.microsoft.com/office/drawing/2014/main" id="{D31DAECC-8349-4C8F-9ECC-899CA00CE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5" name="Imagen 3">
          <a:extLst>
            <a:ext uri="{FF2B5EF4-FFF2-40B4-BE49-F238E27FC236}">
              <a16:creationId xmlns:a16="http://schemas.microsoft.com/office/drawing/2014/main" id="{9CE369D7-6F03-460D-9505-F7F06ECEF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6" name="Imagen 3">
          <a:extLst>
            <a:ext uri="{FF2B5EF4-FFF2-40B4-BE49-F238E27FC236}">
              <a16:creationId xmlns:a16="http://schemas.microsoft.com/office/drawing/2014/main" id="{ED51DB79-EAE2-4CC1-93A2-1CBA870EF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7" name="Imagen 3">
          <a:extLst>
            <a:ext uri="{FF2B5EF4-FFF2-40B4-BE49-F238E27FC236}">
              <a16:creationId xmlns:a16="http://schemas.microsoft.com/office/drawing/2014/main" id="{EE38203C-4693-4BA3-A28B-F5CBAFC1A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8" name="Imagen 3">
          <a:extLst>
            <a:ext uri="{FF2B5EF4-FFF2-40B4-BE49-F238E27FC236}">
              <a16:creationId xmlns:a16="http://schemas.microsoft.com/office/drawing/2014/main" id="{21146978-4855-4DC6-AF31-ECD90110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79" name="Imagen 3">
          <a:extLst>
            <a:ext uri="{FF2B5EF4-FFF2-40B4-BE49-F238E27FC236}">
              <a16:creationId xmlns:a16="http://schemas.microsoft.com/office/drawing/2014/main" id="{8E8770DC-E827-4BF8-81AB-A36BEF89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0" name="Imagen 3">
          <a:extLst>
            <a:ext uri="{FF2B5EF4-FFF2-40B4-BE49-F238E27FC236}">
              <a16:creationId xmlns:a16="http://schemas.microsoft.com/office/drawing/2014/main" id="{CAFA2CEA-A3E7-4F78-BF44-1468C8AF4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1" name="Imagen 3">
          <a:extLst>
            <a:ext uri="{FF2B5EF4-FFF2-40B4-BE49-F238E27FC236}">
              <a16:creationId xmlns:a16="http://schemas.microsoft.com/office/drawing/2014/main" id="{63EB410E-27E1-4847-97B9-2E3EEB02C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2" name="Imagen 3">
          <a:extLst>
            <a:ext uri="{FF2B5EF4-FFF2-40B4-BE49-F238E27FC236}">
              <a16:creationId xmlns:a16="http://schemas.microsoft.com/office/drawing/2014/main" id="{2AB931EF-32D1-47F1-AAD2-FDDA329C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3" name="Imagen 3">
          <a:extLst>
            <a:ext uri="{FF2B5EF4-FFF2-40B4-BE49-F238E27FC236}">
              <a16:creationId xmlns:a16="http://schemas.microsoft.com/office/drawing/2014/main" id="{42EDCAF8-1325-49C4-AFBE-D3A693BD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4" name="Imagen 3">
          <a:extLst>
            <a:ext uri="{FF2B5EF4-FFF2-40B4-BE49-F238E27FC236}">
              <a16:creationId xmlns:a16="http://schemas.microsoft.com/office/drawing/2014/main" id="{80BFAC27-2D0F-4C80-9BC9-C5091A040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5" name="Imagen 3">
          <a:extLst>
            <a:ext uri="{FF2B5EF4-FFF2-40B4-BE49-F238E27FC236}">
              <a16:creationId xmlns:a16="http://schemas.microsoft.com/office/drawing/2014/main" id="{756E7930-326A-4AC6-9E06-EBFF0A4B2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6" name="Imagen 3">
          <a:extLst>
            <a:ext uri="{FF2B5EF4-FFF2-40B4-BE49-F238E27FC236}">
              <a16:creationId xmlns:a16="http://schemas.microsoft.com/office/drawing/2014/main" id="{825E3737-140C-439A-9209-288A225EF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7" name="Imagen 3">
          <a:extLst>
            <a:ext uri="{FF2B5EF4-FFF2-40B4-BE49-F238E27FC236}">
              <a16:creationId xmlns:a16="http://schemas.microsoft.com/office/drawing/2014/main" id="{1AE67221-945D-4EC1-8DC4-889ED5907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8" name="Imagen 3">
          <a:extLst>
            <a:ext uri="{FF2B5EF4-FFF2-40B4-BE49-F238E27FC236}">
              <a16:creationId xmlns:a16="http://schemas.microsoft.com/office/drawing/2014/main" id="{9C9A0ECB-E482-4266-B007-8ABECDE2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89" name="Imagen 3">
          <a:extLst>
            <a:ext uri="{FF2B5EF4-FFF2-40B4-BE49-F238E27FC236}">
              <a16:creationId xmlns:a16="http://schemas.microsoft.com/office/drawing/2014/main" id="{231E4B28-BFFA-4673-AE76-3F0F43A3A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0" name="Imagen 3">
          <a:extLst>
            <a:ext uri="{FF2B5EF4-FFF2-40B4-BE49-F238E27FC236}">
              <a16:creationId xmlns:a16="http://schemas.microsoft.com/office/drawing/2014/main" id="{071A5635-482B-41A0-854C-454AA9889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1" name="Imagen 3">
          <a:extLst>
            <a:ext uri="{FF2B5EF4-FFF2-40B4-BE49-F238E27FC236}">
              <a16:creationId xmlns:a16="http://schemas.microsoft.com/office/drawing/2014/main" id="{F8EA3846-0F35-43BD-93B9-0F30773CC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2" name="Imagen 3">
          <a:extLst>
            <a:ext uri="{FF2B5EF4-FFF2-40B4-BE49-F238E27FC236}">
              <a16:creationId xmlns:a16="http://schemas.microsoft.com/office/drawing/2014/main" id="{940222E1-9E26-496B-A7E3-77AF21B1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3" name="Imagen 3">
          <a:extLst>
            <a:ext uri="{FF2B5EF4-FFF2-40B4-BE49-F238E27FC236}">
              <a16:creationId xmlns:a16="http://schemas.microsoft.com/office/drawing/2014/main" id="{9D532E32-5176-4E0A-B898-DAD8404EA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4" name="Imagen 3">
          <a:extLst>
            <a:ext uri="{FF2B5EF4-FFF2-40B4-BE49-F238E27FC236}">
              <a16:creationId xmlns:a16="http://schemas.microsoft.com/office/drawing/2014/main" id="{B1303442-364F-4149-9434-D34FDBD51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5" name="Imagen 3">
          <a:extLst>
            <a:ext uri="{FF2B5EF4-FFF2-40B4-BE49-F238E27FC236}">
              <a16:creationId xmlns:a16="http://schemas.microsoft.com/office/drawing/2014/main" id="{20E01E13-CC5F-42F3-851D-B7E84D390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6" name="Imagen 3">
          <a:extLst>
            <a:ext uri="{FF2B5EF4-FFF2-40B4-BE49-F238E27FC236}">
              <a16:creationId xmlns:a16="http://schemas.microsoft.com/office/drawing/2014/main" id="{0CA504B3-7E00-4383-BA8F-5F4242CF5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7" name="Imagen 3">
          <a:extLst>
            <a:ext uri="{FF2B5EF4-FFF2-40B4-BE49-F238E27FC236}">
              <a16:creationId xmlns:a16="http://schemas.microsoft.com/office/drawing/2014/main" id="{05A0776E-CF5C-4EE9-BC20-8EA9FD7E4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8" name="Imagen 3">
          <a:extLst>
            <a:ext uri="{FF2B5EF4-FFF2-40B4-BE49-F238E27FC236}">
              <a16:creationId xmlns:a16="http://schemas.microsoft.com/office/drawing/2014/main" id="{9FF17402-A546-430E-A324-D0C4CC5D3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699" name="Imagen 3">
          <a:extLst>
            <a:ext uri="{FF2B5EF4-FFF2-40B4-BE49-F238E27FC236}">
              <a16:creationId xmlns:a16="http://schemas.microsoft.com/office/drawing/2014/main" id="{C3BCD923-FCF5-4845-A288-1F78D8ADA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0" name="Imagen 3">
          <a:extLst>
            <a:ext uri="{FF2B5EF4-FFF2-40B4-BE49-F238E27FC236}">
              <a16:creationId xmlns:a16="http://schemas.microsoft.com/office/drawing/2014/main" id="{689EE330-E43E-46A5-8D01-CD69F2049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1" name="Imagen 3">
          <a:extLst>
            <a:ext uri="{FF2B5EF4-FFF2-40B4-BE49-F238E27FC236}">
              <a16:creationId xmlns:a16="http://schemas.microsoft.com/office/drawing/2014/main" id="{01740D5F-BE6A-4BB1-8D96-BE87F2C33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2" name="Imagen 3">
          <a:extLst>
            <a:ext uri="{FF2B5EF4-FFF2-40B4-BE49-F238E27FC236}">
              <a16:creationId xmlns:a16="http://schemas.microsoft.com/office/drawing/2014/main" id="{C2B0A9CD-8E13-44ED-94D0-6160A04C0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3" name="Imagen 3">
          <a:extLst>
            <a:ext uri="{FF2B5EF4-FFF2-40B4-BE49-F238E27FC236}">
              <a16:creationId xmlns:a16="http://schemas.microsoft.com/office/drawing/2014/main" id="{755E8356-429D-4B9A-834E-BA8614E4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4" name="Imagen 3">
          <a:extLst>
            <a:ext uri="{FF2B5EF4-FFF2-40B4-BE49-F238E27FC236}">
              <a16:creationId xmlns:a16="http://schemas.microsoft.com/office/drawing/2014/main" id="{153E121B-FB59-4D48-A3FB-2187F3007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5" name="Imagen 3">
          <a:extLst>
            <a:ext uri="{FF2B5EF4-FFF2-40B4-BE49-F238E27FC236}">
              <a16:creationId xmlns:a16="http://schemas.microsoft.com/office/drawing/2014/main" id="{3D58F60A-2564-4B99-833E-D7BE194F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6" name="Imagen 3">
          <a:extLst>
            <a:ext uri="{FF2B5EF4-FFF2-40B4-BE49-F238E27FC236}">
              <a16:creationId xmlns:a16="http://schemas.microsoft.com/office/drawing/2014/main" id="{CF889490-6E98-4570-8669-A796AE4EA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7" name="Imagen 3">
          <a:extLst>
            <a:ext uri="{FF2B5EF4-FFF2-40B4-BE49-F238E27FC236}">
              <a16:creationId xmlns:a16="http://schemas.microsoft.com/office/drawing/2014/main" id="{8850EA9D-869E-4434-A42D-0F4CFBC76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8" name="Imagen 3">
          <a:extLst>
            <a:ext uri="{FF2B5EF4-FFF2-40B4-BE49-F238E27FC236}">
              <a16:creationId xmlns:a16="http://schemas.microsoft.com/office/drawing/2014/main" id="{5430E856-D1D4-44BD-9BFA-A6B6664AA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09" name="Imagen 3">
          <a:extLst>
            <a:ext uri="{FF2B5EF4-FFF2-40B4-BE49-F238E27FC236}">
              <a16:creationId xmlns:a16="http://schemas.microsoft.com/office/drawing/2014/main" id="{0BE14404-59DF-40FE-A9A2-CFA256DD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0" name="Imagen 3">
          <a:extLst>
            <a:ext uri="{FF2B5EF4-FFF2-40B4-BE49-F238E27FC236}">
              <a16:creationId xmlns:a16="http://schemas.microsoft.com/office/drawing/2014/main" id="{502C23A6-C211-4610-AEFF-D4A0FD594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1" name="Imagen 3">
          <a:extLst>
            <a:ext uri="{FF2B5EF4-FFF2-40B4-BE49-F238E27FC236}">
              <a16:creationId xmlns:a16="http://schemas.microsoft.com/office/drawing/2014/main" id="{193C583D-1EFC-410C-A032-BF2D48754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2" name="Imagen 3">
          <a:extLst>
            <a:ext uri="{FF2B5EF4-FFF2-40B4-BE49-F238E27FC236}">
              <a16:creationId xmlns:a16="http://schemas.microsoft.com/office/drawing/2014/main" id="{06443C8F-D1FE-44CE-A018-5860C8F67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3" name="Imagen 3">
          <a:extLst>
            <a:ext uri="{FF2B5EF4-FFF2-40B4-BE49-F238E27FC236}">
              <a16:creationId xmlns:a16="http://schemas.microsoft.com/office/drawing/2014/main" id="{7DBE415F-0E28-4F85-8012-A3299EB15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4" name="Imagen 3">
          <a:extLst>
            <a:ext uri="{FF2B5EF4-FFF2-40B4-BE49-F238E27FC236}">
              <a16:creationId xmlns:a16="http://schemas.microsoft.com/office/drawing/2014/main" id="{BCFABD7A-D245-42FD-BAD0-E905F8AF3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5" name="Imagen 3">
          <a:extLst>
            <a:ext uri="{FF2B5EF4-FFF2-40B4-BE49-F238E27FC236}">
              <a16:creationId xmlns:a16="http://schemas.microsoft.com/office/drawing/2014/main" id="{696231AD-4DCD-4E95-AFE0-851F88B0C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6" name="Imagen 3">
          <a:extLst>
            <a:ext uri="{FF2B5EF4-FFF2-40B4-BE49-F238E27FC236}">
              <a16:creationId xmlns:a16="http://schemas.microsoft.com/office/drawing/2014/main" id="{6077D8E6-17D4-438A-AF36-47B9E3F36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7" name="Imagen 3">
          <a:extLst>
            <a:ext uri="{FF2B5EF4-FFF2-40B4-BE49-F238E27FC236}">
              <a16:creationId xmlns:a16="http://schemas.microsoft.com/office/drawing/2014/main" id="{C8C205B0-F53D-4E3A-B973-E9DDDD06A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8" name="Imagen 3">
          <a:extLst>
            <a:ext uri="{FF2B5EF4-FFF2-40B4-BE49-F238E27FC236}">
              <a16:creationId xmlns:a16="http://schemas.microsoft.com/office/drawing/2014/main" id="{A064F407-5412-4EB6-8ADD-F7361E250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19" name="Imagen 3">
          <a:extLst>
            <a:ext uri="{FF2B5EF4-FFF2-40B4-BE49-F238E27FC236}">
              <a16:creationId xmlns:a16="http://schemas.microsoft.com/office/drawing/2014/main" id="{D5230683-24A5-4F0A-921E-0D9D87721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0" name="Imagen 3">
          <a:extLst>
            <a:ext uri="{FF2B5EF4-FFF2-40B4-BE49-F238E27FC236}">
              <a16:creationId xmlns:a16="http://schemas.microsoft.com/office/drawing/2014/main" id="{44E49714-9A07-4E9F-A01D-6A61560D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1" name="Imagen 3">
          <a:extLst>
            <a:ext uri="{FF2B5EF4-FFF2-40B4-BE49-F238E27FC236}">
              <a16:creationId xmlns:a16="http://schemas.microsoft.com/office/drawing/2014/main" id="{41C1BFE7-ADE1-41E0-ACAC-F981D992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2" name="Imagen 3">
          <a:extLst>
            <a:ext uri="{FF2B5EF4-FFF2-40B4-BE49-F238E27FC236}">
              <a16:creationId xmlns:a16="http://schemas.microsoft.com/office/drawing/2014/main" id="{E17BB445-63D1-452E-87FD-F7350869A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3" name="Imagen 3">
          <a:extLst>
            <a:ext uri="{FF2B5EF4-FFF2-40B4-BE49-F238E27FC236}">
              <a16:creationId xmlns:a16="http://schemas.microsoft.com/office/drawing/2014/main" id="{280B0715-5C29-422A-A72A-043DB2512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4" name="Imagen 3">
          <a:extLst>
            <a:ext uri="{FF2B5EF4-FFF2-40B4-BE49-F238E27FC236}">
              <a16:creationId xmlns:a16="http://schemas.microsoft.com/office/drawing/2014/main" id="{F5A83EB3-BBFB-452A-BAB6-563A9689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5" name="Imagen 3">
          <a:extLst>
            <a:ext uri="{FF2B5EF4-FFF2-40B4-BE49-F238E27FC236}">
              <a16:creationId xmlns:a16="http://schemas.microsoft.com/office/drawing/2014/main" id="{77BCF965-AF17-4F67-B980-460A4A96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6" name="Imagen 3">
          <a:extLst>
            <a:ext uri="{FF2B5EF4-FFF2-40B4-BE49-F238E27FC236}">
              <a16:creationId xmlns:a16="http://schemas.microsoft.com/office/drawing/2014/main" id="{91BE7D0B-830F-4BF4-BD29-000F27091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7" name="Imagen 3">
          <a:extLst>
            <a:ext uri="{FF2B5EF4-FFF2-40B4-BE49-F238E27FC236}">
              <a16:creationId xmlns:a16="http://schemas.microsoft.com/office/drawing/2014/main" id="{A15E7BDE-05EE-4AC0-B70B-B493F97D3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8" name="Imagen 3">
          <a:extLst>
            <a:ext uri="{FF2B5EF4-FFF2-40B4-BE49-F238E27FC236}">
              <a16:creationId xmlns:a16="http://schemas.microsoft.com/office/drawing/2014/main" id="{AEFAC57F-E4C1-40E1-AF04-3AC9F293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29" name="Imagen 3">
          <a:extLst>
            <a:ext uri="{FF2B5EF4-FFF2-40B4-BE49-F238E27FC236}">
              <a16:creationId xmlns:a16="http://schemas.microsoft.com/office/drawing/2014/main" id="{D58521DB-8B38-4FEE-8CEB-02F2576BE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0" name="Imagen 3">
          <a:extLst>
            <a:ext uri="{FF2B5EF4-FFF2-40B4-BE49-F238E27FC236}">
              <a16:creationId xmlns:a16="http://schemas.microsoft.com/office/drawing/2014/main" id="{7B8F7D5B-B8C9-4BAE-8CE3-73BE304B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1" name="Imagen 3">
          <a:extLst>
            <a:ext uri="{FF2B5EF4-FFF2-40B4-BE49-F238E27FC236}">
              <a16:creationId xmlns:a16="http://schemas.microsoft.com/office/drawing/2014/main" id="{B29C042F-1C86-40EC-BFE2-872ACB0BD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2" name="Imagen 3">
          <a:extLst>
            <a:ext uri="{FF2B5EF4-FFF2-40B4-BE49-F238E27FC236}">
              <a16:creationId xmlns:a16="http://schemas.microsoft.com/office/drawing/2014/main" id="{EAF7D49C-2911-4394-BF99-542CA714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3" name="Imagen 3">
          <a:extLst>
            <a:ext uri="{FF2B5EF4-FFF2-40B4-BE49-F238E27FC236}">
              <a16:creationId xmlns:a16="http://schemas.microsoft.com/office/drawing/2014/main" id="{31BEE88F-9B33-4AD1-94FD-8D8A22C1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4" name="Imagen 3">
          <a:extLst>
            <a:ext uri="{FF2B5EF4-FFF2-40B4-BE49-F238E27FC236}">
              <a16:creationId xmlns:a16="http://schemas.microsoft.com/office/drawing/2014/main" id="{88B9A127-6B3E-4350-A86C-28B3E98E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5" name="Imagen 3">
          <a:extLst>
            <a:ext uri="{FF2B5EF4-FFF2-40B4-BE49-F238E27FC236}">
              <a16:creationId xmlns:a16="http://schemas.microsoft.com/office/drawing/2014/main" id="{50C0179D-6750-4760-B130-819C06A7A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6" name="Imagen 3">
          <a:extLst>
            <a:ext uri="{FF2B5EF4-FFF2-40B4-BE49-F238E27FC236}">
              <a16:creationId xmlns:a16="http://schemas.microsoft.com/office/drawing/2014/main" id="{EBF06034-724F-41BA-987D-565F4A36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7" name="Imagen 3">
          <a:extLst>
            <a:ext uri="{FF2B5EF4-FFF2-40B4-BE49-F238E27FC236}">
              <a16:creationId xmlns:a16="http://schemas.microsoft.com/office/drawing/2014/main" id="{494C9F66-3D7E-4ACF-BEAB-3D82AB899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8" name="Imagen 3">
          <a:extLst>
            <a:ext uri="{FF2B5EF4-FFF2-40B4-BE49-F238E27FC236}">
              <a16:creationId xmlns:a16="http://schemas.microsoft.com/office/drawing/2014/main" id="{1B59A561-C4B7-4009-9BE0-78F0F1766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39" name="Imagen 3">
          <a:extLst>
            <a:ext uri="{FF2B5EF4-FFF2-40B4-BE49-F238E27FC236}">
              <a16:creationId xmlns:a16="http://schemas.microsoft.com/office/drawing/2014/main" id="{54B9898D-7B3C-48D7-A17D-81E039862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0" name="Imagen 3">
          <a:extLst>
            <a:ext uri="{FF2B5EF4-FFF2-40B4-BE49-F238E27FC236}">
              <a16:creationId xmlns:a16="http://schemas.microsoft.com/office/drawing/2014/main" id="{C76D0F05-D752-486A-A83A-65AF0F401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1" name="Imagen 3">
          <a:extLst>
            <a:ext uri="{FF2B5EF4-FFF2-40B4-BE49-F238E27FC236}">
              <a16:creationId xmlns:a16="http://schemas.microsoft.com/office/drawing/2014/main" id="{AC0913DD-DCEC-4854-8CBF-BE438219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2" name="Imagen 3">
          <a:extLst>
            <a:ext uri="{FF2B5EF4-FFF2-40B4-BE49-F238E27FC236}">
              <a16:creationId xmlns:a16="http://schemas.microsoft.com/office/drawing/2014/main" id="{24426F36-4119-47ED-98D8-7B9A3740C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3" name="Imagen 3">
          <a:extLst>
            <a:ext uri="{FF2B5EF4-FFF2-40B4-BE49-F238E27FC236}">
              <a16:creationId xmlns:a16="http://schemas.microsoft.com/office/drawing/2014/main" id="{4EF75669-3D40-4514-8B35-49698ACF0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4" name="Imagen 3">
          <a:extLst>
            <a:ext uri="{FF2B5EF4-FFF2-40B4-BE49-F238E27FC236}">
              <a16:creationId xmlns:a16="http://schemas.microsoft.com/office/drawing/2014/main" id="{81295ED0-52F4-4716-BB72-05BF2C6A1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5" name="Imagen 3">
          <a:extLst>
            <a:ext uri="{FF2B5EF4-FFF2-40B4-BE49-F238E27FC236}">
              <a16:creationId xmlns:a16="http://schemas.microsoft.com/office/drawing/2014/main" id="{9B35ADA8-62C3-4CA8-BB1E-207DE768A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6" name="Imagen 3">
          <a:extLst>
            <a:ext uri="{FF2B5EF4-FFF2-40B4-BE49-F238E27FC236}">
              <a16:creationId xmlns:a16="http://schemas.microsoft.com/office/drawing/2014/main" id="{C393C543-6307-498E-B245-2ED7AF23F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7" name="Imagen 3">
          <a:extLst>
            <a:ext uri="{FF2B5EF4-FFF2-40B4-BE49-F238E27FC236}">
              <a16:creationId xmlns:a16="http://schemas.microsoft.com/office/drawing/2014/main" id="{1832AF11-673A-4CD4-B776-0E34F1C83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8" name="Imagen 3">
          <a:extLst>
            <a:ext uri="{FF2B5EF4-FFF2-40B4-BE49-F238E27FC236}">
              <a16:creationId xmlns:a16="http://schemas.microsoft.com/office/drawing/2014/main" id="{17433807-ABAA-4FC3-99ED-8BFC1E0F1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49" name="Imagen 3">
          <a:extLst>
            <a:ext uri="{FF2B5EF4-FFF2-40B4-BE49-F238E27FC236}">
              <a16:creationId xmlns:a16="http://schemas.microsoft.com/office/drawing/2014/main" id="{7C1023A7-DAB7-4407-ABBF-79F920CB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0" name="Imagen 3">
          <a:extLst>
            <a:ext uri="{FF2B5EF4-FFF2-40B4-BE49-F238E27FC236}">
              <a16:creationId xmlns:a16="http://schemas.microsoft.com/office/drawing/2014/main" id="{91531050-CDA5-4796-93F2-6A03AD5E1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1" name="Imagen 3">
          <a:extLst>
            <a:ext uri="{FF2B5EF4-FFF2-40B4-BE49-F238E27FC236}">
              <a16:creationId xmlns:a16="http://schemas.microsoft.com/office/drawing/2014/main" id="{97160DF8-08CF-4312-BF21-CA68B1D2D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2" name="Imagen 3">
          <a:extLst>
            <a:ext uri="{FF2B5EF4-FFF2-40B4-BE49-F238E27FC236}">
              <a16:creationId xmlns:a16="http://schemas.microsoft.com/office/drawing/2014/main" id="{4A6A51E2-9C3C-4E76-8035-F5C238301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3" name="Imagen 3">
          <a:extLst>
            <a:ext uri="{FF2B5EF4-FFF2-40B4-BE49-F238E27FC236}">
              <a16:creationId xmlns:a16="http://schemas.microsoft.com/office/drawing/2014/main" id="{15227E59-C5CF-4079-BA15-2051186D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4" name="Imagen 3">
          <a:extLst>
            <a:ext uri="{FF2B5EF4-FFF2-40B4-BE49-F238E27FC236}">
              <a16:creationId xmlns:a16="http://schemas.microsoft.com/office/drawing/2014/main" id="{BB3A4480-383C-4CB1-AE1C-33837D37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5" name="Imagen 3">
          <a:extLst>
            <a:ext uri="{FF2B5EF4-FFF2-40B4-BE49-F238E27FC236}">
              <a16:creationId xmlns:a16="http://schemas.microsoft.com/office/drawing/2014/main" id="{5046FC01-7A76-41D8-82DD-1F481B47A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6" name="Imagen 3">
          <a:extLst>
            <a:ext uri="{FF2B5EF4-FFF2-40B4-BE49-F238E27FC236}">
              <a16:creationId xmlns:a16="http://schemas.microsoft.com/office/drawing/2014/main" id="{7852D939-4E7C-4AA3-A2B2-F59ADD3D5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7" name="Imagen 3">
          <a:extLst>
            <a:ext uri="{FF2B5EF4-FFF2-40B4-BE49-F238E27FC236}">
              <a16:creationId xmlns:a16="http://schemas.microsoft.com/office/drawing/2014/main" id="{031AFD11-D606-427C-8922-B9DC4B948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8" name="Imagen 3">
          <a:extLst>
            <a:ext uri="{FF2B5EF4-FFF2-40B4-BE49-F238E27FC236}">
              <a16:creationId xmlns:a16="http://schemas.microsoft.com/office/drawing/2014/main" id="{7CC6A8AF-1D80-4621-B874-2CBF64D0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59" name="Imagen 3">
          <a:extLst>
            <a:ext uri="{FF2B5EF4-FFF2-40B4-BE49-F238E27FC236}">
              <a16:creationId xmlns:a16="http://schemas.microsoft.com/office/drawing/2014/main" id="{A81C79ED-8795-444F-8851-85733CB62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0" name="Imagen 3">
          <a:extLst>
            <a:ext uri="{FF2B5EF4-FFF2-40B4-BE49-F238E27FC236}">
              <a16:creationId xmlns:a16="http://schemas.microsoft.com/office/drawing/2014/main" id="{B6EBFDE3-B090-4827-96EB-1E8C00E13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1" name="Imagen 3">
          <a:extLst>
            <a:ext uri="{FF2B5EF4-FFF2-40B4-BE49-F238E27FC236}">
              <a16:creationId xmlns:a16="http://schemas.microsoft.com/office/drawing/2014/main" id="{4E0CDFA0-11A4-439B-B8DA-72DFA26AF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2" name="Imagen 3">
          <a:extLst>
            <a:ext uri="{FF2B5EF4-FFF2-40B4-BE49-F238E27FC236}">
              <a16:creationId xmlns:a16="http://schemas.microsoft.com/office/drawing/2014/main" id="{6D06CC92-2AE1-4A4A-8742-5BE03298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3" name="Imagen 3">
          <a:extLst>
            <a:ext uri="{FF2B5EF4-FFF2-40B4-BE49-F238E27FC236}">
              <a16:creationId xmlns:a16="http://schemas.microsoft.com/office/drawing/2014/main" id="{D3A9C9D4-60EB-4FC5-8AD4-998318250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4" name="Imagen 3">
          <a:extLst>
            <a:ext uri="{FF2B5EF4-FFF2-40B4-BE49-F238E27FC236}">
              <a16:creationId xmlns:a16="http://schemas.microsoft.com/office/drawing/2014/main" id="{CA87E3BB-FF3A-49B8-A0FF-7E65194A2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5" name="Imagen 3">
          <a:extLst>
            <a:ext uri="{FF2B5EF4-FFF2-40B4-BE49-F238E27FC236}">
              <a16:creationId xmlns:a16="http://schemas.microsoft.com/office/drawing/2014/main" id="{53D25358-9078-4032-8122-451EAD746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6" name="Imagen 3">
          <a:extLst>
            <a:ext uri="{FF2B5EF4-FFF2-40B4-BE49-F238E27FC236}">
              <a16:creationId xmlns:a16="http://schemas.microsoft.com/office/drawing/2014/main" id="{B009EBCD-A2AC-4A79-B390-6AABEADAD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7" name="Imagen 3">
          <a:extLst>
            <a:ext uri="{FF2B5EF4-FFF2-40B4-BE49-F238E27FC236}">
              <a16:creationId xmlns:a16="http://schemas.microsoft.com/office/drawing/2014/main" id="{B118F199-C01A-40CE-A351-33277A648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8" name="Imagen 3">
          <a:extLst>
            <a:ext uri="{FF2B5EF4-FFF2-40B4-BE49-F238E27FC236}">
              <a16:creationId xmlns:a16="http://schemas.microsoft.com/office/drawing/2014/main" id="{1DDC4C53-7184-4EF5-AF92-43EF2B835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69" name="Imagen 3">
          <a:extLst>
            <a:ext uri="{FF2B5EF4-FFF2-40B4-BE49-F238E27FC236}">
              <a16:creationId xmlns:a16="http://schemas.microsoft.com/office/drawing/2014/main" id="{7F8FCC6A-567F-48A4-AF0C-1D416B13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0" name="Imagen 3">
          <a:extLst>
            <a:ext uri="{FF2B5EF4-FFF2-40B4-BE49-F238E27FC236}">
              <a16:creationId xmlns:a16="http://schemas.microsoft.com/office/drawing/2014/main" id="{0AACCA8D-2C7C-4A8C-BD4C-8620FC6CE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1" name="Imagen 3">
          <a:extLst>
            <a:ext uri="{FF2B5EF4-FFF2-40B4-BE49-F238E27FC236}">
              <a16:creationId xmlns:a16="http://schemas.microsoft.com/office/drawing/2014/main" id="{B8A3CD99-12E9-492C-B56F-0B079A2E0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2" name="Imagen 3">
          <a:extLst>
            <a:ext uri="{FF2B5EF4-FFF2-40B4-BE49-F238E27FC236}">
              <a16:creationId xmlns:a16="http://schemas.microsoft.com/office/drawing/2014/main" id="{DE08DE5E-3B6D-4DF5-B6E7-A96F037F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3" name="Imagen 3">
          <a:extLst>
            <a:ext uri="{FF2B5EF4-FFF2-40B4-BE49-F238E27FC236}">
              <a16:creationId xmlns:a16="http://schemas.microsoft.com/office/drawing/2014/main" id="{DE79C749-385C-47E2-AC98-0EC1B627A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4" name="Imagen 3">
          <a:extLst>
            <a:ext uri="{FF2B5EF4-FFF2-40B4-BE49-F238E27FC236}">
              <a16:creationId xmlns:a16="http://schemas.microsoft.com/office/drawing/2014/main" id="{14FCFC1D-48C5-4F92-B7B8-4EE141A8E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5" name="Imagen 3">
          <a:extLst>
            <a:ext uri="{FF2B5EF4-FFF2-40B4-BE49-F238E27FC236}">
              <a16:creationId xmlns:a16="http://schemas.microsoft.com/office/drawing/2014/main" id="{8890E2EB-6C6B-4B6B-92EF-1C4D2D4AE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6" name="Imagen 3">
          <a:extLst>
            <a:ext uri="{FF2B5EF4-FFF2-40B4-BE49-F238E27FC236}">
              <a16:creationId xmlns:a16="http://schemas.microsoft.com/office/drawing/2014/main" id="{289A6EE8-8914-41FB-A1F9-0D9B1FB6D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7" name="Imagen 3">
          <a:extLst>
            <a:ext uri="{FF2B5EF4-FFF2-40B4-BE49-F238E27FC236}">
              <a16:creationId xmlns:a16="http://schemas.microsoft.com/office/drawing/2014/main" id="{386121DF-F1BE-436C-A382-578EA4227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8" name="Imagen 3">
          <a:extLst>
            <a:ext uri="{FF2B5EF4-FFF2-40B4-BE49-F238E27FC236}">
              <a16:creationId xmlns:a16="http://schemas.microsoft.com/office/drawing/2014/main" id="{B933592F-1C9E-4CF3-951B-029F39C38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79" name="Imagen 3">
          <a:extLst>
            <a:ext uri="{FF2B5EF4-FFF2-40B4-BE49-F238E27FC236}">
              <a16:creationId xmlns:a16="http://schemas.microsoft.com/office/drawing/2014/main" id="{C9BFF531-D02E-448F-897D-66E18E53C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0" name="Imagen 3">
          <a:extLst>
            <a:ext uri="{FF2B5EF4-FFF2-40B4-BE49-F238E27FC236}">
              <a16:creationId xmlns:a16="http://schemas.microsoft.com/office/drawing/2014/main" id="{622DEDB5-3D23-4805-8D60-3A60CE282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1" name="Imagen 3">
          <a:extLst>
            <a:ext uri="{FF2B5EF4-FFF2-40B4-BE49-F238E27FC236}">
              <a16:creationId xmlns:a16="http://schemas.microsoft.com/office/drawing/2014/main" id="{69D51658-EEAB-45A6-BBF0-10703D28F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2" name="Imagen 3">
          <a:extLst>
            <a:ext uri="{FF2B5EF4-FFF2-40B4-BE49-F238E27FC236}">
              <a16:creationId xmlns:a16="http://schemas.microsoft.com/office/drawing/2014/main" id="{D91ED446-A9DA-488B-94AD-439056685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3" name="Imagen 3">
          <a:extLst>
            <a:ext uri="{FF2B5EF4-FFF2-40B4-BE49-F238E27FC236}">
              <a16:creationId xmlns:a16="http://schemas.microsoft.com/office/drawing/2014/main" id="{64CE35B0-3619-49BC-A174-66A6EBD09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4" name="Imagen 3">
          <a:extLst>
            <a:ext uri="{FF2B5EF4-FFF2-40B4-BE49-F238E27FC236}">
              <a16:creationId xmlns:a16="http://schemas.microsoft.com/office/drawing/2014/main" id="{B554DC70-8117-4199-8BAA-DAED02E8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5" name="Imagen 3">
          <a:extLst>
            <a:ext uri="{FF2B5EF4-FFF2-40B4-BE49-F238E27FC236}">
              <a16:creationId xmlns:a16="http://schemas.microsoft.com/office/drawing/2014/main" id="{115F281C-A448-4BC5-9681-306F414B8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6" name="Imagen 3">
          <a:extLst>
            <a:ext uri="{FF2B5EF4-FFF2-40B4-BE49-F238E27FC236}">
              <a16:creationId xmlns:a16="http://schemas.microsoft.com/office/drawing/2014/main" id="{C0DEE36C-CFBD-4402-B0D3-FFAD16F4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7" name="Imagen 3">
          <a:extLst>
            <a:ext uri="{FF2B5EF4-FFF2-40B4-BE49-F238E27FC236}">
              <a16:creationId xmlns:a16="http://schemas.microsoft.com/office/drawing/2014/main" id="{FCCD44B1-B58F-4C68-ABAB-56BC92163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8" name="Imagen 3">
          <a:extLst>
            <a:ext uri="{FF2B5EF4-FFF2-40B4-BE49-F238E27FC236}">
              <a16:creationId xmlns:a16="http://schemas.microsoft.com/office/drawing/2014/main" id="{82207819-7857-4DEE-B700-F1419BAB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89" name="Imagen 3">
          <a:extLst>
            <a:ext uri="{FF2B5EF4-FFF2-40B4-BE49-F238E27FC236}">
              <a16:creationId xmlns:a16="http://schemas.microsoft.com/office/drawing/2014/main" id="{607C33BE-3B07-4254-8DB2-6C0EA5571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0" name="Imagen 3">
          <a:extLst>
            <a:ext uri="{FF2B5EF4-FFF2-40B4-BE49-F238E27FC236}">
              <a16:creationId xmlns:a16="http://schemas.microsoft.com/office/drawing/2014/main" id="{3606E96E-7C62-4794-9A29-FEA391EBA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1" name="Imagen 3">
          <a:extLst>
            <a:ext uri="{FF2B5EF4-FFF2-40B4-BE49-F238E27FC236}">
              <a16:creationId xmlns:a16="http://schemas.microsoft.com/office/drawing/2014/main" id="{0643C557-4825-48E7-93FC-934F4CB09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2" name="Imagen 3">
          <a:extLst>
            <a:ext uri="{FF2B5EF4-FFF2-40B4-BE49-F238E27FC236}">
              <a16:creationId xmlns:a16="http://schemas.microsoft.com/office/drawing/2014/main" id="{6085127B-FA6D-4F11-8A40-4316358D6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3" name="Imagen 3">
          <a:extLst>
            <a:ext uri="{FF2B5EF4-FFF2-40B4-BE49-F238E27FC236}">
              <a16:creationId xmlns:a16="http://schemas.microsoft.com/office/drawing/2014/main" id="{191C9807-CDB7-4D04-8E45-B0269E753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4" name="Imagen 3">
          <a:extLst>
            <a:ext uri="{FF2B5EF4-FFF2-40B4-BE49-F238E27FC236}">
              <a16:creationId xmlns:a16="http://schemas.microsoft.com/office/drawing/2014/main" id="{97A26D55-0B3D-4F8F-8449-4BAF5B5F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5" name="Imagen 3">
          <a:extLst>
            <a:ext uri="{FF2B5EF4-FFF2-40B4-BE49-F238E27FC236}">
              <a16:creationId xmlns:a16="http://schemas.microsoft.com/office/drawing/2014/main" id="{659C2994-0379-4806-A027-49F2042C5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6" name="Imagen 3">
          <a:extLst>
            <a:ext uri="{FF2B5EF4-FFF2-40B4-BE49-F238E27FC236}">
              <a16:creationId xmlns:a16="http://schemas.microsoft.com/office/drawing/2014/main" id="{6F29822A-14FE-4680-9D76-18D1FE3FB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7" name="Imagen 3">
          <a:extLst>
            <a:ext uri="{FF2B5EF4-FFF2-40B4-BE49-F238E27FC236}">
              <a16:creationId xmlns:a16="http://schemas.microsoft.com/office/drawing/2014/main" id="{6C9A0257-5066-4AB1-9F64-E378258B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8" name="Imagen 3">
          <a:extLst>
            <a:ext uri="{FF2B5EF4-FFF2-40B4-BE49-F238E27FC236}">
              <a16:creationId xmlns:a16="http://schemas.microsoft.com/office/drawing/2014/main" id="{DD48BFFC-0578-4A67-B281-CA6D834E6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799" name="Imagen 3">
          <a:extLst>
            <a:ext uri="{FF2B5EF4-FFF2-40B4-BE49-F238E27FC236}">
              <a16:creationId xmlns:a16="http://schemas.microsoft.com/office/drawing/2014/main" id="{83EDF151-DB43-4B6B-949A-E9F6E8642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800" name="Imagen 3">
          <a:extLst>
            <a:ext uri="{FF2B5EF4-FFF2-40B4-BE49-F238E27FC236}">
              <a16:creationId xmlns:a16="http://schemas.microsoft.com/office/drawing/2014/main" id="{527D9710-082B-49FB-A144-D023F45F7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801" name="Imagen 3">
          <a:extLst>
            <a:ext uri="{FF2B5EF4-FFF2-40B4-BE49-F238E27FC236}">
              <a16:creationId xmlns:a16="http://schemas.microsoft.com/office/drawing/2014/main" id="{8270807C-02FB-4357-9EED-C76E5451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802" name="Imagen 3">
          <a:extLst>
            <a:ext uri="{FF2B5EF4-FFF2-40B4-BE49-F238E27FC236}">
              <a16:creationId xmlns:a16="http://schemas.microsoft.com/office/drawing/2014/main" id="{97AA2DD3-9A3C-4B8A-B951-0D189AFA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30480" cy="7620"/>
    <xdr:pic>
      <xdr:nvPicPr>
        <xdr:cNvPr id="803" name="Imagen 3">
          <a:extLst>
            <a:ext uri="{FF2B5EF4-FFF2-40B4-BE49-F238E27FC236}">
              <a16:creationId xmlns:a16="http://schemas.microsoft.com/office/drawing/2014/main" id="{9B13677A-F947-4826-83E2-318C3FE7E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5825" y="8982075"/>
          <a:ext cx="304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3178969</xdr:colOff>
      <xdr:row>1</xdr:row>
      <xdr:rowOff>109025</xdr:rowOff>
    </xdr:from>
    <xdr:to>
      <xdr:col>6</xdr:col>
      <xdr:colOff>704330</xdr:colOff>
      <xdr:row>9</xdr:row>
      <xdr:rowOff>165191</xdr:rowOff>
    </xdr:to>
    <xdr:pic>
      <xdr:nvPicPr>
        <xdr:cNvPr id="804" name="Imagen 803">
          <a:extLst>
            <a:ext uri="{FF2B5EF4-FFF2-40B4-BE49-F238E27FC236}">
              <a16:creationId xmlns:a16="http://schemas.microsoft.com/office/drawing/2014/main" id="{2F2AE7D3-385E-4C5E-B64F-38FD9ACBF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5274">
          <a:off x="5298282" y="478119"/>
          <a:ext cx="2966517" cy="1746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D73F5194-E041-4DFC-9BBC-618699B6350F}" autoFormatId="16" applyNumberFormats="0" applyBorderFormats="0" applyFontFormats="0" applyPatternFormats="0" applyAlignmentFormats="0" applyWidthHeightFormats="0">
  <queryTableRefresh nextId="10">
    <queryTableFields count="6">
      <queryTableField id="1" name="COD. ARTICULO" tableColumnId="1"/>
      <queryTableField id="2" name="DESCRIPCION" tableColumnId="2"/>
      <queryTableField id="3" name="LISTA GENERAL" tableColumnId="3"/>
      <queryTableField id="4" name="FAMILIA SAP" tableColumnId="4"/>
      <queryTableField id="8" name="Column5" tableColumnId="5"/>
      <queryTableField id="9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B40248C2-4402-4818-888A-BC78C7B50F26}" autoFormatId="16" applyNumberFormats="0" applyBorderFormats="0" applyFontFormats="0" applyPatternFormats="0" applyAlignmentFormats="0" applyWidthHeightFormats="0">
  <queryTableRefresh nextId="148">
    <queryTableFields count="5">
      <queryTableField id="1" name="COD. ARTICULO" tableColumnId="1"/>
      <queryTableField id="2" name="DESCRIPCION" tableColumnId="2"/>
      <queryTableField id="3" name="FAMILIA SAP" tableColumnId="3"/>
      <queryTableField id="17" dataBound="0" tableColumnId="8"/>
      <queryTableField id="5" name="LISTA GENERAL" tableColumnId="5"/>
    </queryTableFields>
    <queryTableDeletedFields count="15">
      <deletedField name="Column5"/>
      <deletedField name="Column6"/>
      <deletedField name="Column7"/>
      <deletedField name="Column5"/>
      <deletedField name="Column6"/>
      <deletedField name="Column7"/>
      <deletedField name="DISPONIBLE"/>
      <deletedField name="Column5"/>
      <deletedField name="Column6"/>
      <deletedField name="DISPONIBLE"/>
      <deletedField name="Column5"/>
      <deletedField name="Column6"/>
      <deletedField name="Column5"/>
      <deletedField name="Column6"/>
      <deletedField name="DISPONIB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B11A13-1209-4D92-8338-1F61F82A1DC4}" name="Tabla_PROMO" displayName="Tabla_PROMO" ref="A1:F339" tableType="queryTable" totalsRowShown="0">
  <autoFilter ref="A1:F339" xr:uid="{58B11A13-1209-4D92-8338-1F61F82A1DC4}"/>
  <tableColumns count="6">
    <tableColumn id="1" xr3:uid="{68902893-D3A7-458F-ABBB-5FD151FFC427}" uniqueName="1" name="COD. ARTICULO" queryTableFieldId="1" dataDxfId="22"/>
    <tableColumn id="2" xr3:uid="{F1E63C02-1742-494A-B203-DFCFBDE5D1DA}" uniqueName="2" name="DESCRIPCION" queryTableFieldId="2" dataDxfId="21"/>
    <tableColumn id="3" xr3:uid="{372C1920-7E03-48C3-8FC0-D16C3C8EA331}" uniqueName="3" name="LISTA GENERAL" queryTableFieldId="3" dataDxfId="20"/>
    <tableColumn id="4" xr3:uid="{B7BE52B6-E518-4329-AB3B-B1575BE97B01}" uniqueName="4" name="FAMILIA SAP" queryTableFieldId="4" dataDxfId="19"/>
    <tableColumn id="5" xr3:uid="{FF418505-13D8-4387-ADC2-FE51260A953A}" uniqueName="5" name="Column5" queryTableFieldId="8"/>
    <tableColumn id="6" xr3:uid="{EF12C77B-272D-4B1E-9000-A8579E8B8C4B}" uniqueName="6" name="Column6" queryTableField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A3133C-B3A5-4531-998F-9B596000D8EF}" name="Tabla_Lista_de_productoss" displayName="Tabla_Lista_de_productoss" ref="A1:E27985" tableType="queryTable" totalsRowShown="0" headerRowDxfId="28">
  <tableColumns count="5">
    <tableColumn id="1" xr3:uid="{E3869DDC-0CB9-41F5-8F8D-CC5ED6356C6F}" uniqueName="1" name="COD. ARTICULO" queryTableFieldId="1" dataDxfId="27"/>
    <tableColumn id="2" xr3:uid="{401164FC-2D71-484F-9228-2E160D3F3480}" uniqueName="2" name="DESCRIPCION" queryTableFieldId="2" dataDxfId="26"/>
    <tableColumn id="3" xr3:uid="{5737C55C-C0AB-4AD0-A68D-D47A6DA6896D}" uniqueName="3" name="FAMILIA SAP" queryTableFieldId="3" dataDxfId="25"/>
    <tableColumn id="8" xr3:uid="{2E5C708D-5F0D-468D-B8C0-C73A09200DCD}" uniqueName="8" name="Status" queryTableFieldId="17" dataDxfId="24">
      <calculatedColumnFormula>IF(#REF!="","PROMO",IF(#REF!&lt;=0,"Rojo",IF(#REF!&lt;11,"Morado",IF(#REF!&lt;51,"Amarillo",IF(#REF!&lt;101,"Azul","Verde")))))</calculatedColumnFormula>
    </tableColumn>
    <tableColumn id="5" xr3:uid="{C40E12CB-1681-418E-B362-64CBEF7FA94A}" uniqueName="5" name="LISTA GENERAL" queryTableFieldId="5" dataDxfId="2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AB7E-7220-4C21-A532-64D42AF4C0A6}">
  <sheetPr>
    <pageSetUpPr fitToPage="1"/>
  </sheetPr>
  <dimension ref="A1:XFB106"/>
  <sheetViews>
    <sheetView showGridLines="0" zoomScale="80" zoomScaleNormal="80" workbookViewId="0">
      <selection activeCell="C3" sqref="C3"/>
    </sheetView>
  </sheetViews>
  <sheetFormatPr baseColWidth="10" defaultColWidth="0" defaultRowHeight="0" customHeight="1" zeroHeight="1" x14ac:dyDescent="0.25"/>
  <cols>
    <col min="1" max="1" width="4.28515625" style="7" customWidth="1"/>
    <col min="2" max="2" width="27.42578125" style="7" customWidth="1"/>
    <col min="3" max="3" width="49" style="7" customWidth="1"/>
    <col min="4" max="4" width="13.85546875" style="7" customWidth="1"/>
    <col min="5" max="5" width="7.140625" style="7" customWidth="1"/>
    <col min="6" max="6" width="11.5703125" style="7" customWidth="1"/>
    <col min="7" max="7" width="14.85546875" style="7" customWidth="1"/>
    <col min="8" max="8" width="14.85546875" style="7" hidden="1" customWidth="1"/>
    <col min="9" max="9" width="11.5703125" style="7" customWidth="1"/>
    <col min="10" max="10" width="16.5703125" style="7" customWidth="1"/>
    <col min="11" max="12" width="11.5703125" style="8" hidden="1"/>
    <col min="13" max="13" width="9.28515625" style="8" hidden="1"/>
    <col min="14" max="14" width="12.85546875" style="8" customWidth="1"/>
    <col min="15" max="15" width="14.28515625" style="22" customWidth="1"/>
    <col min="16" max="16" width="16.140625" style="7" customWidth="1"/>
    <col min="17" max="17" width="3.42578125" style="7" customWidth="1"/>
    <col min="18" max="18" width="0" style="7" hidden="1"/>
    <col min="19" max="16382" width="11.5703125" style="7" hidden="1"/>
    <col min="16383" max="16384" width="0" style="7" hidden="1"/>
  </cols>
  <sheetData>
    <row r="1" spans="1:16" s="6" customFormat="1" ht="29.45" customHeight="1" x14ac:dyDescent="0.25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0</v>
      </c>
    </row>
    <row r="2" spans="1:16" ht="13.15" customHeight="1" x14ac:dyDescent="0.25">
      <c r="O2" s="9" t="s">
        <v>1</v>
      </c>
      <c r="P2" s="10">
        <f ca="1">TODAY()</f>
        <v>46220</v>
      </c>
    </row>
    <row r="3" spans="1:16" ht="27" customHeight="1" x14ac:dyDescent="0.25">
      <c r="E3" s="11"/>
      <c r="O3" s="12" t="s">
        <v>2</v>
      </c>
      <c r="P3" s="13"/>
    </row>
    <row r="4" spans="1:16" ht="27" customHeight="1" x14ac:dyDescent="0.25">
      <c r="O4" s="14" t="s">
        <v>3</v>
      </c>
      <c r="P4" s="15"/>
    </row>
    <row r="5" spans="1:16" ht="7.9" customHeight="1" x14ac:dyDescent="0.25">
      <c r="O5" s="16"/>
      <c r="P5" s="17"/>
    </row>
    <row r="6" spans="1:16" ht="15" customHeight="1" x14ac:dyDescent="0.25">
      <c r="A6" s="18" t="s">
        <v>4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19"/>
      <c r="P6" s="20"/>
    </row>
    <row r="7" spans="1:16" ht="7.9" customHeight="1" x14ac:dyDescent="0.25">
      <c r="A7" s="21"/>
    </row>
    <row r="8" spans="1:16" ht="18" customHeight="1" thickBot="1" x14ac:dyDescent="0.3">
      <c r="B8" s="23" t="s">
        <v>5</v>
      </c>
      <c r="C8" s="24"/>
    </row>
    <row r="9" spans="1:16" ht="18" customHeight="1" x14ac:dyDescent="0.25">
      <c r="B9" s="23" t="s">
        <v>6</v>
      </c>
      <c r="C9" s="25"/>
      <c r="F9" s="26" t="s">
        <v>7</v>
      </c>
      <c r="G9" s="27"/>
      <c r="H9" s="27"/>
      <c r="I9" s="28" t="s">
        <v>8</v>
      </c>
      <c r="J9" s="28"/>
      <c r="K9" s="28"/>
      <c r="L9" s="28"/>
      <c r="M9" s="28"/>
      <c r="N9" s="28"/>
      <c r="O9" s="29"/>
    </row>
    <row r="10" spans="1:16" ht="15" customHeight="1" x14ac:dyDescent="0.2">
      <c r="B10" s="23" t="s">
        <v>9</v>
      </c>
      <c r="C10" s="30"/>
      <c r="F10" s="31" t="s">
        <v>10</v>
      </c>
      <c r="G10" s="32"/>
      <c r="H10" s="32"/>
      <c r="I10" s="33" t="s">
        <v>8</v>
      </c>
      <c r="J10" s="33"/>
      <c r="K10" s="33"/>
      <c r="L10" s="33"/>
      <c r="M10" s="33"/>
      <c r="N10" s="33"/>
      <c r="O10" s="34"/>
    </row>
    <row r="11" spans="1:16" ht="12" customHeight="1" x14ac:dyDescent="0.25">
      <c r="A11" s="21"/>
      <c r="B11" s="22"/>
      <c r="F11" s="31" t="s">
        <v>11</v>
      </c>
      <c r="G11" s="35"/>
      <c r="H11" s="35"/>
      <c r="I11" s="33" t="s">
        <v>8</v>
      </c>
      <c r="J11" s="33"/>
      <c r="K11" s="33"/>
      <c r="L11" s="33"/>
      <c r="M11" s="33"/>
      <c r="N11" s="33"/>
      <c r="O11" s="34"/>
    </row>
    <row r="12" spans="1:16" ht="15" customHeight="1" thickBot="1" x14ac:dyDescent="0.3">
      <c r="B12" s="36" t="s">
        <v>12</v>
      </c>
      <c r="D12" s="130"/>
      <c r="E12" s="37"/>
      <c r="F12" s="38" t="s">
        <v>13</v>
      </c>
      <c r="G12" s="39"/>
      <c r="H12" s="39"/>
      <c r="I12" s="40" t="s">
        <v>8</v>
      </c>
      <c r="J12" s="40"/>
      <c r="K12" s="40"/>
      <c r="L12" s="40"/>
      <c r="M12" s="40"/>
      <c r="N12" s="40"/>
      <c r="O12" s="41"/>
      <c r="P12" s="37"/>
    </row>
    <row r="13" spans="1:16" ht="15" customHeight="1" x14ac:dyDescent="0.25">
      <c r="B13" s="42" t="s">
        <v>14</v>
      </c>
      <c r="C13" s="42"/>
      <c r="D13" s="130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3"/>
      <c r="P13" s="43"/>
    </row>
    <row r="14" spans="1:16" ht="7.9" customHeight="1" x14ac:dyDescent="0.25">
      <c r="B14" s="36"/>
      <c r="O14" s="45"/>
    </row>
    <row r="15" spans="1:16" ht="15" customHeight="1" x14ac:dyDescent="0.25">
      <c r="A15" s="18" t="s">
        <v>15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9"/>
      <c r="P15" s="20"/>
    </row>
    <row r="16" spans="1:16" ht="7.9" customHeight="1" x14ac:dyDescent="0.25">
      <c r="B16" s="46"/>
    </row>
    <row r="17" spans="1:16" ht="13.9" customHeight="1" x14ac:dyDescent="0.25">
      <c r="B17" s="47" t="s">
        <v>16</v>
      </c>
      <c r="C17" s="48"/>
      <c r="E17" s="47" t="s">
        <v>17</v>
      </c>
      <c r="O17" s="36"/>
    </row>
    <row r="18" spans="1:16" ht="13.9" customHeight="1" x14ac:dyDescent="0.25">
      <c r="B18" s="49" t="s">
        <v>18</v>
      </c>
      <c r="C18" s="30"/>
      <c r="F18" s="50" t="s">
        <v>19</v>
      </c>
      <c r="G18" s="51"/>
      <c r="H18" s="51"/>
      <c r="I18" s="51"/>
      <c r="J18" s="51"/>
      <c r="O18" s="36"/>
    </row>
    <row r="19" spans="1:16" ht="13.9" customHeight="1" x14ac:dyDescent="0.25">
      <c r="B19" s="49" t="s">
        <v>20</v>
      </c>
      <c r="C19" s="52"/>
      <c r="F19" s="50" t="s">
        <v>21</v>
      </c>
      <c r="G19" s="52"/>
      <c r="H19" s="52"/>
      <c r="I19" s="52"/>
      <c r="J19" s="52"/>
      <c r="O19" s="53"/>
    </row>
    <row r="20" spans="1:16" ht="13.9" customHeight="1" x14ac:dyDescent="0.25">
      <c r="B20" s="54" t="s">
        <v>22</v>
      </c>
      <c r="C20" s="55"/>
      <c r="F20" s="56" t="s">
        <v>23</v>
      </c>
      <c r="G20" s="55"/>
      <c r="H20" s="55"/>
      <c r="I20" s="55"/>
      <c r="J20" s="55"/>
      <c r="O20" s="36"/>
    </row>
    <row r="21" spans="1:16" ht="13.9" customHeight="1" x14ac:dyDescent="0.25">
      <c r="B21" s="46"/>
      <c r="C21" s="57"/>
    </row>
    <row r="22" spans="1:16" ht="15" customHeight="1" x14ac:dyDescent="0.25">
      <c r="A22" s="24" t="s">
        <v>24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19"/>
      <c r="P22" s="20"/>
    </row>
    <row r="23" spans="1:16" ht="12" hidden="1" x14ac:dyDescent="0.25"/>
    <row r="24" spans="1:16" s="68" customFormat="1" ht="33.6" customHeight="1" x14ac:dyDescent="0.25">
      <c r="A24" s="58" t="s">
        <v>25</v>
      </c>
      <c r="B24" s="59" t="s">
        <v>26</v>
      </c>
      <c r="C24" s="60" t="s">
        <v>27</v>
      </c>
      <c r="D24" s="61" t="s">
        <v>28</v>
      </c>
      <c r="E24" s="60" t="s">
        <v>29</v>
      </c>
      <c r="F24" s="60" t="s">
        <v>30</v>
      </c>
      <c r="G24" s="60" t="s">
        <v>31</v>
      </c>
      <c r="H24" s="60"/>
      <c r="I24" s="62" t="s">
        <v>32</v>
      </c>
      <c r="J24" s="63" t="s">
        <v>33</v>
      </c>
      <c r="K24" s="64" t="s">
        <v>34</v>
      </c>
      <c r="L24" s="65" t="s">
        <v>35</v>
      </c>
      <c r="M24" s="65" t="s">
        <v>36</v>
      </c>
      <c r="N24" s="66" t="s">
        <v>37</v>
      </c>
      <c r="O24" s="110" t="s">
        <v>38</v>
      </c>
      <c r="P24" s="67" t="s">
        <v>39</v>
      </c>
    </row>
    <row r="25" spans="1:16" s="48" customFormat="1" ht="13.15" customHeight="1" x14ac:dyDescent="0.25">
      <c r="A25" s="69">
        <v>1</v>
      </c>
      <c r="B25" s="122"/>
      <c r="C25" s="71" t="str">
        <f>IFERROR(VLOOKUP(B25,'Lista de Productos'!A:B,2,FALSE)," ")</f>
        <v xml:space="preserve"> </v>
      </c>
      <c r="D25" s="72" t="str">
        <f>IFERROR(VLOOKUP(B25,Tabla_Lista_de_productoss[],5,0),"")</f>
        <v/>
      </c>
      <c r="E25" s="73"/>
      <c r="F25" s="74"/>
      <c r="G25" s="74"/>
      <c r="H25" s="74"/>
      <c r="I25" s="75" t="str">
        <f t="shared" ref="I25:I94" si="0">IFERROR(FIXED(((1-((1-F25%)*(1-G25%)*(1-H25%)))*100),2)," ")</f>
        <v>0.00</v>
      </c>
      <c r="J25" s="76" t="str">
        <f t="shared" ref="J25:J94" si="1">IFERROR((E25*(D25*(1-I25%)))," ")</f>
        <v xml:space="preserve"> </v>
      </c>
      <c r="K25" s="77" t="str">
        <f t="shared" ref="K25:K37" si="2">IFERROR((D25*E25), " ")</f>
        <v xml:space="preserve"> </v>
      </c>
      <c r="L25" s="77" t="str">
        <f t="shared" ref="L25:L37" si="3">IFERROR((D25*F25%)*E25," ")</f>
        <v xml:space="preserve"> </v>
      </c>
      <c r="M25" s="77" t="str">
        <f t="shared" ref="M25:M37" si="4">IFERROR(((K25-L25)*G25%), " ")</f>
        <v xml:space="preserve"> </v>
      </c>
      <c r="N25" s="106" t="str">
        <f>IFERROR(VLOOKUP(B25,'Lista de Productos'!A:D,4,FALSE)," ")</f>
        <v xml:space="preserve"> </v>
      </c>
      <c r="O25" s="71" t="str">
        <f>IFERROR(VLOOKUP(B25,'Lista de Productos'!A:C,3,FALSE)," ")</f>
        <v xml:space="preserve"> </v>
      </c>
      <c r="P25" s="78"/>
    </row>
    <row r="26" spans="1:16" s="48" customFormat="1" ht="13.15" customHeight="1" x14ac:dyDescent="0.25">
      <c r="A26" s="69">
        <v>2</v>
      </c>
      <c r="B26" s="119"/>
      <c r="C26" s="71" t="str">
        <f>IFERROR(VLOOKUP(B26,'Lista de Productos'!A:B,2,FALSE)," ")</f>
        <v xml:space="preserve"> </v>
      </c>
      <c r="D26" s="72" t="str">
        <f>IFERROR(VLOOKUP(B26,Tabla_Lista_de_productoss[],5,0),"")</f>
        <v/>
      </c>
      <c r="E26" s="73"/>
      <c r="F26" s="74"/>
      <c r="G26" s="74"/>
      <c r="H26" s="74"/>
      <c r="I26" s="75" t="str">
        <f t="shared" si="0"/>
        <v>0.00</v>
      </c>
      <c r="J26" s="76" t="str">
        <f t="shared" si="1"/>
        <v xml:space="preserve"> </v>
      </c>
      <c r="K26" s="77" t="str">
        <f t="shared" si="2"/>
        <v xml:space="preserve"> </v>
      </c>
      <c r="L26" s="77" t="str">
        <f t="shared" si="3"/>
        <v xml:space="preserve"> </v>
      </c>
      <c r="M26" s="77" t="str">
        <f t="shared" si="4"/>
        <v xml:space="preserve"> </v>
      </c>
      <c r="N26" s="106" t="str">
        <f>IFERROR(VLOOKUP(B26,'Lista de Productos'!A:D,4,FALSE)," ")</f>
        <v xml:space="preserve"> </v>
      </c>
      <c r="O26" s="71" t="str">
        <f>IFERROR(VLOOKUP(B26,'Lista de Productos'!A:C,3,FALSE)," ")</f>
        <v xml:space="preserve"> </v>
      </c>
      <c r="P26" s="78"/>
    </row>
    <row r="27" spans="1:16" s="48" customFormat="1" ht="13.15" customHeight="1" x14ac:dyDescent="0.25">
      <c r="A27" s="69">
        <v>3</v>
      </c>
      <c r="B27" s="119"/>
      <c r="C27" s="71" t="str">
        <f>IFERROR(VLOOKUP(B27,'Lista de Productos'!A:B,2,FALSE)," ")</f>
        <v xml:space="preserve"> </v>
      </c>
      <c r="D27" s="72" t="str">
        <f>IFERROR(VLOOKUP(B27,Tabla_Lista_de_productoss[],5,0),"")</f>
        <v/>
      </c>
      <c r="E27" s="73"/>
      <c r="F27" s="74"/>
      <c r="G27" s="74"/>
      <c r="H27" s="74"/>
      <c r="I27" s="75" t="str">
        <f t="shared" si="0"/>
        <v>0.00</v>
      </c>
      <c r="J27" s="76" t="str">
        <f t="shared" si="1"/>
        <v xml:space="preserve"> </v>
      </c>
      <c r="K27" s="77" t="str">
        <f t="shared" si="2"/>
        <v xml:space="preserve"> </v>
      </c>
      <c r="L27" s="77" t="str">
        <f t="shared" si="3"/>
        <v xml:space="preserve"> </v>
      </c>
      <c r="M27" s="77" t="str">
        <f t="shared" si="4"/>
        <v xml:space="preserve"> </v>
      </c>
      <c r="N27" s="106" t="str">
        <f>IFERROR(VLOOKUP(B27,'Lista de Productos'!A:D,4,FALSE)," ")</f>
        <v xml:space="preserve"> </v>
      </c>
      <c r="O27" s="71" t="str">
        <f>IFERROR(VLOOKUP(B27,'Lista de Productos'!A:C,3,FALSE)," ")</f>
        <v xml:space="preserve"> </v>
      </c>
      <c r="P27" s="78"/>
    </row>
    <row r="28" spans="1:16" s="48" customFormat="1" ht="13.15" customHeight="1" x14ac:dyDescent="0.25">
      <c r="A28" s="69">
        <v>4</v>
      </c>
      <c r="B28" s="119"/>
      <c r="C28" s="71" t="str">
        <f>IFERROR(VLOOKUP(B28,'Lista de Productos'!A:B,2,FALSE)," ")</f>
        <v xml:space="preserve"> </v>
      </c>
      <c r="D28" s="72" t="str">
        <f>IFERROR(VLOOKUP(B28,Tabla_Lista_de_productoss[],5,0),"")</f>
        <v/>
      </c>
      <c r="E28" s="73"/>
      <c r="F28" s="74"/>
      <c r="G28" s="74"/>
      <c r="H28" s="74"/>
      <c r="I28" s="75" t="str">
        <f t="shared" si="0"/>
        <v>0.00</v>
      </c>
      <c r="J28" s="76" t="str">
        <f t="shared" si="1"/>
        <v xml:space="preserve"> </v>
      </c>
      <c r="K28" s="77" t="str">
        <f t="shared" si="2"/>
        <v xml:space="preserve"> </v>
      </c>
      <c r="L28" s="77" t="str">
        <f t="shared" si="3"/>
        <v xml:space="preserve"> </v>
      </c>
      <c r="M28" s="77" t="str">
        <f t="shared" si="4"/>
        <v xml:space="preserve"> </v>
      </c>
      <c r="N28" s="106" t="str">
        <f>IFERROR(VLOOKUP(B28,'Lista de Productos'!A:D,4,FALSE)," ")</f>
        <v xml:space="preserve"> </v>
      </c>
      <c r="O28" s="71" t="str">
        <f>IFERROR(VLOOKUP(B28,'Lista de Productos'!A:C,3,FALSE)," ")</f>
        <v xml:space="preserve"> </v>
      </c>
      <c r="P28" s="78"/>
    </row>
    <row r="29" spans="1:16" s="48" customFormat="1" ht="13.15" customHeight="1" x14ac:dyDescent="0.25">
      <c r="A29" s="69">
        <v>5</v>
      </c>
      <c r="B29" s="119"/>
      <c r="C29" s="71" t="str">
        <f>IFERROR(VLOOKUP(B29,'Lista de Productos'!A:B,2,FALSE)," ")</f>
        <v xml:space="preserve"> </v>
      </c>
      <c r="D29" s="72" t="str">
        <f>IFERROR(VLOOKUP(B29,Tabla_Lista_de_productoss[],5,0),"")</f>
        <v/>
      </c>
      <c r="E29" s="73"/>
      <c r="F29" s="74"/>
      <c r="G29" s="74"/>
      <c r="H29" s="74"/>
      <c r="I29" s="75" t="str">
        <f t="shared" si="0"/>
        <v>0.00</v>
      </c>
      <c r="J29" s="76" t="str">
        <f t="shared" si="1"/>
        <v xml:space="preserve"> </v>
      </c>
      <c r="K29" s="77" t="str">
        <f t="shared" si="2"/>
        <v xml:space="preserve"> </v>
      </c>
      <c r="L29" s="77" t="str">
        <f t="shared" si="3"/>
        <v xml:space="preserve"> </v>
      </c>
      <c r="M29" s="77" t="str">
        <f t="shared" si="4"/>
        <v xml:space="preserve"> </v>
      </c>
      <c r="N29" s="106" t="str">
        <f>IFERROR(VLOOKUP(B29,'Lista de Productos'!A:D,4,FALSE)," ")</f>
        <v xml:space="preserve"> </v>
      </c>
      <c r="O29" s="71" t="str">
        <f>IFERROR(VLOOKUP(B29,'Lista de Productos'!A:C,3,FALSE)," ")</f>
        <v xml:space="preserve"> </v>
      </c>
      <c r="P29" s="78"/>
    </row>
    <row r="30" spans="1:16" s="48" customFormat="1" ht="13.15" customHeight="1" x14ac:dyDescent="0.25">
      <c r="A30" s="69">
        <v>6</v>
      </c>
      <c r="B30" s="119"/>
      <c r="C30" s="71" t="str">
        <f>IFERROR(VLOOKUP(B30,'Lista de Productos'!A:B,2,FALSE)," ")</f>
        <v xml:space="preserve"> </v>
      </c>
      <c r="D30" s="72" t="str">
        <f>IFERROR(VLOOKUP(B30,Tabla_Lista_de_productoss[],5,0),"")</f>
        <v/>
      </c>
      <c r="E30" s="73"/>
      <c r="F30" s="74"/>
      <c r="G30" s="74"/>
      <c r="H30" s="74"/>
      <c r="I30" s="75" t="str">
        <f t="shared" si="0"/>
        <v>0.00</v>
      </c>
      <c r="J30" s="76" t="str">
        <f t="shared" si="1"/>
        <v xml:space="preserve"> </v>
      </c>
      <c r="K30" s="77" t="str">
        <f t="shared" si="2"/>
        <v xml:space="preserve"> </v>
      </c>
      <c r="L30" s="77" t="str">
        <f t="shared" si="3"/>
        <v xml:space="preserve"> </v>
      </c>
      <c r="M30" s="77" t="str">
        <f t="shared" si="4"/>
        <v xml:space="preserve"> </v>
      </c>
      <c r="N30" s="106" t="str">
        <f>IFERROR(VLOOKUP(B30,'Lista de Productos'!A:D,4,FALSE)," ")</f>
        <v xml:space="preserve"> </v>
      </c>
      <c r="O30" s="71" t="str">
        <f>IFERROR(VLOOKUP(B30,'Lista de Productos'!A:C,3,FALSE)," ")</f>
        <v xml:space="preserve"> </v>
      </c>
      <c r="P30" s="78"/>
    </row>
    <row r="31" spans="1:16" s="48" customFormat="1" ht="13.15" customHeight="1" x14ac:dyDescent="0.25">
      <c r="A31" s="69">
        <v>7</v>
      </c>
      <c r="B31" s="119"/>
      <c r="C31" s="71" t="str">
        <f>IFERROR(VLOOKUP(B31,'Lista de Productos'!A:B,2,FALSE)," ")</f>
        <v xml:space="preserve"> </v>
      </c>
      <c r="D31" s="72" t="str">
        <f>IFERROR(VLOOKUP(B31,Tabla_Lista_de_productoss[],5,0),"")</f>
        <v/>
      </c>
      <c r="E31" s="73"/>
      <c r="F31" s="74"/>
      <c r="G31" s="74"/>
      <c r="H31" s="74"/>
      <c r="I31" s="75" t="str">
        <f t="shared" si="0"/>
        <v>0.00</v>
      </c>
      <c r="J31" s="76" t="str">
        <f t="shared" si="1"/>
        <v xml:space="preserve"> </v>
      </c>
      <c r="K31" s="77" t="str">
        <f t="shared" si="2"/>
        <v xml:space="preserve"> </v>
      </c>
      <c r="L31" s="77" t="str">
        <f t="shared" si="3"/>
        <v xml:space="preserve"> </v>
      </c>
      <c r="M31" s="77" t="str">
        <f t="shared" si="4"/>
        <v xml:space="preserve"> </v>
      </c>
      <c r="N31" s="106" t="str">
        <f>IFERROR(VLOOKUP(B31,'Lista de Productos'!A:D,4,FALSE)," ")</f>
        <v xml:space="preserve"> </v>
      </c>
      <c r="O31" s="71" t="str">
        <f>IFERROR(VLOOKUP(B31,'Lista de Productos'!A:C,3,FALSE)," ")</f>
        <v xml:space="preserve"> </v>
      </c>
      <c r="P31" s="78"/>
    </row>
    <row r="32" spans="1:16" s="48" customFormat="1" ht="13.15" customHeight="1" x14ac:dyDescent="0.25">
      <c r="A32" s="69">
        <v>8</v>
      </c>
      <c r="B32" s="119"/>
      <c r="C32" s="71" t="str">
        <f>IFERROR(VLOOKUP(B32,'Lista de Productos'!A:B,2,FALSE)," ")</f>
        <v xml:space="preserve"> </v>
      </c>
      <c r="D32" s="72" t="str">
        <f>IFERROR(VLOOKUP(B32,Tabla_Lista_de_productoss[],5,0),"")</f>
        <v/>
      </c>
      <c r="E32" s="73"/>
      <c r="F32" s="74"/>
      <c r="G32" s="74"/>
      <c r="H32" s="74"/>
      <c r="I32" s="75" t="str">
        <f t="shared" si="0"/>
        <v>0.00</v>
      </c>
      <c r="J32" s="76" t="str">
        <f t="shared" si="1"/>
        <v xml:space="preserve"> </v>
      </c>
      <c r="K32" s="77" t="str">
        <f t="shared" si="2"/>
        <v xml:space="preserve"> </v>
      </c>
      <c r="L32" s="77" t="str">
        <f t="shared" si="3"/>
        <v xml:space="preserve"> </v>
      </c>
      <c r="M32" s="77" t="str">
        <f t="shared" si="4"/>
        <v xml:space="preserve"> </v>
      </c>
      <c r="N32" s="106" t="str">
        <f>IFERROR(VLOOKUP(B32,'Lista de Productos'!A:D,4,FALSE)," ")</f>
        <v xml:space="preserve"> </v>
      </c>
      <c r="O32" s="71" t="str">
        <f>IFERROR(VLOOKUP(B32,'Lista de Productos'!A:C,3,FALSE)," ")</f>
        <v xml:space="preserve"> </v>
      </c>
      <c r="P32" s="78"/>
    </row>
    <row r="33" spans="1:16" s="48" customFormat="1" ht="13.15" customHeight="1" x14ac:dyDescent="0.25">
      <c r="A33" s="69">
        <v>9</v>
      </c>
      <c r="B33" s="119"/>
      <c r="C33" s="71" t="str">
        <f>IFERROR(VLOOKUP(B33,'Lista de Productos'!A:B,2,FALSE)," ")</f>
        <v xml:space="preserve"> </v>
      </c>
      <c r="D33" s="72" t="str">
        <f>IFERROR(VLOOKUP(B33,Tabla_Lista_de_productoss[],5,0),"")</f>
        <v/>
      </c>
      <c r="E33" s="73"/>
      <c r="F33" s="74"/>
      <c r="G33" s="74"/>
      <c r="H33" s="74"/>
      <c r="I33" s="75" t="str">
        <f t="shared" si="0"/>
        <v>0.00</v>
      </c>
      <c r="J33" s="76" t="str">
        <f t="shared" si="1"/>
        <v xml:space="preserve"> </v>
      </c>
      <c r="K33" s="77" t="str">
        <f t="shared" si="2"/>
        <v xml:space="preserve"> </v>
      </c>
      <c r="L33" s="77" t="str">
        <f t="shared" si="3"/>
        <v xml:space="preserve"> </v>
      </c>
      <c r="M33" s="77" t="str">
        <f t="shared" si="4"/>
        <v xml:space="preserve"> </v>
      </c>
      <c r="N33" s="106" t="str">
        <f>IFERROR(VLOOKUP(B33,'Lista de Productos'!A:D,4,FALSE)," ")</f>
        <v xml:space="preserve"> </v>
      </c>
      <c r="O33" s="71" t="str">
        <f>IFERROR(VLOOKUP(B33,'Lista de Productos'!A:C,3,FALSE)," ")</f>
        <v xml:space="preserve"> </v>
      </c>
      <c r="P33" s="78"/>
    </row>
    <row r="34" spans="1:16" s="48" customFormat="1" ht="13.15" customHeight="1" x14ac:dyDescent="0.25">
      <c r="A34" s="69">
        <v>10</v>
      </c>
      <c r="B34" s="119"/>
      <c r="C34" s="71" t="str">
        <f>IFERROR(VLOOKUP(B34,'Lista de Productos'!A:B,2,FALSE)," ")</f>
        <v xml:space="preserve"> </v>
      </c>
      <c r="D34" s="72" t="str">
        <f>IFERROR(VLOOKUP(B34,Tabla_Lista_de_productoss[],5,0),"")</f>
        <v/>
      </c>
      <c r="E34" s="73"/>
      <c r="F34" s="74"/>
      <c r="G34" s="74"/>
      <c r="H34" s="74"/>
      <c r="I34" s="75" t="str">
        <f t="shared" si="0"/>
        <v>0.00</v>
      </c>
      <c r="J34" s="76" t="str">
        <f t="shared" si="1"/>
        <v xml:space="preserve"> </v>
      </c>
      <c r="K34" s="77" t="str">
        <f t="shared" si="2"/>
        <v xml:space="preserve"> </v>
      </c>
      <c r="L34" s="77" t="str">
        <f t="shared" si="3"/>
        <v xml:space="preserve"> </v>
      </c>
      <c r="M34" s="77" t="str">
        <f t="shared" si="4"/>
        <v xml:space="preserve"> </v>
      </c>
      <c r="N34" s="106" t="str">
        <f>IFERROR(VLOOKUP(B34,'Lista de Productos'!A:D,4,FALSE)," ")</f>
        <v xml:space="preserve"> </v>
      </c>
      <c r="O34" s="71" t="str">
        <f>IFERROR(VLOOKUP(B34,'Lista de Productos'!A:C,3,FALSE)," ")</f>
        <v xml:space="preserve"> </v>
      </c>
      <c r="P34" s="78"/>
    </row>
    <row r="35" spans="1:16" s="48" customFormat="1" ht="13.15" customHeight="1" x14ac:dyDescent="0.25">
      <c r="A35" s="69">
        <v>11</v>
      </c>
      <c r="B35" s="70"/>
      <c r="C35" s="71" t="str">
        <f>IFERROR(VLOOKUP(B35,'Lista de Productos'!A:B,2,FALSE)," ")</f>
        <v xml:space="preserve"> </v>
      </c>
      <c r="D35" s="72" t="str">
        <f>IFERROR(VLOOKUP(B35,Tabla_Lista_de_productoss[],5,0),"")</f>
        <v/>
      </c>
      <c r="E35" s="73"/>
      <c r="F35" s="74"/>
      <c r="G35" s="74"/>
      <c r="H35" s="74"/>
      <c r="I35" s="75" t="str">
        <f t="shared" si="0"/>
        <v>0.00</v>
      </c>
      <c r="J35" s="76" t="str">
        <f t="shared" si="1"/>
        <v xml:space="preserve"> </v>
      </c>
      <c r="K35" s="77" t="str">
        <f t="shared" si="2"/>
        <v xml:space="preserve"> </v>
      </c>
      <c r="L35" s="77" t="str">
        <f t="shared" si="3"/>
        <v xml:space="preserve"> </v>
      </c>
      <c r="M35" s="77" t="str">
        <f t="shared" si="4"/>
        <v xml:space="preserve"> </v>
      </c>
      <c r="N35" s="106" t="str">
        <f>IFERROR(VLOOKUP(B35,'Lista de Productos'!A:D,4,FALSE)," ")</f>
        <v xml:space="preserve"> </v>
      </c>
      <c r="O35" s="71" t="str">
        <f>IFERROR(VLOOKUP(B35,'Lista de Productos'!A:C,3,FALSE)," ")</f>
        <v xml:space="preserve"> </v>
      </c>
      <c r="P35" s="78"/>
    </row>
    <row r="36" spans="1:16" s="48" customFormat="1" ht="13.15" customHeight="1" x14ac:dyDescent="0.25">
      <c r="A36" s="69">
        <v>12</v>
      </c>
      <c r="B36" s="70"/>
      <c r="C36" s="71" t="str">
        <f>IFERROR(VLOOKUP(B36,'Lista de Productos'!A:B,2,FALSE)," ")</f>
        <v xml:space="preserve"> </v>
      </c>
      <c r="D36" s="72" t="str">
        <f>IFERROR(VLOOKUP(B36,Tabla_Lista_de_productoss[],5,0),"")</f>
        <v/>
      </c>
      <c r="E36" s="73"/>
      <c r="F36" s="74"/>
      <c r="G36" s="74"/>
      <c r="H36" s="74"/>
      <c r="I36" s="75" t="str">
        <f t="shared" si="0"/>
        <v>0.00</v>
      </c>
      <c r="J36" s="76" t="str">
        <f t="shared" si="1"/>
        <v xml:space="preserve"> </v>
      </c>
      <c r="K36" s="77" t="str">
        <f t="shared" si="2"/>
        <v xml:space="preserve"> </v>
      </c>
      <c r="L36" s="77" t="str">
        <f t="shared" si="3"/>
        <v xml:space="preserve"> </v>
      </c>
      <c r="M36" s="77" t="str">
        <f t="shared" si="4"/>
        <v xml:space="preserve"> </v>
      </c>
      <c r="N36" s="106" t="str">
        <f>IFERROR(VLOOKUP(B36,'Lista de Productos'!A:D,4,FALSE)," ")</f>
        <v xml:space="preserve"> </v>
      </c>
      <c r="O36" s="71" t="str">
        <f>IFERROR(VLOOKUP(B36,'Lista de Productos'!A:C,3,FALSE)," ")</f>
        <v xml:space="preserve"> </v>
      </c>
      <c r="P36" s="78"/>
    </row>
    <row r="37" spans="1:16" s="48" customFormat="1" ht="13.15" customHeight="1" x14ac:dyDescent="0.25">
      <c r="A37" s="69">
        <v>13</v>
      </c>
      <c r="B37" s="70"/>
      <c r="C37" s="71" t="str">
        <f>IFERROR(VLOOKUP(B37,'Lista de Productos'!A:B,2,FALSE)," ")</f>
        <v xml:space="preserve"> </v>
      </c>
      <c r="D37" s="72" t="str">
        <f>IFERROR(VLOOKUP(B37,Tabla_Lista_de_productoss[],5,0),"")</f>
        <v/>
      </c>
      <c r="E37" s="73"/>
      <c r="F37" s="74"/>
      <c r="G37" s="74"/>
      <c r="H37" s="74"/>
      <c r="I37" s="75" t="str">
        <f t="shared" si="0"/>
        <v>0.00</v>
      </c>
      <c r="J37" s="76" t="str">
        <f t="shared" si="1"/>
        <v xml:space="preserve"> </v>
      </c>
      <c r="K37" s="77" t="str">
        <f t="shared" si="2"/>
        <v xml:space="preserve"> </v>
      </c>
      <c r="L37" s="77" t="str">
        <f t="shared" si="3"/>
        <v xml:space="preserve"> </v>
      </c>
      <c r="M37" s="77" t="str">
        <f t="shared" si="4"/>
        <v xml:space="preserve"> </v>
      </c>
      <c r="N37" s="106" t="str">
        <f>IFERROR(VLOOKUP(B37,'Lista de Productos'!A:D,4,FALSE)," ")</f>
        <v xml:space="preserve"> </v>
      </c>
      <c r="O37" s="71" t="str">
        <f>IFERROR(VLOOKUP(B37,'Lista de Productos'!A:C,3,FALSE)," ")</f>
        <v xml:space="preserve"> </v>
      </c>
      <c r="P37" s="78"/>
    </row>
    <row r="38" spans="1:16" s="48" customFormat="1" ht="13.15" customHeight="1" x14ac:dyDescent="0.25">
      <c r="A38" s="69">
        <v>14</v>
      </c>
      <c r="B38" s="70"/>
      <c r="C38" s="71" t="str">
        <f>IFERROR(VLOOKUP(B38,'Lista de Productos'!A:B,2,FALSE)," ")</f>
        <v xml:space="preserve"> </v>
      </c>
      <c r="D38" s="72" t="str">
        <f>IFERROR(VLOOKUP(B38,Tabla_Lista_de_productoss[],5,0),"")</f>
        <v/>
      </c>
      <c r="E38" s="73"/>
      <c r="F38" s="74"/>
      <c r="G38" s="74"/>
      <c r="H38" s="74"/>
      <c r="I38" s="75" t="str">
        <f t="shared" si="0"/>
        <v>0.00</v>
      </c>
      <c r="J38" s="76" t="str">
        <f t="shared" si="1"/>
        <v xml:space="preserve"> </v>
      </c>
      <c r="K38" s="77"/>
      <c r="L38" s="77"/>
      <c r="M38" s="77"/>
      <c r="N38" s="106" t="str">
        <f>IFERROR(VLOOKUP(B38,'Lista de Productos'!A:D,4,FALSE)," ")</f>
        <v xml:space="preserve"> </v>
      </c>
      <c r="O38" s="71" t="str">
        <f>IFERROR(VLOOKUP(B38,'Lista de Productos'!A:C,3,FALSE)," ")</f>
        <v xml:space="preserve"> </v>
      </c>
      <c r="P38" s="78"/>
    </row>
    <row r="39" spans="1:16" s="48" customFormat="1" ht="13.15" customHeight="1" x14ac:dyDescent="0.25">
      <c r="A39" s="69">
        <v>15</v>
      </c>
      <c r="B39" s="70"/>
      <c r="C39" s="71" t="str">
        <f>IFERROR(VLOOKUP(B39,'Lista de Productos'!A:B,2,FALSE)," ")</f>
        <v xml:space="preserve"> </v>
      </c>
      <c r="D39" s="72" t="str">
        <f>IFERROR(VLOOKUP(B39,Tabla_Lista_de_productoss[],5,0),"")</f>
        <v/>
      </c>
      <c r="E39" s="73"/>
      <c r="F39" s="74"/>
      <c r="G39" s="74"/>
      <c r="H39" s="74"/>
      <c r="I39" s="75" t="str">
        <f t="shared" si="0"/>
        <v>0.00</v>
      </c>
      <c r="J39" s="76" t="str">
        <f t="shared" si="1"/>
        <v xml:space="preserve"> </v>
      </c>
      <c r="K39" s="77"/>
      <c r="L39" s="77"/>
      <c r="M39" s="77"/>
      <c r="N39" s="106" t="str">
        <f>IFERROR(VLOOKUP(B39,'Lista de Productos'!A:D,4,FALSE)," ")</f>
        <v xml:space="preserve"> </v>
      </c>
      <c r="O39" s="71" t="str">
        <f>IFERROR(VLOOKUP(B39,'Lista de Productos'!A:C,3,FALSE)," ")</f>
        <v xml:space="preserve"> </v>
      </c>
      <c r="P39" s="78"/>
    </row>
    <row r="40" spans="1:16" s="48" customFormat="1" ht="13.15" customHeight="1" x14ac:dyDescent="0.25">
      <c r="A40" s="69">
        <v>16</v>
      </c>
      <c r="B40" s="70"/>
      <c r="C40" s="71" t="str">
        <f>IFERROR(VLOOKUP(B40,'Lista de Productos'!A:B,2,FALSE)," ")</f>
        <v xml:space="preserve"> </v>
      </c>
      <c r="D40" s="72" t="str">
        <f>IFERROR(VLOOKUP(B40,Tabla_Lista_de_productoss[],5,0),"")</f>
        <v/>
      </c>
      <c r="E40" s="73"/>
      <c r="F40" s="74"/>
      <c r="G40" s="74"/>
      <c r="H40" s="74"/>
      <c r="I40" s="75" t="str">
        <f t="shared" si="0"/>
        <v>0.00</v>
      </c>
      <c r="J40" s="76" t="str">
        <f t="shared" si="1"/>
        <v xml:space="preserve"> </v>
      </c>
      <c r="K40" s="77"/>
      <c r="L40" s="77"/>
      <c r="M40" s="77"/>
      <c r="N40" s="106" t="str">
        <f>IFERROR(VLOOKUP(B40,'Lista de Productos'!A:D,4,FALSE)," ")</f>
        <v xml:space="preserve"> </v>
      </c>
      <c r="O40" s="71" t="str">
        <f>IFERROR(VLOOKUP(B40,'Lista de Productos'!A:C,3,FALSE)," ")</f>
        <v xml:space="preserve"> </v>
      </c>
      <c r="P40" s="78"/>
    </row>
    <row r="41" spans="1:16" s="48" customFormat="1" ht="13.15" customHeight="1" x14ac:dyDescent="0.25">
      <c r="A41" s="69">
        <v>17</v>
      </c>
      <c r="B41" s="70"/>
      <c r="C41" s="71" t="str">
        <f>IFERROR(VLOOKUP(B41,'Lista de Productos'!A:B,2,FALSE)," ")</f>
        <v xml:space="preserve"> </v>
      </c>
      <c r="D41" s="72" t="str">
        <f>IFERROR(VLOOKUP(B41,Tabla_Lista_de_productoss[],5,0),"")</f>
        <v/>
      </c>
      <c r="E41" s="73"/>
      <c r="F41" s="74"/>
      <c r="G41" s="74"/>
      <c r="H41" s="74"/>
      <c r="I41" s="75" t="str">
        <f t="shared" si="0"/>
        <v>0.00</v>
      </c>
      <c r="J41" s="76" t="str">
        <f t="shared" si="1"/>
        <v xml:space="preserve"> </v>
      </c>
      <c r="K41" s="77"/>
      <c r="L41" s="77"/>
      <c r="M41" s="77"/>
      <c r="N41" s="106" t="str">
        <f>IFERROR(VLOOKUP(B41,'Lista de Productos'!A:D,4,FALSE)," ")</f>
        <v xml:space="preserve"> </v>
      </c>
      <c r="O41" s="71" t="str">
        <f>IFERROR(VLOOKUP(B41,'Lista de Productos'!A:C,3,FALSE)," ")</f>
        <v xml:space="preserve"> </v>
      </c>
      <c r="P41" s="78"/>
    </row>
    <row r="42" spans="1:16" s="48" customFormat="1" ht="13.15" customHeight="1" x14ac:dyDescent="0.25">
      <c r="A42" s="69">
        <v>18</v>
      </c>
      <c r="B42" s="70"/>
      <c r="C42" s="71" t="str">
        <f>IFERROR(VLOOKUP(B42,'Lista de Productos'!A:B,2,FALSE)," ")</f>
        <v xml:space="preserve"> </v>
      </c>
      <c r="D42" s="72" t="str">
        <f>IFERROR(VLOOKUP(B42,Tabla_Lista_de_productoss[],5,0),"")</f>
        <v/>
      </c>
      <c r="E42" s="73"/>
      <c r="F42" s="74"/>
      <c r="G42" s="74"/>
      <c r="H42" s="74"/>
      <c r="I42" s="75" t="str">
        <f t="shared" si="0"/>
        <v>0.00</v>
      </c>
      <c r="J42" s="76" t="str">
        <f t="shared" si="1"/>
        <v xml:space="preserve"> </v>
      </c>
      <c r="K42" s="77"/>
      <c r="L42" s="77"/>
      <c r="M42" s="77"/>
      <c r="N42" s="106" t="str">
        <f>IFERROR(VLOOKUP(B42,'Lista de Productos'!A:D,4,FALSE)," ")</f>
        <v xml:space="preserve"> </v>
      </c>
      <c r="O42" s="71" t="str">
        <f>IFERROR(VLOOKUP(B42,'Lista de Productos'!A:C,3,FALSE)," ")</f>
        <v xml:space="preserve"> </v>
      </c>
      <c r="P42" s="78"/>
    </row>
    <row r="43" spans="1:16" s="48" customFormat="1" ht="13.15" customHeight="1" x14ac:dyDescent="0.25">
      <c r="A43" s="69">
        <v>19</v>
      </c>
      <c r="B43" s="70"/>
      <c r="C43" s="71" t="str">
        <f>IFERROR(VLOOKUP(B43,'Lista de Productos'!A:B,2,FALSE)," ")</f>
        <v xml:space="preserve"> </v>
      </c>
      <c r="D43" s="72" t="str">
        <f>IFERROR(VLOOKUP(B43,Tabla_Lista_de_productoss[],5,0),"")</f>
        <v/>
      </c>
      <c r="E43" s="73"/>
      <c r="F43" s="74"/>
      <c r="G43" s="74"/>
      <c r="H43" s="74"/>
      <c r="I43" s="75" t="str">
        <f t="shared" si="0"/>
        <v>0.00</v>
      </c>
      <c r="J43" s="76" t="str">
        <f t="shared" si="1"/>
        <v xml:space="preserve"> </v>
      </c>
      <c r="K43" s="77"/>
      <c r="L43" s="77"/>
      <c r="M43" s="77"/>
      <c r="N43" s="106" t="str">
        <f>IFERROR(VLOOKUP(B43,'Lista de Productos'!A:D,4,FALSE)," ")</f>
        <v xml:space="preserve"> </v>
      </c>
      <c r="O43" s="71" t="str">
        <f>IFERROR(VLOOKUP(B43,'Lista de Productos'!A:C,3,FALSE)," ")</f>
        <v xml:space="preserve"> </v>
      </c>
      <c r="P43" s="78"/>
    </row>
    <row r="44" spans="1:16" s="48" customFormat="1" ht="13.15" customHeight="1" x14ac:dyDescent="0.25">
      <c r="A44" s="69">
        <v>20</v>
      </c>
      <c r="B44" s="70"/>
      <c r="C44" s="71" t="str">
        <f>IFERROR(VLOOKUP(B44,'Lista de Productos'!A:B,2,FALSE)," ")</f>
        <v xml:space="preserve"> </v>
      </c>
      <c r="D44" s="72" t="str">
        <f>IFERROR(VLOOKUP(B44,Tabla_Lista_de_productoss[],5,0),"")</f>
        <v/>
      </c>
      <c r="E44" s="73"/>
      <c r="F44" s="74"/>
      <c r="G44" s="74"/>
      <c r="H44" s="74"/>
      <c r="I44" s="75" t="str">
        <f t="shared" si="0"/>
        <v>0.00</v>
      </c>
      <c r="J44" s="76" t="str">
        <f t="shared" si="1"/>
        <v xml:space="preserve"> </v>
      </c>
      <c r="K44" s="77"/>
      <c r="L44" s="77"/>
      <c r="M44" s="77"/>
      <c r="N44" s="106" t="str">
        <f>IFERROR(VLOOKUP(B44,'Lista de Productos'!A:D,4,FALSE)," ")</f>
        <v xml:space="preserve"> </v>
      </c>
      <c r="O44" s="71" t="str">
        <f>IFERROR(VLOOKUP(B44,'Lista de Productos'!A:C,3,FALSE)," ")</f>
        <v xml:space="preserve"> </v>
      </c>
      <c r="P44" s="78"/>
    </row>
    <row r="45" spans="1:16" s="48" customFormat="1" ht="13.15" customHeight="1" x14ac:dyDescent="0.25">
      <c r="A45" s="69">
        <v>21</v>
      </c>
      <c r="B45" s="70"/>
      <c r="C45" s="71" t="str">
        <f>IFERROR(VLOOKUP(B45,'Lista de Productos'!A:B,2,FALSE)," ")</f>
        <v xml:space="preserve"> </v>
      </c>
      <c r="D45" s="72" t="str">
        <f>IFERROR(VLOOKUP(B45,Tabla_Lista_de_productoss[],5,0),"")</f>
        <v/>
      </c>
      <c r="E45" s="73"/>
      <c r="F45" s="74"/>
      <c r="G45" s="74"/>
      <c r="H45" s="74"/>
      <c r="I45" s="75" t="str">
        <f t="shared" si="0"/>
        <v>0.00</v>
      </c>
      <c r="J45" s="76" t="str">
        <f t="shared" si="1"/>
        <v xml:space="preserve"> </v>
      </c>
      <c r="K45" s="77"/>
      <c r="L45" s="77"/>
      <c r="M45" s="77"/>
      <c r="N45" s="106" t="str">
        <f>IFERROR(VLOOKUP(B45,'Lista de Productos'!A:D,4,FALSE)," ")</f>
        <v xml:space="preserve"> </v>
      </c>
      <c r="O45" s="71" t="str">
        <f>IFERROR(VLOOKUP(B45,'Lista de Productos'!A:C,3,FALSE)," ")</f>
        <v xml:space="preserve"> </v>
      </c>
      <c r="P45" s="78"/>
    </row>
    <row r="46" spans="1:16" s="48" customFormat="1" ht="13.15" customHeight="1" x14ac:dyDescent="0.25">
      <c r="A46" s="69">
        <v>22</v>
      </c>
      <c r="B46" s="70"/>
      <c r="C46" s="71" t="str">
        <f>IFERROR(VLOOKUP(B46,'Lista de Productos'!A:B,2,FALSE)," ")</f>
        <v xml:space="preserve"> </v>
      </c>
      <c r="D46" s="72" t="str">
        <f>IFERROR(VLOOKUP(B46,Tabla_Lista_de_productoss[],5,0),"")</f>
        <v/>
      </c>
      <c r="E46" s="73"/>
      <c r="F46" s="74"/>
      <c r="G46" s="74"/>
      <c r="H46" s="74"/>
      <c r="I46" s="75" t="str">
        <f t="shared" si="0"/>
        <v>0.00</v>
      </c>
      <c r="J46" s="76" t="str">
        <f t="shared" si="1"/>
        <v xml:space="preserve"> </v>
      </c>
      <c r="K46" s="77"/>
      <c r="L46" s="77"/>
      <c r="M46" s="77"/>
      <c r="N46" s="106" t="str">
        <f>IFERROR(VLOOKUP(B46,'Lista de Productos'!A:D,4,FALSE)," ")</f>
        <v xml:space="preserve"> </v>
      </c>
      <c r="O46" s="71" t="str">
        <f>IFERROR(VLOOKUP(B46,'Lista de Productos'!A:C,3,FALSE)," ")</f>
        <v xml:space="preserve"> </v>
      </c>
      <c r="P46" s="78"/>
    </row>
    <row r="47" spans="1:16" s="48" customFormat="1" ht="13.15" customHeight="1" x14ac:dyDescent="0.25">
      <c r="A47" s="69">
        <v>23</v>
      </c>
      <c r="B47" s="70"/>
      <c r="C47" s="71" t="str">
        <f>IFERROR(VLOOKUP(B47,'Lista de Productos'!A:B,2,FALSE)," ")</f>
        <v xml:space="preserve"> </v>
      </c>
      <c r="D47" s="72" t="str">
        <f>IFERROR(VLOOKUP(B47,Tabla_Lista_de_productoss[],5,0),"")</f>
        <v/>
      </c>
      <c r="E47" s="73"/>
      <c r="F47" s="74"/>
      <c r="G47" s="74"/>
      <c r="H47" s="74"/>
      <c r="I47" s="75" t="str">
        <f t="shared" si="0"/>
        <v>0.00</v>
      </c>
      <c r="J47" s="76" t="str">
        <f t="shared" si="1"/>
        <v xml:space="preserve"> </v>
      </c>
      <c r="K47" s="77"/>
      <c r="L47" s="77"/>
      <c r="M47" s="77"/>
      <c r="N47" s="106" t="str">
        <f>IFERROR(VLOOKUP(B47,'Lista de Productos'!A:D,4,FALSE)," ")</f>
        <v xml:space="preserve"> </v>
      </c>
      <c r="O47" s="71" t="str">
        <f>IFERROR(VLOOKUP(B47,'Lista de Productos'!A:C,3,FALSE)," ")</f>
        <v xml:space="preserve"> </v>
      </c>
      <c r="P47" s="78"/>
    </row>
    <row r="48" spans="1:16" s="48" customFormat="1" ht="13.15" customHeight="1" x14ac:dyDescent="0.25">
      <c r="A48" s="69">
        <v>24</v>
      </c>
      <c r="B48" s="70"/>
      <c r="C48" s="71" t="str">
        <f>IFERROR(VLOOKUP(B48,'Lista de Productos'!A:B,2,FALSE)," ")</f>
        <v xml:space="preserve"> </v>
      </c>
      <c r="D48" s="72" t="str">
        <f>IFERROR(VLOOKUP(B48,Tabla_Lista_de_productoss[],5,0),"")</f>
        <v/>
      </c>
      <c r="E48" s="73"/>
      <c r="F48" s="74"/>
      <c r="G48" s="74"/>
      <c r="H48" s="74"/>
      <c r="I48" s="75" t="str">
        <f t="shared" si="0"/>
        <v>0.00</v>
      </c>
      <c r="J48" s="76" t="str">
        <f t="shared" si="1"/>
        <v xml:space="preserve"> </v>
      </c>
      <c r="K48" s="77"/>
      <c r="L48" s="77"/>
      <c r="M48" s="77"/>
      <c r="N48" s="106" t="str">
        <f>IFERROR(VLOOKUP(B48,'Lista de Productos'!A:D,4,FALSE)," ")</f>
        <v xml:space="preserve"> </v>
      </c>
      <c r="O48" s="71" t="str">
        <f>IFERROR(VLOOKUP(B48,'Lista de Productos'!A:C,3,FALSE)," ")</f>
        <v xml:space="preserve"> </v>
      </c>
      <c r="P48" s="78"/>
    </row>
    <row r="49" spans="1:16" s="48" customFormat="1" ht="13.15" customHeight="1" x14ac:dyDescent="0.25">
      <c r="A49" s="69">
        <v>25</v>
      </c>
      <c r="B49" s="70"/>
      <c r="C49" s="71" t="str">
        <f>IFERROR(VLOOKUP(B49,'Lista de Productos'!A:B,2,FALSE)," ")</f>
        <v xml:space="preserve"> </v>
      </c>
      <c r="D49" s="72" t="str">
        <f>IFERROR(VLOOKUP(B49,Tabla_Lista_de_productoss[],5,0),"")</f>
        <v/>
      </c>
      <c r="E49" s="73"/>
      <c r="F49" s="74"/>
      <c r="G49" s="74"/>
      <c r="H49" s="74"/>
      <c r="I49" s="75" t="str">
        <f t="shared" si="0"/>
        <v>0.00</v>
      </c>
      <c r="J49" s="76" t="str">
        <f t="shared" si="1"/>
        <v xml:space="preserve"> </v>
      </c>
      <c r="K49" s="77"/>
      <c r="L49" s="77"/>
      <c r="M49" s="77"/>
      <c r="N49" s="106" t="str">
        <f>IFERROR(VLOOKUP(B49,'Lista de Productos'!A:D,4,FALSE)," ")</f>
        <v xml:space="preserve"> </v>
      </c>
      <c r="O49" s="71" t="str">
        <f>IFERROR(VLOOKUP(B49,'Lista de Productos'!A:C,3,FALSE)," ")</f>
        <v xml:space="preserve"> </v>
      </c>
      <c r="P49" s="78"/>
    </row>
    <row r="50" spans="1:16" s="48" customFormat="1" ht="13.15" customHeight="1" x14ac:dyDescent="0.25">
      <c r="A50" s="69">
        <v>26</v>
      </c>
      <c r="B50" s="70"/>
      <c r="C50" s="71" t="str">
        <f>IFERROR(VLOOKUP(B50,'Lista de Productos'!A:B,2,FALSE)," ")</f>
        <v xml:space="preserve"> </v>
      </c>
      <c r="D50" s="72" t="str">
        <f>IFERROR(VLOOKUP(B50,Tabla_Lista_de_productoss[],5,0),"")</f>
        <v/>
      </c>
      <c r="E50" s="73"/>
      <c r="F50" s="74"/>
      <c r="G50" s="74"/>
      <c r="H50" s="74"/>
      <c r="I50" s="75" t="str">
        <f t="shared" si="0"/>
        <v>0.00</v>
      </c>
      <c r="J50" s="76" t="str">
        <f t="shared" si="1"/>
        <v xml:space="preserve"> </v>
      </c>
      <c r="K50" s="77" t="str">
        <f>IFERROR((D50*E50), " ")</f>
        <v xml:space="preserve"> </v>
      </c>
      <c r="L50" s="77" t="str">
        <f>IFERROR((D50*F50%)*E50," ")</f>
        <v xml:space="preserve"> </v>
      </c>
      <c r="M50" s="77" t="str">
        <f>IFERROR(((K50-L50)*G50%), " ")</f>
        <v xml:space="preserve"> </v>
      </c>
      <c r="N50" s="106" t="str">
        <f>IFERROR(VLOOKUP(B50,'Lista de Productos'!A:D,4,FALSE)," ")</f>
        <v xml:space="preserve"> </v>
      </c>
      <c r="O50" s="71" t="str">
        <f>IFERROR(VLOOKUP(B50,'Lista de Productos'!A:C,3,FALSE)," ")</f>
        <v xml:space="preserve"> </v>
      </c>
      <c r="P50" s="78"/>
    </row>
    <row r="51" spans="1:16" s="48" customFormat="1" ht="13.15" customHeight="1" x14ac:dyDescent="0.25">
      <c r="A51" s="69">
        <v>27</v>
      </c>
      <c r="B51" s="70"/>
      <c r="C51" s="71" t="str">
        <f>IFERROR(VLOOKUP(B51,'Lista de Productos'!A:B,2,FALSE)," ")</f>
        <v xml:space="preserve"> </v>
      </c>
      <c r="D51" s="72" t="str">
        <f>IFERROR(VLOOKUP(B51,Tabla_Lista_de_productoss[],5,0),"")</f>
        <v/>
      </c>
      <c r="E51" s="73"/>
      <c r="F51" s="74"/>
      <c r="G51" s="74"/>
      <c r="H51" s="74"/>
      <c r="I51" s="75" t="str">
        <f t="shared" si="0"/>
        <v>0.00</v>
      </c>
      <c r="J51" s="76" t="str">
        <f t="shared" si="1"/>
        <v xml:space="preserve"> </v>
      </c>
      <c r="K51" s="77" t="str">
        <f>IFERROR((D51*E51), " ")</f>
        <v xml:space="preserve"> </v>
      </c>
      <c r="L51" s="77" t="str">
        <f>IFERROR((D51*F51%)*E51," ")</f>
        <v xml:space="preserve"> </v>
      </c>
      <c r="M51" s="77" t="str">
        <f>IFERROR(((K51-L51)*G51%), " ")</f>
        <v xml:space="preserve"> </v>
      </c>
      <c r="N51" s="106" t="str">
        <f>IFERROR(VLOOKUP(B51,'Lista de Productos'!A:D,4,FALSE)," ")</f>
        <v xml:space="preserve"> </v>
      </c>
      <c r="O51" s="71" t="str">
        <f>IFERROR(VLOOKUP(B51,'Lista de Productos'!A:C,3,FALSE)," ")</f>
        <v xml:space="preserve"> </v>
      </c>
      <c r="P51" s="78"/>
    </row>
    <row r="52" spans="1:16" s="48" customFormat="1" ht="13.15" customHeight="1" x14ac:dyDescent="0.25">
      <c r="A52" s="69">
        <v>28</v>
      </c>
      <c r="B52" s="70"/>
      <c r="C52" s="71" t="str">
        <f>IFERROR(VLOOKUP(B52,'Lista de Productos'!A:B,2,FALSE)," ")</f>
        <v xml:space="preserve"> </v>
      </c>
      <c r="D52" s="72" t="str">
        <f>IFERROR(VLOOKUP(B52,Tabla_Lista_de_productoss[],5,0),"")</f>
        <v/>
      </c>
      <c r="E52" s="73"/>
      <c r="F52" s="74"/>
      <c r="G52" s="74"/>
      <c r="H52" s="74"/>
      <c r="I52" s="75" t="str">
        <f t="shared" si="0"/>
        <v>0.00</v>
      </c>
      <c r="J52" s="76" t="str">
        <f t="shared" si="1"/>
        <v xml:space="preserve"> </v>
      </c>
      <c r="K52" s="77"/>
      <c r="L52" s="77"/>
      <c r="M52" s="77"/>
      <c r="N52" s="106" t="str">
        <f>IFERROR(VLOOKUP(B52,'Lista de Productos'!A:D,4,FALSE)," ")</f>
        <v xml:space="preserve"> </v>
      </c>
      <c r="O52" s="71" t="str">
        <f>IFERROR(VLOOKUP(B52,'Lista de Productos'!A:C,3,FALSE)," ")</f>
        <v xml:space="preserve"> </v>
      </c>
      <c r="P52" s="78"/>
    </row>
    <row r="53" spans="1:16" s="48" customFormat="1" ht="13.15" customHeight="1" x14ac:dyDescent="0.25">
      <c r="A53" s="69">
        <v>29</v>
      </c>
      <c r="B53" s="70"/>
      <c r="C53" s="71" t="str">
        <f>IFERROR(VLOOKUP(B53,'Lista de Productos'!A:B,2,FALSE)," ")</f>
        <v xml:space="preserve"> </v>
      </c>
      <c r="D53" s="72" t="str">
        <f>IFERROR(VLOOKUP(B53,Tabla_Lista_de_productoss[],5,0),"")</f>
        <v/>
      </c>
      <c r="E53" s="73"/>
      <c r="F53" s="74"/>
      <c r="G53" s="74"/>
      <c r="H53" s="74"/>
      <c r="I53" s="75" t="str">
        <f t="shared" si="0"/>
        <v>0.00</v>
      </c>
      <c r="J53" s="76" t="str">
        <f t="shared" si="1"/>
        <v xml:space="preserve"> </v>
      </c>
      <c r="K53" s="77"/>
      <c r="L53" s="77"/>
      <c r="M53" s="77"/>
      <c r="N53" s="106" t="str">
        <f>IFERROR(VLOOKUP(B53,'Lista de Productos'!A:D,4,FALSE)," ")</f>
        <v xml:space="preserve"> </v>
      </c>
      <c r="O53" s="71" t="str">
        <f>IFERROR(VLOOKUP(B53,'Lista de Productos'!A:C,3,FALSE)," ")</f>
        <v xml:space="preserve"> </v>
      </c>
      <c r="P53" s="78"/>
    </row>
    <row r="54" spans="1:16" s="48" customFormat="1" ht="13.15" customHeight="1" x14ac:dyDescent="0.25">
      <c r="A54" s="69">
        <v>30</v>
      </c>
      <c r="B54" s="70"/>
      <c r="C54" s="71" t="str">
        <f>IFERROR(VLOOKUP(B54,'Lista de Productos'!A:B,2,FALSE)," ")</f>
        <v xml:space="preserve"> </v>
      </c>
      <c r="D54" s="72" t="str">
        <f>IFERROR(VLOOKUP(B54,Tabla_Lista_de_productoss[],5,0),"")</f>
        <v/>
      </c>
      <c r="E54" s="73"/>
      <c r="F54" s="74"/>
      <c r="G54" s="74"/>
      <c r="H54" s="74"/>
      <c r="I54" s="75" t="str">
        <f t="shared" si="0"/>
        <v>0.00</v>
      </c>
      <c r="J54" s="76" t="str">
        <f t="shared" si="1"/>
        <v xml:space="preserve"> </v>
      </c>
      <c r="K54" s="77"/>
      <c r="L54" s="77"/>
      <c r="M54" s="77"/>
      <c r="N54" s="106" t="str">
        <f>IFERROR(VLOOKUP(B54,'Lista de Productos'!A:D,4,FALSE)," ")</f>
        <v xml:space="preserve"> </v>
      </c>
      <c r="O54" s="71" t="str">
        <f>IFERROR(VLOOKUP(B54,'Lista de Productos'!A:C,3,FALSE)," ")</f>
        <v xml:space="preserve"> </v>
      </c>
      <c r="P54" s="78"/>
    </row>
    <row r="55" spans="1:16" s="48" customFormat="1" ht="13.15" customHeight="1" x14ac:dyDescent="0.25">
      <c r="A55" s="69">
        <v>31</v>
      </c>
      <c r="B55" s="70"/>
      <c r="C55" s="71" t="str">
        <f>IFERROR(VLOOKUP(B55,'Lista de Productos'!A:B,2,FALSE)," ")</f>
        <v xml:space="preserve"> </v>
      </c>
      <c r="D55" s="72" t="str">
        <f>IFERROR(VLOOKUP(B55,Tabla_Lista_de_productoss[],5,0),"")</f>
        <v/>
      </c>
      <c r="E55" s="73"/>
      <c r="F55" s="74"/>
      <c r="G55" s="74"/>
      <c r="H55" s="74"/>
      <c r="I55" s="75" t="str">
        <f t="shared" si="0"/>
        <v>0.00</v>
      </c>
      <c r="J55" s="76" t="str">
        <f t="shared" si="1"/>
        <v xml:space="preserve"> </v>
      </c>
      <c r="K55" s="77"/>
      <c r="L55" s="77"/>
      <c r="M55" s="77"/>
      <c r="N55" s="106" t="str">
        <f>IFERROR(VLOOKUP(B55,'Lista de Productos'!A:D,4,FALSE)," ")</f>
        <v xml:space="preserve"> </v>
      </c>
      <c r="O55" s="71" t="str">
        <f>IFERROR(VLOOKUP(B55,'Lista de Productos'!A:C,3,FALSE)," ")</f>
        <v xml:space="preserve"> </v>
      </c>
      <c r="P55" s="78"/>
    </row>
    <row r="56" spans="1:16" s="48" customFormat="1" ht="13.15" customHeight="1" x14ac:dyDescent="0.25">
      <c r="A56" s="69">
        <v>32</v>
      </c>
      <c r="B56" s="70"/>
      <c r="C56" s="71" t="str">
        <f>IFERROR(VLOOKUP(B56,'Lista de Productos'!A:B,2,FALSE)," ")</f>
        <v xml:space="preserve"> </v>
      </c>
      <c r="D56" s="72" t="str">
        <f>IFERROR(VLOOKUP(B56,Tabla_Lista_de_productoss[],5,0),"")</f>
        <v/>
      </c>
      <c r="E56" s="73"/>
      <c r="F56" s="74"/>
      <c r="G56" s="74"/>
      <c r="H56" s="74"/>
      <c r="I56" s="75" t="str">
        <f t="shared" si="0"/>
        <v>0.00</v>
      </c>
      <c r="J56" s="76" t="str">
        <f t="shared" si="1"/>
        <v xml:space="preserve"> </v>
      </c>
      <c r="K56" s="77"/>
      <c r="L56" s="77"/>
      <c r="M56" s="77"/>
      <c r="N56" s="106" t="str">
        <f>IFERROR(VLOOKUP(B56,'Lista de Productos'!A:D,4,FALSE)," ")</f>
        <v xml:space="preserve"> </v>
      </c>
      <c r="O56" s="71" t="str">
        <f>IFERROR(VLOOKUP(B56,'Lista de Productos'!A:C,3,FALSE)," ")</f>
        <v xml:space="preserve"> </v>
      </c>
      <c r="P56" s="78"/>
    </row>
    <row r="57" spans="1:16" s="48" customFormat="1" ht="13.15" customHeight="1" x14ac:dyDescent="0.25">
      <c r="A57" s="69">
        <v>33</v>
      </c>
      <c r="B57" s="70"/>
      <c r="C57" s="71" t="str">
        <f>IFERROR(VLOOKUP(B57,'Lista de Productos'!A:B,2,FALSE)," ")</f>
        <v xml:space="preserve"> </v>
      </c>
      <c r="D57" s="72" t="str">
        <f>IFERROR(VLOOKUP(B57,Tabla_Lista_de_productoss[],5,0),"")</f>
        <v/>
      </c>
      <c r="E57" s="73"/>
      <c r="F57" s="74"/>
      <c r="G57" s="74"/>
      <c r="H57" s="74"/>
      <c r="I57" s="75" t="str">
        <f t="shared" si="0"/>
        <v>0.00</v>
      </c>
      <c r="J57" s="76" t="str">
        <f t="shared" si="1"/>
        <v xml:space="preserve"> </v>
      </c>
      <c r="K57" s="77"/>
      <c r="L57" s="77"/>
      <c r="M57" s="77"/>
      <c r="N57" s="106" t="str">
        <f>IFERROR(VLOOKUP(B57,'Lista de Productos'!A:D,4,FALSE)," ")</f>
        <v xml:space="preserve"> </v>
      </c>
      <c r="O57" s="71" t="str">
        <f>IFERROR(VLOOKUP(B57,'Lista de Productos'!A:C,3,FALSE)," ")</f>
        <v xml:space="preserve"> </v>
      </c>
      <c r="P57" s="78"/>
    </row>
    <row r="58" spans="1:16" s="48" customFormat="1" ht="13.15" customHeight="1" x14ac:dyDescent="0.25">
      <c r="A58" s="69">
        <v>34</v>
      </c>
      <c r="B58" s="70"/>
      <c r="C58" s="71" t="str">
        <f>IFERROR(VLOOKUP(B58,'Lista de Productos'!A:B,2,FALSE)," ")</f>
        <v xml:space="preserve"> </v>
      </c>
      <c r="D58" s="72" t="str">
        <f>IFERROR(VLOOKUP(B58,Tabla_Lista_de_productoss[],5,0),"")</f>
        <v/>
      </c>
      <c r="E58" s="73"/>
      <c r="F58" s="74"/>
      <c r="G58" s="74"/>
      <c r="H58" s="74"/>
      <c r="I58" s="75" t="str">
        <f t="shared" si="0"/>
        <v>0.00</v>
      </c>
      <c r="J58" s="76" t="str">
        <f t="shared" si="1"/>
        <v xml:space="preserve"> </v>
      </c>
      <c r="K58" s="77"/>
      <c r="L58" s="77"/>
      <c r="M58" s="77"/>
      <c r="N58" s="106" t="str">
        <f>IFERROR(VLOOKUP(B58,'Lista de Productos'!A:D,4,FALSE)," ")</f>
        <v xml:space="preserve"> </v>
      </c>
      <c r="O58" s="71" t="str">
        <f>IFERROR(VLOOKUP(B58,'Lista de Productos'!A:C,3,FALSE)," ")</f>
        <v xml:space="preserve"> </v>
      </c>
      <c r="P58" s="78"/>
    </row>
    <row r="59" spans="1:16" s="48" customFormat="1" ht="13.15" customHeight="1" x14ac:dyDescent="0.25">
      <c r="A59" s="69">
        <v>35</v>
      </c>
      <c r="B59" s="70"/>
      <c r="C59" s="71" t="str">
        <f>IFERROR(VLOOKUP(B59,'Lista de Productos'!A:B,2,FALSE)," ")</f>
        <v xml:space="preserve"> </v>
      </c>
      <c r="D59" s="72" t="str">
        <f>IFERROR(VLOOKUP(B59,Tabla_Lista_de_productoss[],5,0),"")</f>
        <v/>
      </c>
      <c r="E59" s="73"/>
      <c r="F59" s="74"/>
      <c r="G59" s="74"/>
      <c r="H59" s="74"/>
      <c r="I59" s="75" t="str">
        <f t="shared" si="0"/>
        <v>0.00</v>
      </c>
      <c r="J59" s="76" t="str">
        <f t="shared" si="1"/>
        <v xml:space="preserve"> </v>
      </c>
      <c r="K59" s="77"/>
      <c r="L59" s="77"/>
      <c r="M59" s="77"/>
      <c r="N59" s="106" t="str">
        <f>IFERROR(VLOOKUP(B59,'Lista de Productos'!A:D,4,FALSE)," ")</f>
        <v xml:space="preserve"> </v>
      </c>
      <c r="O59" s="71" t="str">
        <f>IFERROR(VLOOKUP(B59,'Lista de Productos'!A:C,3,FALSE)," ")</f>
        <v xml:space="preserve"> </v>
      </c>
      <c r="P59" s="78"/>
    </row>
    <row r="60" spans="1:16" s="48" customFormat="1" ht="13.15" customHeight="1" x14ac:dyDescent="0.25">
      <c r="A60" s="69">
        <v>36</v>
      </c>
      <c r="B60" s="70"/>
      <c r="C60" s="71" t="str">
        <f>IFERROR(VLOOKUP(B60,'Lista de Productos'!A:B,2,FALSE)," ")</f>
        <v xml:space="preserve"> </v>
      </c>
      <c r="D60" s="72" t="str">
        <f>IFERROR(VLOOKUP(B60,Tabla_Lista_de_productoss[],5,0),"")</f>
        <v/>
      </c>
      <c r="E60" s="73"/>
      <c r="F60" s="74"/>
      <c r="G60" s="74"/>
      <c r="H60" s="74"/>
      <c r="I60" s="75" t="str">
        <f t="shared" si="0"/>
        <v>0.00</v>
      </c>
      <c r="J60" s="76" t="str">
        <f t="shared" si="1"/>
        <v xml:space="preserve"> </v>
      </c>
      <c r="K60" s="77"/>
      <c r="L60" s="77"/>
      <c r="M60" s="77"/>
      <c r="N60" s="106" t="str">
        <f>IFERROR(VLOOKUP(B60,'Lista de Productos'!A:D,4,FALSE)," ")</f>
        <v xml:space="preserve"> </v>
      </c>
      <c r="O60" s="71" t="str">
        <f>IFERROR(VLOOKUP(B60,'Lista de Productos'!A:C,3,FALSE)," ")</f>
        <v xml:space="preserve"> </v>
      </c>
      <c r="P60" s="78"/>
    </row>
    <row r="61" spans="1:16" s="48" customFormat="1" ht="13.15" customHeight="1" x14ac:dyDescent="0.25">
      <c r="A61" s="69">
        <v>37</v>
      </c>
      <c r="B61" s="70"/>
      <c r="C61" s="71" t="str">
        <f>IFERROR(VLOOKUP(B61,'Lista de Productos'!A:B,2,FALSE)," ")</f>
        <v xml:space="preserve"> </v>
      </c>
      <c r="D61" s="72" t="str">
        <f>IFERROR(VLOOKUP(B61,Tabla_Lista_de_productoss[],5,0),"")</f>
        <v/>
      </c>
      <c r="E61" s="73"/>
      <c r="F61" s="74"/>
      <c r="G61" s="74"/>
      <c r="H61" s="74"/>
      <c r="I61" s="75" t="str">
        <f t="shared" si="0"/>
        <v>0.00</v>
      </c>
      <c r="J61" s="76" t="str">
        <f t="shared" si="1"/>
        <v xml:space="preserve"> </v>
      </c>
      <c r="K61" s="77"/>
      <c r="L61" s="77"/>
      <c r="M61" s="77"/>
      <c r="N61" s="106" t="str">
        <f>IFERROR(VLOOKUP(B61,'Lista de Productos'!A:D,4,FALSE)," ")</f>
        <v xml:space="preserve"> </v>
      </c>
      <c r="O61" s="71" t="str">
        <f>IFERROR(VLOOKUP(B61,'Lista de Productos'!A:C,3,FALSE)," ")</f>
        <v xml:space="preserve"> </v>
      </c>
      <c r="P61" s="78"/>
    </row>
    <row r="62" spans="1:16" s="48" customFormat="1" ht="13.15" customHeight="1" x14ac:dyDescent="0.25">
      <c r="A62" s="69">
        <v>38</v>
      </c>
      <c r="B62" s="70"/>
      <c r="C62" s="71" t="str">
        <f>IFERROR(VLOOKUP(B62,'Lista de Productos'!A:B,2,FALSE)," ")</f>
        <v xml:space="preserve"> </v>
      </c>
      <c r="D62" s="72" t="str">
        <f>IFERROR(VLOOKUP(B62,Tabla_Lista_de_productoss[],5,0),"")</f>
        <v/>
      </c>
      <c r="E62" s="73"/>
      <c r="F62" s="74"/>
      <c r="G62" s="74"/>
      <c r="H62" s="74"/>
      <c r="I62" s="75" t="str">
        <f t="shared" si="0"/>
        <v>0.00</v>
      </c>
      <c r="J62" s="76" t="str">
        <f t="shared" si="1"/>
        <v xml:space="preserve"> </v>
      </c>
      <c r="K62" s="77" t="str">
        <f t="shared" ref="K62:K94" si="5">IFERROR((D62*E62), " ")</f>
        <v xml:space="preserve"> </v>
      </c>
      <c r="L62" s="77" t="str">
        <f t="shared" ref="L62:L94" si="6">IFERROR((D62*F62%)*E62," ")</f>
        <v xml:space="preserve"> </v>
      </c>
      <c r="M62" s="77" t="str">
        <f t="shared" ref="M62:M94" si="7">IFERROR(((K62-L62)*G62%), " ")</f>
        <v xml:space="preserve"> </v>
      </c>
      <c r="N62" s="106" t="str">
        <f>IFERROR(VLOOKUP(B62,'Lista de Productos'!A:D,4,FALSE)," ")</f>
        <v xml:space="preserve"> </v>
      </c>
      <c r="O62" s="71" t="str">
        <f>IFERROR(VLOOKUP(B62,'Lista de Productos'!A:C,3,FALSE)," ")</f>
        <v xml:space="preserve"> </v>
      </c>
      <c r="P62" s="78"/>
    </row>
    <row r="63" spans="1:16" s="48" customFormat="1" ht="13.15" customHeight="1" x14ac:dyDescent="0.25">
      <c r="A63" s="69">
        <v>39</v>
      </c>
      <c r="B63" s="70"/>
      <c r="C63" s="71" t="str">
        <f>IFERROR(VLOOKUP(B63,'Lista de Productos'!A:B,2,FALSE)," ")</f>
        <v xml:space="preserve"> </v>
      </c>
      <c r="D63" s="72" t="str">
        <f>IFERROR(VLOOKUP(B63,Tabla_Lista_de_productoss[],5,0),"")</f>
        <v/>
      </c>
      <c r="E63" s="73"/>
      <c r="F63" s="74"/>
      <c r="G63" s="74"/>
      <c r="H63" s="74"/>
      <c r="I63" s="75" t="str">
        <f t="shared" si="0"/>
        <v>0.00</v>
      </c>
      <c r="J63" s="76" t="str">
        <f t="shared" si="1"/>
        <v xml:space="preserve"> </v>
      </c>
      <c r="K63" s="77" t="str">
        <f t="shared" si="5"/>
        <v xml:space="preserve"> </v>
      </c>
      <c r="L63" s="77" t="str">
        <f t="shared" si="6"/>
        <v xml:space="preserve"> </v>
      </c>
      <c r="M63" s="77" t="str">
        <f t="shared" si="7"/>
        <v xml:space="preserve"> </v>
      </c>
      <c r="N63" s="106" t="str">
        <f>IFERROR(VLOOKUP(B63,'Lista de Productos'!A:D,4,FALSE)," ")</f>
        <v xml:space="preserve"> </v>
      </c>
      <c r="O63" s="71" t="str">
        <f>IFERROR(VLOOKUP(B63,'Lista de Productos'!A:C,3,FALSE)," ")</f>
        <v xml:space="preserve"> </v>
      </c>
      <c r="P63" s="78"/>
    </row>
    <row r="64" spans="1:16" s="48" customFormat="1" ht="13.15" customHeight="1" x14ac:dyDescent="0.25">
      <c r="A64" s="69">
        <v>40</v>
      </c>
      <c r="B64" s="70"/>
      <c r="C64" s="71" t="str">
        <f>IFERROR(VLOOKUP(B64,'Lista de Productos'!A:B,2,FALSE)," ")</f>
        <v xml:space="preserve"> </v>
      </c>
      <c r="D64" s="72" t="str">
        <f>IFERROR(VLOOKUP(B64,Tabla_Lista_de_productoss[],5,0),"")</f>
        <v/>
      </c>
      <c r="E64" s="73"/>
      <c r="F64" s="74"/>
      <c r="G64" s="74"/>
      <c r="H64" s="74"/>
      <c r="I64" s="75" t="str">
        <f t="shared" si="0"/>
        <v>0.00</v>
      </c>
      <c r="J64" s="76"/>
      <c r="K64" s="77"/>
      <c r="L64" s="77"/>
      <c r="M64" s="77"/>
      <c r="N64" s="106" t="str">
        <f>IFERROR(VLOOKUP(B64,'Lista de Productos'!A:D,4,FALSE)," ")</f>
        <v xml:space="preserve"> </v>
      </c>
      <c r="O64" s="71" t="str">
        <f>IFERROR(VLOOKUP(B64,'Lista de Productos'!A:C,3,FALSE)," ")</f>
        <v xml:space="preserve"> </v>
      </c>
      <c r="P64" s="78"/>
    </row>
    <row r="65" spans="1:16" s="48" customFormat="1" ht="13.15" customHeight="1" x14ac:dyDescent="0.25">
      <c r="A65" s="69">
        <v>41</v>
      </c>
      <c r="B65" s="70"/>
      <c r="C65" s="71" t="str">
        <f>IFERROR(VLOOKUP(B65,'Lista de Productos'!A:B,2,FALSE)," ")</f>
        <v xml:space="preserve"> </v>
      </c>
      <c r="D65" s="72" t="str">
        <f>IFERROR(VLOOKUP(B65,Tabla_Lista_de_productoss[],5,0),"")</f>
        <v/>
      </c>
      <c r="E65" s="73"/>
      <c r="F65" s="74"/>
      <c r="G65" s="74"/>
      <c r="H65" s="74"/>
      <c r="I65" s="75" t="str">
        <f t="shared" si="0"/>
        <v>0.00</v>
      </c>
      <c r="J65" s="76"/>
      <c r="K65" s="77"/>
      <c r="L65" s="77"/>
      <c r="M65" s="77"/>
      <c r="N65" s="106" t="str">
        <f>IFERROR(VLOOKUP(B65,'Lista de Productos'!A:D,4,FALSE)," ")</f>
        <v xml:space="preserve"> </v>
      </c>
      <c r="O65" s="71" t="str">
        <f>IFERROR(VLOOKUP(B65,'Lista de Productos'!A:C,3,FALSE)," ")</f>
        <v xml:space="preserve"> </v>
      </c>
      <c r="P65" s="78"/>
    </row>
    <row r="66" spans="1:16" s="48" customFormat="1" ht="13.15" customHeight="1" x14ac:dyDescent="0.25">
      <c r="A66" s="69">
        <v>42</v>
      </c>
      <c r="B66" s="70"/>
      <c r="C66" s="71" t="str">
        <f>IFERROR(VLOOKUP(B66,'Lista de Productos'!A:B,2,FALSE)," ")</f>
        <v xml:space="preserve"> </v>
      </c>
      <c r="D66" s="72" t="str">
        <f>IFERROR(VLOOKUP(B66,Tabla_Lista_de_productoss[],5,0),"")</f>
        <v/>
      </c>
      <c r="E66" s="73"/>
      <c r="F66" s="74"/>
      <c r="G66" s="74"/>
      <c r="H66" s="74"/>
      <c r="I66" s="75" t="str">
        <f t="shared" si="0"/>
        <v>0.00</v>
      </c>
      <c r="J66" s="76"/>
      <c r="K66" s="77"/>
      <c r="L66" s="77"/>
      <c r="M66" s="77"/>
      <c r="N66" s="106" t="str">
        <f>IFERROR(VLOOKUP(B66,'Lista de Productos'!A:D,4,FALSE)," ")</f>
        <v xml:space="preserve"> </v>
      </c>
      <c r="O66" s="71" t="str">
        <f>IFERROR(VLOOKUP(B66,'Lista de Productos'!A:C,3,FALSE)," ")</f>
        <v xml:space="preserve"> </v>
      </c>
      <c r="P66" s="78"/>
    </row>
    <row r="67" spans="1:16" s="48" customFormat="1" ht="13.15" customHeight="1" x14ac:dyDescent="0.25">
      <c r="A67" s="69">
        <v>43</v>
      </c>
      <c r="B67" s="70"/>
      <c r="C67" s="71" t="str">
        <f>IFERROR(VLOOKUP(B67,'Lista de Productos'!A:B,2,FALSE)," ")</f>
        <v xml:space="preserve"> </v>
      </c>
      <c r="D67" s="72" t="str">
        <f>IFERROR(VLOOKUP(B67,Tabla_Lista_de_productoss[],5,0),"")</f>
        <v/>
      </c>
      <c r="E67" s="73"/>
      <c r="F67" s="74"/>
      <c r="G67" s="74"/>
      <c r="H67" s="74"/>
      <c r="I67" s="75" t="str">
        <f t="shared" si="0"/>
        <v>0.00</v>
      </c>
      <c r="J67" s="76"/>
      <c r="K67" s="77"/>
      <c r="L67" s="77"/>
      <c r="M67" s="77"/>
      <c r="N67" s="106" t="str">
        <f>IFERROR(VLOOKUP(B67,'Lista de Productos'!A:D,4,FALSE)," ")</f>
        <v xml:space="preserve"> </v>
      </c>
      <c r="O67" s="71" t="str">
        <f>IFERROR(VLOOKUP(B67,'Lista de Productos'!A:C,3,FALSE)," ")</f>
        <v xml:space="preserve"> </v>
      </c>
      <c r="P67" s="78"/>
    </row>
    <row r="68" spans="1:16" s="48" customFormat="1" ht="13.15" customHeight="1" x14ac:dyDescent="0.25">
      <c r="A68" s="69">
        <v>44</v>
      </c>
      <c r="B68" s="70"/>
      <c r="C68" s="71" t="str">
        <f>IFERROR(VLOOKUP(B68,'Lista de Productos'!A:B,2,FALSE)," ")</f>
        <v xml:space="preserve"> </v>
      </c>
      <c r="D68" s="72" t="str">
        <f>IFERROR(VLOOKUP(B68,Tabla_Lista_de_productoss[],5,0),"")</f>
        <v/>
      </c>
      <c r="E68" s="73"/>
      <c r="F68" s="74"/>
      <c r="G68" s="74"/>
      <c r="H68" s="74"/>
      <c r="I68" s="75" t="str">
        <f t="shared" si="0"/>
        <v>0.00</v>
      </c>
      <c r="J68" s="76"/>
      <c r="K68" s="77"/>
      <c r="L68" s="77"/>
      <c r="M68" s="77"/>
      <c r="N68" s="106" t="str">
        <f>IFERROR(VLOOKUP(B68,'Lista de Productos'!A:D,4,FALSE)," ")</f>
        <v xml:space="preserve"> </v>
      </c>
      <c r="O68" s="71" t="str">
        <f>IFERROR(VLOOKUP(B68,'Lista de Productos'!A:C,3,FALSE)," ")</f>
        <v xml:space="preserve"> </v>
      </c>
      <c r="P68" s="78"/>
    </row>
    <row r="69" spans="1:16" s="48" customFormat="1" ht="13.15" customHeight="1" x14ac:dyDescent="0.25">
      <c r="A69" s="69">
        <v>45</v>
      </c>
      <c r="B69" s="70"/>
      <c r="C69" s="71" t="str">
        <f>IFERROR(VLOOKUP(B69,'Lista de Productos'!A:B,2,FALSE)," ")</f>
        <v xml:space="preserve"> </v>
      </c>
      <c r="D69" s="72" t="str">
        <f>IFERROR(VLOOKUP(B69,Tabla_Lista_de_productoss[],5,0),"")</f>
        <v/>
      </c>
      <c r="E69" s="73"/>
      <c r="F69" s="74"/>
      <c r="G69" s="74"/>
      <c r="H69" s="74"/>
      <c r="I69" s="75" t="str">
        <f t="shared" si="0"/>
        <v>0.00</v>
      </c>
      <c r="J69" s="76"/>
      <c r="K69" s="77"/>
      <c r="L69" s="77"/>
      <c r="M69" s="77"/>
      <c r="N69" s="106" t="str">
        <f>IFERROR(VLOOKUP(B69,'Lista de Productos'!A:D,4,FALSE)," ")</f>
        <v xml:space="preserve"> </v>
      </c>
      <c r="O69" s="71" t="str">
        <f>IFERROR(VLOOKUP(B69,'Lista de Productos'!A:C,3,FALSE)," ")</f>
        <v xml:space="preserve"> </v>
      </c>
      <c r="P69" s="78"/>
    </row>
    <row r="70" spans="1:16" s="48" customFormat="1" ht="13.15" customHeight="1" x14ac:dyDescent="0.25">
      <c r="A70" s="69">
        <v>46</v>
      </c>
      <c r="B70" s="70"/>
      <c r="C70" s="71" t="str">
        <f>IFERROR(VLOOKUP(B70,'Lista de Productos'!A:B,2,FALSE)," ")</f>
        <v xml:space="preserve"> </v>
      </c>
      <c r="D70" s="72" t="str">
        <f>IFERROR(VLOOKUP(B70,Tabla_Lista_de_productoss[],5,0),"")</f>
        <v/>
      </c>
      <c r="E70" s="73"/>
      <c r="F70" s="74"/>
      <c r="G70" s="74"/>
      <c r="H70" s="74"/>
      <c r="I70" s="75" t="str">
        <f t="shared" si="0"/>
        <v>0.00</v>
      </c>
      <c r="J70" s="76"/>
      <c r="K70" s="77"/>
      <c r="L70" s="77"/>
      <c r="M70" s="77"/>
      <c r="N70" s="106" t="str">
        <f>IFERROR(VLOOKUP(B70,'Lista de Productos'!A:D,4,FALSE)," ")</f>
        <v xml:space="preserve"> </v>
      </c>
      <c r="O70" s="71" t="str">
        <f>IFERROR(VLOOKUP(B70,'Lista de Productos'!A:C,3,FALSE)," ")</f>
        <v xml:space="preserve"> </v>
      </c>
      <c r="P70" s="78"/>
    </row>
    <row r="71" spans="1:16" s="48" customFormat="1" ht="13.15" customHeight="1" x14ac:dyDescent="0.25">
      <c r="A71" s="69">
        <v>47</v>
      </c>
      <c r="B71" s="70"/>
      <c r="C71" s="71" t="str">
        <f>IFERROR(VLOOKUP(B71,'Lista de Productos'!A:B,2,FALSE)," ")</f>
        <v xml:space="preserve"> </v>
      </c>
      <c r="D71" s="72" t="str">
        <f>IFERROR(VLOOKUP(B71,Tabla_Lista_de_productoss[],5,0),"")</f>
        <v/>
      </c>
      <c r="E71" s="73"/>
      <c r="F71" s="74"/>
      <c r="G71" s="74"/>
      <c r="H71" s="74"/>
      <c r="I71" s="75" t="str">
        <f t="shared" si="0"/>
        <v>0.00</v>
      </c>
      <c r="J71" s="76"/>
      <c r="K71" s="77"/>
      <c r="L71" s="77"/>
      <c r="M71" s="77"/>
      <c r="N71" s="106" t="str">
        <f>IFERROR(VLOOKUP(B71,'Lista de Productos'!A:D,4,FALSE)," ")</f>
        <v xml:space="preserve"> </v>
      </c>
      <c r="O71" s="71" t="str">
        <f>IFERROR(VLOOKUP(B71,'Lista de Productos'!A:C,3,FALSE)," ")</f>
        <v xml:space="preserve"> </v>
      </c>
      <c r="P71" s="78"/>
    </row>
    <row r="72" spans="1:16" s="48" customFormat="1" ht="13.15" customHeight="1" x14ac:dyDescent="0.25">
      <c r="A72" s="69">
        <v>48</v>
      </c>
      <c r="B72" s="70"/>
      <c r="C72" s="71" t="str">
        <f>IFERROR(VLOOKUP(B72,'Lista de Productos'!A:B,2,FALSE)," ")</f>
        <v xml:space="preserve"> </v>
      </c>
      <c r="D72" s="72" t="str">
        <f>IFERROR(VLOOKUP(B72,Tabla_Lista_de_productoss[],5,0),"")</f>
        <v/>
      </c>
      <c r="E72" s="73"/>
      <c r="F72" s="74"/>
      <c r="G72" s="74"/>
      <c r="H72" s="74"/>
      <c r="I72" s="75" t="str">
        <f t="shared" si="0"/>
        <v>0.00</v>
      </c>
      <c r="J72" s="76"/>
      <c r="K72" s="77"/>
      <c r="L72" s="77"/>
      <c r="M72" s="77"/>
      <c r="N72" s="106" t="str">
        <f>IFERROR(VLOOKUP(B72,'Lista de Productos'!A:D,4,FALSE)," ")</f>
        <v xml:space="preserve"> </v>
      </c>
      <c r="O72" s="71" t="str">
        <f>IFERROR(VLOOKUP(B72,'Lista de Productos'!A:C,3,FALSE)," ")</f>
        <v xml:space="preserve"> </v>
      </c>
      <c r="P72" s="78"/>
    </row>
    <row r="73" spans="1:16" s="48" customFormat="1" ht="13.15" customHeight="1" x14ac:dyDescent="0.25">
      <c r="A73" s="69">
        <v>49</v>
      </c>
      <c r="B73" s="70"/>
      <c r="C73" s="71" t="str">
        <f>IFERROR(VLOOKUP(B73,'Lista de Productos'!A:B,2,FALSE)," ")</f>
        <v xml:space="preserve"> </v>
      </c>
      <c r="D73" s="72" t="str">
        <f>IFERROR(VLOOKUP(B73,Tabla_Lista_de_productoss[],5,0),"")</f>
        <v/>
      </c>
      <c r="E73" s="73"/>
      <c r="F73" s="74"/>
      <c r="G73" s="74"/>
      <c r="H73" s="74"/>
      <c r="I73" s="75" t="str">
        <f t="shared" si="0"/>
        <v>0.00</v>
      </c>
      <c r="J73" s="76"/>
      <c r="K73" s="77"/>
      <c r="L73" s="77"/>
      <c r="M73" s="77"/>
      <c r="N73" s="106" t="str">
        <f>IFERROR(VLOOKUP(B73,'Lista de Productos'!A:D,4,FALSE)," ")</f>
        <v xml:space="preserve"> </v>
      </c>
      <c r="O73" s="71" t="str">
        <f>IFERROR(VLOOKUP(B73,'Lista de Productos'!A:C,3,FALSE)," ")</f>
        <v xml:space="preserve"> </v>
      </c>
      <c r="P73" s="78"/>
    </row>
    <row r="74" spans="1:16" s="48" customFormat="1" ht="13.15" customHeight="1" x14ac:dyDescent="0.25">
      <c r="A74" s="69">
        <v>50</v>
      </c>
      <c r="B74" s="70"/>
      <c r="C74" s="71" t="str">
        <f>IFERROR(VLOOKUP(B74,'Lista de Productos'!A:B,2,FALSE)," ")</f>
        <v xml:space="preserve"> </v>
      </c>
      <c r="D74" s="72" t="str">
        <f>IFERROR(VLOOKUP(B74,Tabla_Lista_de_productoss[],5,0),"")</f>
        <v/>
      </c>
      <c r="E74" s="73"/>
      <c r="F74" s="74"/>
      <c r="G74" s="74"/>
      <c r="H74" s="74"/>
      <c r="I74" s="75" t="str">
        <f t="shared" si="0"/>
        <v>0.00</v>
      </c>
      <c r="J74" s="76"/>
      <c r="K74" s="77"/>
      <c r="L74" s="77"/>
      <c r="M74" s="77"/>
      <c r="N74" s="106" t="str">
        <f>IFERROR(VLOOKUP(B74,'Lista de Productos'!A:D,4,FALSE)," ")</f>
        <v xml:space="preserve"> </v>
      </c>
      <c r="O74" s="71" t="str">
        <f>IFERROR(VLOOKUP(B74,'Lista de Productos'!A:C,3,FALSE)," ")</f>
        <v xml:space="preserve"> </v>
      </c>
      <c r="P74" s="78"/>
    </row>
    <row r="75" spans="1:16" s="48" customFormat="1" ht="13.15" customHeight="1" x14ac:dyDescent="0.25">
      <c r="A75" s="69">
        <v>51</v>
      </c>
      <c r="B75" s="70"/>
      <c r="C75" s="71" t="str">
        <f>IFERROR(VLOOKUP(B75,'Lista de Productos'!A:B,2,FALSE)," ")</f>
        <v xml:space="preserve"> </v>
      </c>
      <c r="D75" s="72" t="str">
        <f>IFERROR(VLOOKUP(B75,Tabla_Lista_de_productoss[],5,0),"")</f>
        <v/>
      </c>
      <c r="E75" s="73"/>
      <c r="F75" s="74"/>
      <c r="G75" s="74"/>
      <c r="H75" s="74"/>
      <c r="I75" s="75" t="str">
        <f t="shared" si="0"/>
        <v>0.00</v>
      </c>
      <c r="J75" s="76"/>
      <c r="K75" s="77"/>
      <c r="L75" s="77"/>
      <c r="M75" s="77"/>
      <c r="N75" s="106" t="str">
        <f>IFERROR(VLOOKUP(B75,'Lista de Productos'!A:D,4,FALSE)," ")</f>
        <v xml:space="preserve"> </v>
      </c>
      <c r="O75" s="71" t="str">
        <f>IFERROR(VLOOKUP(B75,'Lista de Productos'!A:C,3,FALSE)," ")</f>
        <v xml:space="preserve"> </v>
      </c>
      <c r="P75" s="78"/>
    </row>
    <row r="76" spans="1:16" s="48" customFormat="1" ht="13.15" customHeight="1" x14ac:dyDescent="0.25">
      <c r="A76" s="69">
        <v>52</v>
      </c>
      <c r="B76" s="70"/>
      <c r="C76" s="71" t="str">
        <f>IFERROR(VLOOKUP(B76,'Lista de Productos'!A:B,2,FALSE)," ")</f>
        <v xml:space="preserve"> </v>
      </c>
      <c r="D76" s="72" t="str">
        <f>IFERROR(VLOOKUP(B76,Tabla_Lista_de_productoss[],5,0),"")</f>
        <v/>
      </c>
      <c r="E76" s="73"/>
      <c r="F76" s="74"/>
      <c r="G76" s="74"/>
      <c r="H76" s="74"/>
      <c r="I76" s="75" t="str">
        <f t="shared" si="0"/>
        <v>0.00</v>
      </c>
      <c r="J76" s="76"/>
      <c r="K76" s="77"/>
      <c r="L76" s="77"/>
      <c r="M76" s="77"/>
      <c r="N76" s="106" t="str">
        <f>IFERROR(VLOOKUP(B76,'Lista de Productos'!A:D,4,FALSE)," ")</f>
        <v xml:space="preserve"> </v>
      </c>
      <c r="O76" s="71" t="str">
        <f>IFERROR(VLOOKUP(B76,'Lista de Productos'!A:C,3,FALSE)," ")</f>
        <v xml:space="preserve"> </v>
      </c>
      <c r="P76" s="78"/>
    </row>
    <row r="77" spans="1:16" s="48" customFormat="1" ht="13.15" customHeight="1" x14ac:dyDescent="0.25">
      <c r="A77" s="69">
        <v>53</v>
      </c>
      <c r="B77" s="70"/>
      <c r="C77" s="71" t="str">
        <f>IFERROR(VLOOKUP(B77,'Lista de Productos'!A:B,2,FALSE)," ")</f>
        <v xml:space="preserve"> </v>
      </c>
      <c r="D77" s="72" t="str">
        <f>IFERROR(VLOOKUP(B77,Tabla_Lista_de_productoss[],5,0),"")</f>
        <v/>
      </c>
      <c r="E77" s="73"/>
      <c r="F77" s="74"/>
      <c r="G77" s="74"/>
      <c r="H77" s="74"/>
      <c r="I77" s="75" t="str">
        <f t="shared" si="0"/>
        <v>0.00</v>
      </c>
      <c r="J77" s="76"/>
      <c r="K77" s="77"/>
      <c r="L77" s="77"/>
      <c r="M77" s="77"/>
      <c r="N77" s="106" t="str">
        <f>IFERROR(VLOOKUP(B77,'Lista de Productos'!A:D,4,FALSE)," ")</f>
        <v xml:space="preserve"> </v>
      </c>
      <c r="O77" s="71" t="str">
        <f>IFERROR(VLOOKUP(B77,'Lista de Productos'!A:C,3,FALSE)," ")</f>
        <v xml:space="preserve"> </v>
      </c>
      <c r="P77" s="78"/>
    </row>
    <row r="78" spans="1:16" s="48" customFormat="1" ht="13.15" customHeight="1" x14ac:dyDescent="0.25">
      <c r="A78" s="69">
        <v>54</v>
      </c>
      <c r="B78" s="70"/>
      <c r="C78" s="71" t="str">
        <f>IFERROR(VLOOKUP(B78,'Lista de Productos'!A:B,2,FALSE)," ")</f>
        <v xml:space="preserve"> </v>
      </c>
      <c r="D78" s="72" t="str">
        <f>IFERROR(VLOOKUP(B78,Tabla_Lista_de_productoss[],5,0),"")</f>
        <v/>
      </c>
      <c r="E78" s="73"/>
      <c r="F78" s="74"/>
      <c r="G78" s="74"/>
      <c r="H78" s="74"/>
      <c r="I78" s="75" t="str">
        <f t="shared" si="0"/>
        <v>0.00</v>
      </c>
      <c r="J78" s="76"/>
      <c r="K78" s="77"/>
      <c r="L78" s="77"/>
      <c r="M78" s="77"/>
      <c r="N78" s="106" t="str">
        <f>IFERROR(VLOOKUP(B78,'Lista de Productos'!A:D,4,FALSE)," ")</f>
        <v xml:space="preserve"> </v>
      </c>
      <c r="O78" s="71" t="str">
        <f>IFERROR(VLOOKUP(B78,'Lista de Productos'!A:C,3,FALSE)," ")</f>
        <v xml:space="preserve"> </v>
      </c>
      <c r="P78" s="78"/>
    </row>
    <row r="79" spans="1:16" s="48" customFormat="1" ht="13.15" customHeight="1" x14ac:dyDescent="0.25">
      <c r="A79" s="69">
        <v>55</v>
      </c>
      <c r="B79" s="70"/>
      <c r="C79" s="71" t="str">
        <f>IFERROR(VLOOKUP(B79,'Lista de Productos'!A:B,2,FALSE)," ")</f>
        <v xml:space="preserve"> </v>
      </c>
      <c r="D79" s="72" t="str">
        <f>IFERROR(VLOOKUP(B79,Tabla_Lista_de_productoss[],5,0),"")</f>
        <v/>
      </c>
      <c r="E79" s="73"/>
      <c r="F79" s="74"/>
      <c r="G79" s="74"/>
      <c r="H79" s="74"/>
      <c r="I79" s="75" t="str">
        <f t="shared" si="0"/>
        <v>0.00</v>
      </c>
      <c r="J79" s="76"/>
      <c r="K79" s="77"/>
      <c r="L79" s="77"/>
      <c r="M79" s="77"/>
      <c r="N79" s="106" t="str">
        <f>IFERROR(VLOOKUP(B79,'Lista de Productos'!A:D,4,FALSE)," ")</f>
        <v xml:space="preserve"> </v>
      </c>
      <c r="O79" s="71" t="str">
        <f>IFERROR(VLOOKUP(B79,'Lista de Productos'!A:C,3,FALSE)," ")</f>
        <v xml:space="preserve"> </v>
      </c>
      <c r="P79" s="78"/>
    </row>
    <row r="80" spans="1:16" s="48" customFormat="1" ht="13.15" customHeight="1" x14ac:dyDescent="0.25">
      <c r="A80" s="69">
        <v>56</v>
      </c>
      <c r="B80" s="70"/>
      <c r="C80" s="71" t="str">
        <f>IFERROR(VLOOKUP(B80,'Lista de Productos'!A:B,2,FALSE)," ")</f>
        <v xml:space="preserve"> </v>
      </c>
      <c r="D80" s="72" t="str">
        <f>IFERROR(VLOOKUP(B80,Tabla_Lista_de_productoss[],5,0),"")</f>
        <v/>
      </c>
      <c r="E80" s="73"/>
      <c r="F80" s="74"/>
      <c r="G80" s="74"/>
      <c r="H80" s="74"/>
      <c r="I80" s="75" t="str">
        <f t="shared" si="0"/>
        <v>0.00</v>
      </c>
      <c r="J80" s="76" t="str">
        <f t="shared" si="1"/>
        <v xml:space="preserve"> </v>
      </c>
      <c r="K80" s="77" t="str">
        <f t="shared" si="5"/>
        <v xml:space="preserve"> </v>
      </c>
      <c r="L80" s="77" t="str">
        <f t="shared" si="6"/>
        <v xml:space="preserve"> </v>
      </c>
      <c r="M80" s="77" t="str">
        <f t="shared" si="7"/>
        <v xml:space="preserve"> </v>
      </c>
      <c r="N80" s="106" t="str">
        <f>IFERROR(VLOOKUP(B80,'Lista de Productos'!A:D,4,FALSE)," ")</f>
        <v xml:space="preserve"> </v>
      </c>
      <c r="O80" s="71" t="str">
        <f>IFERROR(VLOOKUP(B80,'Lista de Productos'!A:C,3,FALSE)," ")</f>
        <v xml:space="preserve"> </v>
      </c>
      <c r="P80" s="78"/>
    </row>
    <row r="81" spans="1:16" s="48" customFormat="1" ht="13.15" customHeight="1" x14ac:dyDescent="0.25">
      <c r="A81" s="69">
        <v>57</v>
      </c>
      <c r="B81" s="70"/>
      <c r="C81" s="71" t="str">
        <f>IFERROR(VLOOKUP(B81,'Lista de Productos'!A:B,2,FALSE)," ")</f>
        <v xml:space="preserve"> </v>
      </c>
      <c r="D81" s="72" t="str">
        <f>IFERROR(VLOOKUP(B81,Tabla_Lista_de_productoss[],5,0),"")</f>
        <v/>
      </c>
      <c r="E81" s="73"/>
      <c r="F81" s="74"/>
      <c r="G81" s="74"/>
      <c r="H81" s="74"/>
      <c r="I81" s="75" t="str">
        <f t="shared" si="0"/>
        <v>0.00</v>
      </c>
      <c r="J81" s="76"/>
      <c r="K81" s="77"/>
      <c r="L81" s="77"/>
      <c r="M81" s="77"/>
      <c r="N81" s="106" t="str">
        <f>IFERROR(VLOOKUP(B81,'Lista de Productos'!A:D,4,FALSE)," ")</f>
        <v xml:space="preserve"> </v>
      </c>
      <c r="O81" s="71" t="str">
        <f>IFERROR(VLOOKUP(B81,'Lista de Productos'!A:C,3,FALSE)," ")</f>
        <v xml:space="preserve"> </v>
      </c>
      <c r="P81" s="78"/>
    </row>
    <row r="82" spans="1:16" s="48" customFormat="1" ht="13.15" customHeight="1" x14ac:dyDescent="0.25">
      <c r="A82" s="69">
        <v>58</v>
      </c>
      <c r="B82" s="70"/>
      <c r="C82" s="71" t="str">
        <f>IFERROR(VLOOKUP(B82,'Lista de Productos'!A:B,2,FALSE)," ")</f>
        <v xml:space="preserve"> </v>
      </c>
      <c r="D82" s="72" t="str">
        <f>IFERROR(VLOOKUP(B82,Tabla_Lista_de_productoss[],5,0),"")</f>
        <v/>
      </c>
      <c r="E82" s="73"/>
      <c r="F82" s="74"/>
      <c r="G82" s="74"/>
      <c r="H82" s="74"/>
      <c r="I82" s="75" t="str">
        <f t="shared" si="0"/>
        <v>0.00</v>
      </c>
      <c r="J82" s="76"/>
      <c r="K82" s="77"/>
      <c r="L82" s="77"/>
      <c r="M82" s="77"/>
      <c r="N82" s="106" t="str">
        <f>IFERROR(VLOOKUP(B82,'Lista de Productos'!A:D,4,FALSE)," ")</f>
        <v xml:space="preserve"> </v>
      </c>
      <c r="O82" s="71" t="str">
        <f>IFERROR(VLOOKUP(B82,'Lista de Productos'!A:C,3,FALSE)," ")</f>
        <v xml:space="preserve"> </v>
      </c>
      <c r="P82" s="78"/>
    </row>
    <row r="83" spans="1:16" s="48" customFormat="1" ht="13.15" customHeight="1" x14ac:dyDescent="0.25">
      <c r="A83" s="69">
        <v>59</v>
      </c>
      <c r="B83" s="70"/>
      <c r="C83" s="71" t="str">
        <f>IFERROR(VLOOKUP(B83,'Lista de Productos'!A:B,2,FALSE)," ")</f>
        <v xml:space="preserve"> </v>
      </c>
      <c r="D83" s="72" t="str">
        <f>IFERROR(VLOOKUP(B83,Tabla_Lista_de_productoss[],5,0),"")</f>
        <v/>
      </c>
      <c r="E83" s="73"/>
      <c r="F83" s="74"/>
      <c r="G83" s="74"/>
      <c r="H83" s="74"/>
      <c r="I83" s="75" t="str">
        <f t="shared" si="0"/>
        <v>0.00</v>
      </c>
      <c r="J83" s="76"/>
      <c r="K83" s="77"/>
      <c r="L83" s="77"/>
      <c r="M83" s="77"/>
      <c r="N83" s="106" t="str">
        <f>IFERROR(VLOOKUP(B83,'Lista de Productos'!A:D,4,FALSE)," ")</f>
        <v xml:space="preserve"> </v>
      </c>
      <c r="O83" s="71" t="str">
        <f>IFERROR(VLOOKUP(B83,'Lista de Productos'!A:C,3,FALSE)," ")</f>
        <v xml:space="preserve"> </v>
      </c>
      <c r="P83" s="78"/>
    </row>
    <row r="84" spans="1:16" s="48" customFormat="1" ht="13.15" customHeight="1" x14ac:dyDescent="0.25">
      <c r="A84" s="69">
        <v>60</v>
      </c>
      <c r="B84" s="70"/>
      <c r="C84" s="71" t="str">
        <f>IFERROR(VLOOKUP(B84,'Lista de Productos'!A:B,2,FALSE)," ")</f>
        <v xml:space="preserve"> </v>
      </c>
      <c r="D84" s="72" t="str">
        <f>IFERROR(VLOOKUP(B84,Tabla_Lista_de_productoss[],5,0),"")</f>
        <v/>
      </c>
      <c r="E84" s="73"/>
      <c r="F84" s="74"/>
      <c r="G84" s="74"/>
      <c r="H84" s="74"/>
      <c r="I84" s="75" t="str">
        <f t="shared" si="0"/>
        <v>0.00</v>
      </c>
      <c r="J84" s="76"/>
      <c r="K84" s="77"/>
      <c r="L84" s="77"/>
      <c r="M84" s="77"/>
      <c r="N84" s="106" t="str">
        <f>IFERROR(VLOOKUP(B84,'Lista de Productos'!A:D,4,FALSE)," ")</f>
        <v xml:space="preserve"> </v>
      </c>
      <c r="O84" s="71" t="str">
        <f>IFERROR(VLOOKUP(B84,'Lista de Productos'!A:C,3,FALSE)," ")</f>
        <v xml:space="preserve"> </v>
      </c>
      <c r="P84" s="78"/>
    </row>
    <row r="85" spans="1:16" s="48" customFormat="1" ht="13.15" customHeight="1" x14ac:dyDescent="0.25">
      <c r="A85" s="69">
        <v>61</v>
      </c>
      <c r="B85" s="70"/>
      <c r="C85" s="71" t="str">
        <f>IFERROR(VLOOKUP(B85,'Lista de Productos'!A:B,2,FALSE)," ")</f>
        <v xml:space="preserve"> </v>
      </c>
      <c r="D85" s="72" t="str">
        <f>IFERROR(VLOOKUP(B85,Tabla_Lista_de_productoss[],5,0),"")</f>
        <v/>
      </c>
      <c r="E85" s="73"/>
      <c r="F85" s="74"/>
      <c r="G85" s="74"/>
      <c r="H85" s="74"/>
      <c r="I85" s="75" t="str">
        <f t="shared" si="0"/>
        <v>0.00</v>
      </c>
      <c r="J85" s="76"/>
      <c r="K85" s="77"/>
      <c r="L85" s="77"/>
      <c r="M85" s="77"/>
      <c r="N85" s="106" t="str">
        <f>IFERROR(VLOOKUP(B85,'Lista de Productos'!A:D,4,FALSE)," ")</f>
        <v xml:space="preserve"> </v>
      </c>
      <c r="O85" s="71" t="str">
        <f>IFERROR(VLOOKUP(B85,'Lista de Productos'!A:C,3,FALSE)," ")</f>
        <v xml:space="preserve"> </v>
      </c>
      <c r="P85" s="78"/>
    </row>
    <row r="86" spans="1:16" s="48" customFormat="1" ht="13.15" customHeight="1" x14ac:dyDescent="0.25">
      <c r="A86" s="69">
        <v>62</v>
      </c>
      <c r="B86" s="70"/>
      <c r="C86" s="71" t="str">
        <f>IFERROR(VLOOKUP(B86,'Lista de Productos'!A:B,2,FALSE)," ")</f>
        <v xml:space="preserve"> </v>
      </c>
      <c r="D86" s="72" t="str">
        <f>IFERROR(VLOOKUP(B86,Tabla_Lista_de_productoss[],5,0),"")</f>
        <v/>
      </c>
      <c r="E86" s="73"/>
      <c r="F86" s="74"/>
      <c r="G86" s="74"/>
      <c r="H86" s="74"/>
      <c r="I86" s="75" t="str">
        <f t="shared" si="0"/>
        <v>0.00</v>
      </c>
      <c r="J86" s="76"/>
      <c r="K86" s="77"/>
      <c r="L86" s="77"/>
      <c r="M86" s="77"/>
      <c r="N86" s="106" t="str">
        <f>IFERROR(VLOOKUP(B86,'Lista de Productos'!A:D,4,FALSE)," ")</f>
        <v xml:space="preserve"> </v>
      </c>
      <c r="O86" s="71" t="str">
        <f>IFERROR(VLOOKUP(B86,'Lista de Productos'!A:C,3,FALSE)," ")</f>
        <v xml:space="preserve"> </v>
      </c>
      <c r="P86" s="78"/>
    </row>
    <row r="87" spans="1:16" s="48" customFormat="1" ht="13.15" customHeight="1" x14ac:dyDescent="0.25">
      <c r="A87" s="69">
        <v>63</v>
      </c>
      <c r="B87" s="70"/>
      <c r="C87" s="71" t="str">
        <f>IFERROR(VLOOKUP(B87,'Lista de Productos'!A:B,2,FALSE)," ")</f>
        <v xml:space="preserve"> </v>
      </c>
      <c r="D87" s="72" t="str">
        <f>IFERROR(VLOOKUP(B87,Tabla_Lista_de_productoss[],5,0),"")</f>
        <v/>
      </c>
      <c r="E87" s="73"/>
      <c r="F87" s="74"/>
      <c r="G87" s="74"/>
      <c r="H87" s="74"/>
      <c r="I87" s="75" t="str">
        <f t="shared" si="0"/>
        <v>0.00</v>
      </c>
      <c r="J87" s="76"/>
      <c r="K87" s="77"/>
      <c r="L87" s="77"/>
      <c r="M87" s="77"/>
      <c r="N87" s="106" t="str">
        <f>IFERROR(VLOOKUP(B87,'Lista de Productos'!A:D,4,FALSE)," ")</f>
        <v xml:space="preserve"> </v>
      </c>
      <c r="O87" s="71" t="str">
        <f>IFERROR(VLOOKUP(B87,'Lista de Productos'!A:C,3,FALSE)," ")</f>
        <v xml:space="preserve"> </v>
      </c>
      <c r="P87" s="78"/>
    </row>
    <row r="88" spans="1:16" s="48" customFormat="1" ht="13.15" customHeight="1" x14ac:dyDescent="0.25">
      <c r="A88" s="69">
        <v>64</v>
      </c>
      <c r="B88" s="70"/>
      <c r="C88" s="71" t="str">
        <f>IFERROR(VLOOKUP(B88,'Lista de Productos'!A:B,2,FALSE)," ")</f>
        <v xml:space="preserve"> </v>
      </c>
      <c r="D88" s="72" t="str">
        <f>IFERROR(VLOOKUP(B88,Tabla_Lista_de_productoss[],5,0),"")</f>
        <v/>
      </c>
      <c r="E88" s="73"/>
      <c r="F88" s="74"/>
      <c r="G88" s="74"/>
      <c r="H88" s="74"/>
      <c r="I88" s="75" t="str">
        <f t="shared" si="0"/>
        <v>0.00</v>
      </c>
      <c r="J88" s="76" t="str">
        <f t="shared" si="1"/>
        <v xml:space="preserve"> </v>
      </c>
      <c r="K88" s="77" t="str">
        <f t="shared" si="5"/>
        <v xml:space="preserve"> </v>
      </c>
      <c r="L88" s="77" t="str">
        <f t="shared" si="6"/>
        <v xml:space="preserve"> </v>
      </c>
      <c r="M88" s="77" t="str">
        <f t="shared" si="7"/>
        <v xml:space="preserve"> </v>
      </c>
      <c r="N88" s="106" t="str">
        <f>IFERROR(VLOOKUP(B88,'Lista de Productos'!A:D,4,FALSE)," ")</f>
        <v xml:space="preserve"> </v>
      </c>
      <c r="O88" s="71" t="str">
        <f>IFERROR(VLOOKUP(B88,'Lista de Productos'!A:C,3,FALSE)," ")</f>
        <v xml:space="preserve"> </v>
      </c>
      <c r="P88" s="78"/>
    </row>
    <row r="89" spans="1:16" s="48" customFormat="1" ht="13.15" customHeight="1" x14ac:dyDescent="0.25">
      <c r="A89" s="69">
        <v>65</v>
      </c>
      <c r="B89" s="70"/>
      <c r="C89" s="71" t="str">
        <f>IFERROR(VLOOKUP(B89,'Lista de Productos'!A:B,2,FALSE)," ")</f>
        <v xml:space="preserve"> </v>
      </c>
      <c r="D89" s="72" t="str">
        <f>IFERROR(VLOOKUP(B89,Tabla_Lista_de_productoss[],5,0),"")</f>
        <v/>
      </c>
      <c r="E89" s="73"/>
      <c r="F89" s="74"/>
      <c r="G89" s="74"/>
      <c r="H89" s="74"/>
      <c r="I89" s="75" t="str">
        <f t="shared" si="0"/>
        <v>0.00</v>
      </c>
      <c r="J89" s="76" t="str">
        <f t="shared" si="1"/>
        <v xml:space="preserve"> </v>
      </c>
      <c r="K89" s="77" t="str">
        <f t="shared" si="5"/>
        <v xml:space="preserve"> </v>
      </c>
      <c r="L89" s="77" t="str">
        <f t="shared" si="6"/>
        <v xml:space="preserve"> </v>
      </c>
      <c r="M89" s="77" t="str">
        <f t="shared" si="7"/>
        <v xml:space="preserve"> </v>
      </c>
      <c r="N89" s="106" t="str">
        <f>IFERROR(VLOOKUP(B89,'Lista de Productos'!A:D,4,FALSE)," ")</f>
        <v xml:space="preserve"> </v>
      </c>
      <c r="O89" s="71" t="str">
        <f>IFERROR(VLOOKUP(B89,'Lista de Productos'!A:C,3,FALSE)," ")</f>
        <v xml:space="preserve"> </v>
      </c>
      <c r="P89" s="78"/>
    </row>
    <row r="90" spans="1:16" s="48" customFormat="1" ht="13.15" customHeight="1" x14ac:dyDescent="0.25">
      <c r="A90" s="69">
        <v>66</v>
      </c>
      <c r="B90" s="70"/>
      <c r="C90" s="71" t="str">
        <f>IFERROR(VLOOKUP(B90,'Lista de Productos'!A:B,2,FALSE)," ")</f>
        <v xml:space="preserve"> </v>
      </c>
      <c r="D90" s="72" t="str">
        <f>IFERROR(VLOOKUP(B90,Tabla_Lista_de_productoss[],5,0),"")</f>
        <v/>
      </c>
      <c r="E90" s="73"/>
      <c r="F90" s="74"/>
      <c r="G90" s="74"/>
      <c r="H90" s="74"/>
      <c r="I90" s="75" t="str">
        <f t="shared" si="0"/>
        <v>0.00</v>
      </c>
      <c r="J90" s="76" t="str">
        <f t="shared" si="1"/>
        <v xml:space="preserve"> </v>
      </c>
      <c r="K90" s="77" t="str">
        <f t="shared" si="5"/>
        <v xml:space="preserve"> </v>
      </c>
      <c r="L90" s="77" t="str">
        <f t="shared" si="6"/>
        <v xml:space="preserve"> </v>
      </c>
      <c r="M90" s="77" t="str">
        <f t="shared" si="7"/>
        <v xml:space="preserve"> </v>
      </c>
      <c r="N90" s="106" t="str">
        <f>IFERROR(VLOOKUP(B90,'Lista de Productos'!A:D,4,FALSE)," ")</f>
        <v xml:space="preserve"> </v>
      </c>
      <c r="O90" s="71" t="str">
        <f>IFERROR(VLOOKUP(B90,'Lista de Productos'!A:C,3,FALSE)," ")</f>
        <v xml:space="preserve"> </v>
      </c>
      <c r="P90" s="78"/>
    </row>
    <row r="91" spans="1:16" s="48" customFormat="1" ht="13.15" customHeight="1" x14ac:dyDescent="0.25">
      <c r="A91" s="69">
        <v>67</v>
      </c>
      <c r="B91" s="70"/>
      <c r="C91" s="71" t="str">
        <f>IFERROR(VLOOKUP(B91,'Lista de Productos'!A:B,2,FALSE)," ")</f>
        <v xml:space="preserve"> </v>
      </c>
      <c r="D91" s="72" t="str">
        <f>IFERROR(VLOOKUP(B91,Tabla_Lista_de_productoss[],5,0),"")</f>
        <v/>
      </c>
      <c r="E91" s="73"/>
      <c r="F91" s="74"/>
      <c r="G91" s="74"/>
      <c r="H91" s="74"/>
      <c r="I91" s="75" t="str">
        <f t="shared" si="0"/>
        <v>0.00</v>
      </c>
      <c r="J91" s="76" t="str">
        <f t="shared" si="1"/>
        <v xml:space="preserve"> </v>
      </c>
      <c r="K91" s="77" t="str">
        <f t="shared" si="5"/>
        <v xml:space="preserve"> </v>
      </c>
      <c r="L91" s="77" t="str">
        <f t="shared" si="6"/>
        <v xml:space="preserve"> </v>
      </c>
      <c r="M91" s="77" t="str">
        <f t="shared" si="7"/>
        <v xml:space="preserve"> </v>
      </c>
      <c r="N91" s="106" t="str">
        <f>IFERROR(VLOOKUP(B91,'Lista de Productos'!A:D,4,FALSE)," ")</f>
        <v xml:space="preserve"> </v>
      </c>
      <c r="O91" s="71" t="str">
        <f>IFERROR(VLOOKUP(B91,'Lista de Productos'!A:C,3,FALSE)," ")</f>
        <v xml:space="preserve"> </v>
      </c>
      <c r="P91" s="78"/>
    </row>
    <row r="92" spans="1:16" s="48" customFormat="1" ht="13.15" customHeight="1" x14ac:dyDescent="0.25">
      <c r="A92" s="69">
        <v>68</v>
      </c>
      <c r="B92" s="70"/>
      <c r="C92" s="71" t="str">
        <f>IFERROR(VLOOKUP(B92,'Lista de Productos'!A:B,2,FALSE)," ")</f>
        <v xml:space="preserve"> </v>
      </c>
      <c r="D92" s="72" t="str">
        <f>IFERROR(VLOOKUP(B92,Tabla_Lista_de_productoss[],5,0),"")</f>
        <v/>
      </c>
      <c r="E92" s="73"/>
      <c r="F92" s="74"/>
      <c r="G92" s="74"/>
      <c r="H92" s="74"/>
      <c r="I92" s="75" t="str">
        <f t="shared" si="0"/>
        <v>0.00</v>
      </c>
      <c r="J92" s="76" t="str">
        <f t="shared" si="1"/>
        <v xml:space="preserve"> </v>
      </c>
      <c r="K92" s="77" t="str">
        <f t="shared" si="5"/>
        <v xml:space="preserve"> </v>
      </c>
      <c r="L92" s="77" t="str">
        <f t="shared" si="6"/>
        <v xml:space="preserve"> </v>
      </c>
      <c r="M92" s="77" t="str">
        <f t="shared" si="7"/>
        <v xml:space="preserve"> </v>
      </c>
      <c r="N92" s="106" t="str">
        <f>IFERROR(VLOOKUP(B92,'Lista de Productos'!A:D,4,FALSE)," ")</f>
        <v xml:space="preserve"> </v>
      </c>
      <c r="O92" s="71" t="str">
        <f>IFERROR(VLOOKUP(B92,'Lista de Productos'!A:C,3,FALSE)," ")</f>
        <v xml:space="preserve"> </v>
      </c>
      <c r="P92" s="78"/>
    </row>
    <row r="93" spans="1:16" s="48" customFormat="1" ht="13.15" customHeight="1" x14ac:dyDescent="0.25">
      <c r="A93" s="69">
        <v>69</v>
      </c>
      <c r="B93" s="70"/>
      <c r="C93" s="71" t="str">
        <f>IFERROR(VLOOKUP(B93,'Lista de Productos'!A:B,2,FALSE)," ")</f>
        <v xml:space="preserve"> </v>
      </c>
      <c r="D93" s="72" t="str">
        <f>IFERROR(VLOOKUP(B93,Tabla_Lista_de_productoss[],5,0),"")</f>
        <v/>
      </c>
      <c r="E93" s="73"/>
      <c r="F93" s="74"/>
      <c r="G93" s="74"/>
      <c r="H93" s="74"/>
      <c r="I93" s="75" t="str">
        <f t="shared" si="0"/>
        <v>0.00</v>
      </c>
      <c r="J93" s="76" t="str">
        <f t="shared" si="1"/>
        <v xml:space="preserve"> </v>
      </c>
      <c r="K93" s="77" t="str">
        <f t="shared" si="5"/>
        <v xml:space="preserve"> </v>
      </c>
      <c r="L93" s="77" t="str">
        <f t="shared" si="6"/>
        <v xml:space="preserve"> </v>
      </c>
      <c r="M93" s="77" t="str">
        <f t="shared" si="7"/>
        <v xml:space="preserve"> </v>
      </c>
      <c r="N93" s="106" t="str">
        <f>IFERROR(VLOOKUP(B93,'Lista de Productos'!A:D,4,FALSE)," ")</f>
        <v xml:space="preserve"> </v>
      </c>
      <c r="O93" s="71" t="str">
        <f>IFERROR(VLOOKUP(B93,'Lista de Productos'!A:C,3,FALSE)," ")</f>
        <v xml:space="preserve"> </v>
      </c>
      <c r="P93" s="78"/>
    </row>
    <row r="94" spans="1:16" s="48" customFormat="1" ht="13.15" customHeight="1" x14ac:dyDescent="0.25">
      <c r="A94" s="69">
        <v>70</v>
      </c>
      <c r="B94" s="70"/>
      <c r="C94" s="71" t="str">
        <f>IFERROR(VLOOKUP(B94,'Lista de Productos'!A:B,2,FALSE)," ")</f>
        <v xml:space="preserve"> </v>
      </c>
      <c r="D94" s="72" t="str">
        <f>IFERROR(VLOOKUP(B94,Tabla_Lista_de_productoss[],5,0),"")</f>
        <v/>
      </c>
      <c r="E94" s="73"/>
      <c r="F94" s="74"/>
      <c r="G94" s="74"/>
      <c r="H94" s="74"/>
      <c r="I94" s="75" t="str">
        <f t="shared" si="0"/>
        <v>0.00</v>
      </c>
      <c r="J94" s="76" t="str">
        <f t="shared" si="1"/>
        <v xml:space="preserve"> </v>
      </c>
      <c r="K94" s="77" t="str">
        <f t="shared" si="5"/>
        <v xml:space="preserve"> </v>
      </c>
      <c r="L94" s="77" t="str">
        <f t="shared" si="6"/>
        <v xml:space="preserve"> </v>
      </c>
      <c r="M94" s="77" t="str">
        <f t="shared" si="7"/>
        <v xml:space="preserve"> </v>
      </c>
      <c r="N94" s="106" t="str">
        <f>IFERROR(VLOOKUP(B94,'Lista de Productos'!A:D,4,FALSE)," ")</f>
        <v xml:space="preserve"> </v>
      </c>
      <c r="O94" s="71" t="str">
        <f>IFERROR(VLOOKUP(B94,'Lista de Productos'!A:C,3,FALSE)," ")</f>
        <v xml:space="preserve"> </v>
      </c>
      <c r="P94" s="78"/>
    </row>
    <row r="95" spans="1:16" ht="11.25" customHeight="1" x14ac:dyDescent="0.25">
      <c r="B95" s="70"/>
    </row>
    <row r="96" spans="1:16" ht="12" customHeight="1" thickBot="1" x14ac:dyDescent="0.3">
      <c r="B96" s="131" t="s">
        <v>40</v>
      </c>
      <c r="C96" s="131"/>
      <c r="D96" s="131"/>
      <c r="F96" s="79" t="s">
        <v>41</v>
      </c>
      <c r="G96" s="80"/>
      <c r="H96" s="80"/>
      <c r="I96" s="80"/>
      <c r="J96" s="81">
        <f>+SUM(K25:K94)</f>
        <v>0</v>
      </c>
      <c r="O96" s="82"/>
      <c r="P96" s="83"/>
    </row>
    <row r="97" spans="1:16" ht="21.6" customHeight="1" thickBot="1" x14ac:dyDescent="0.3">
      <c r="B97" s="84" t="s">
        <v>26</v>
      </c>
      <c r="C97" s="85" t="s">
        <v>27</v>
      </c>
      <c r="D97" s="86" t="s">
        <v>29</v>
      </c>
      <c r="F97" s="87" t="s">
        <v>42</v>
      </c>
      <c r="G97" s="88"/>
      <c r="H97" s="88"/>
      <c r="I97" s="88"/>
      <c r="J97" s="89">
        <f>+SUM(L25:L94)</f>
        <v>0</v>
      </c>
      <c r="O97" s="90" t="s">
        <v>37</v>
      </c>
      <c r="P97" s="91"/>
    </row>
    <row r="98" spans="1:16" ht="11.45" customHeight="1" thickBot="1" x14ac:dyDescent="0.3">
      <c r="B98" s="92"/>
      <c r="C98" s="71"/>
      <c r="D98" s="93" t="s">
        <v>43</v>
      </c>
      <c r="F98" s="87" t="s">
        <v>44</v>
      </c>
      <c r="G98" s="88"/>
      <c r="H98" s="88"/>
      <c r="I98" s="94" t="str">
        <f>IFERROR((J98/(J96-J97)),"")</f>
        <v/>
      </c>
      <c r="J98" s="89">
        <f>+SUM(M25:M94)</f>
        <v>0</v>
      </c>
      <c r="O98" s="95" t="s">
        <v>45</v>
      </c>
      <c r="P98" s="96" t="s">
        <v>46</v>
      </c>
    </row>
    <row r="99" spans="1:16" ht="11.45" customHeight="1" x14ac:dyDescent="0.25">
      <c r="B99" s="92"/>
      <c r="C99" s="71"/>
      <c r="D99" s="93" t="s">
        <v>43</v>
      </c>
      <c r="F99" s="132" t="s">
        <v>47</v>
      </c>
      <c r="G99" s="133"/>
      <c r="H99" s="133"/>
      <c r="I99" s="133"/>
      <c r="J99" s="97">
        <f>SUM(J25:J94)</f>
        <v>0</v>
      </c>
      <c r="O99" s="111" t="s">
        <v>6759</v>
      </c>
      <c r="P99" s="98" t="s">
        <v>6761</v>
      </c>
    </row>
    <row r="100" spans="1:16" ht="11.45" customHeight="1" x14ac:dyDescent="0.25">
      <c r="B100" s="92"/>
      <c r="C100" s="71"/>
      <c r="D100" s="93" t="s">
        <v>43</v>
      </c>
      <c r="F100" s="134" t="s">
        <v>48</v>
      </c>
      <c r="G100" s="135"/>
      <c r="H100" s="135"/>
      <c r="I100" s="135"/>
      <c r="J100" s="99">
        <f>J99*0.18</f>
        <v>0</v>
      </c>
      <c r="O100" s="100" t="s">
        <v>49</v>
      </c>
      <c r="P100" s="98" t="s">
        <v>6762</v>
      </c>
    </row>
    <row r="101" spans="1:16" ht="12" customHeight="1" thickBot="1" x14ac:dyDescent="0.3">
      <c r="B101" s="92"/>
      <c r="C101" s="71"/>
      <c r="D101" s="93" t="s">
        <v>43</v>
      </c>
      <c r="F101" s="136" t="s">
        <v>50</v>
      </c>
      <c r="G101" s="137"/>
      <c r="H101" s="137"/>
      <c r="I101" s="137"/>
      <c r="J101" s="101">
        <f>+J99+J100</f>
        <v>0</v>
      </c>
      <c r="O101" s="112" t="s">
        <v>6760</v>
      </c>
      <c r="P101" s="98" t="s">
        <v>6763</v>
      </c>
    </row>
    <row r="102" spans="1:16" ht="12" customHeight="1" thickBot="1" x14ac:dyDescent="0.3">
      <c r="O102" s="113" t="s">
        <v>51</v>
      </c>
      <c r="P102" s="114" t="s">
        <v>6764</v>
      </c>
    </row>
    <row r="103" spans="1:16" ht="14.45" customHeight="1" thickBot="1" x14ac:dyDescent="0.3">
      <c r="B103" s="138" t="s">
        <v>52</v>
      </c>
      <c r="C103" s="138"/>
      <c r="D103" s="138"/>
      <c r="F103" s="139" t="s">
        <v>53</v>
      </c>
      <c r="G103" s="140" t="s">
        <v>54</v>
      </c>
      <c r="H103" s="140"/>
      <c r="I103" s="140"/>
      <c r="J103" s="102">
        <v>0</v>
      </c>
      <c r="O103" s="125" t="s">
        <v>55</v>
      </c>
      <c r="P103" s="126"/>
    </row>
    <row r="104" spans="1:16" ht="15" customHeight="1" x14ac:dyDescent="0.25">
      <c r="A104" s="127" t="s">
        <v>56</v>
      </c>
      <c r="B104" s="127"/>
      <c r="C104" s="127"/>
      <c r="D104" s="127"/>
      <c r="F104" s="128" t="s">
        <v>57</v>
      </c>
      <c r="G104" s="129" t="s">
        <v>54</v>
      </c>
      <c r="H104" s="129"/>
      <c r="I104" s="129"/>
      <c r="J104" s="109">
        <f>J101-J103</f>
        <v>0</v>
      </c>
      <c r="O104" s="82"/>
      <c r="P104" s="83"/>
    </row>
    <row r="105" spans="1:16" ht="12" hidden="1" x14ac:dyDescent="0.25">
      <c r="A105" s="103" t="s">
        <v>58</v>
      </c>
    </row>
    <row r="106" spans="1:16" ht="12" hidden="1" x14ac:dyDescent="0.25">
      <c r="A106" s="104"/>
    </row>
  </sheetData>
  <sheetProtection formatCells="0" formatColumns="0" insertColumns="0"/>
  <mergeCells count="10">
    <mergeCell ref="O103:P103"/>
    <mergeCell ref="A104:D104"/>
    <mergeCell ref="F104:I104"/>
    <mergeCell ref="D12:D13"/>
    <mergeCell ref="B96:D96"/>
    <mergeCell ref="F99:I99"/>
    <mergeCell ref="F100:I100"/>
    <mergeCell ref="F101:I101"/>
    <mergeCell ref="B103:D103"/>
    <mergeCell ref="F103:I103"/>
  </mergeCells>
  <conditionalFormatting sqref="N25:N94">
    <cfRule type="containsText" dxfId="18" priority="1" operator="containsText" text="Azul">
      <formula>NOT(ISERROR(SEARCH("Azul",N25)))</formula>
    </cfRule>
    <cfRule type="containsText" dxfId="17" priority="2" operator="containsText" text="Morado">
      <formula>NOT(ISERROR(SEARCH("Morado",N25)))</formula>
    </cfRule>
    <cfRule type="containsText" dxfId="16" priority="3" operator="containsText" text="verde">
      <formula>NOT(ISERROR(SEARCH("verde",N25)))</formula>
    </cfRule>
    <cfRule type="containsText" dxfId="15" priority="4" operator="containsText" text="amarillo">
      <formula>NOT(ISERROR(SEARCH("amarillo",N25)))</formula>
    </cfRule>
    <cfRule type="containsText" dxfId="14" priority="6" operator="containsText" text="rojo">
      <formula>NOT(ISERROR(SEARCH("rojo",N25)))</formula>
    </cfRule>
  </conditionalFormatting>
  <pageMargins left="0.7" right="0.7" top="0.75" bottom="0.75" header="0.3" footer="0.3"/>
  <pageSetup paperSize="9" scale="5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2CDC-A52F-4B93-9024-DA4319AE1CEB}">
  <dimension ref="A1:F339"/>
  <sheetViews>
    <sheetView zoomScale="80" zoomScaleNormal="80" workbookViewId="0">
      <selection activeCell="G9" sqref="G9"/>
    </sheetView>
  </sheetViews>
  <sheetFormatPr baseColWidth="10" defaultColWidth="11.42578125" defaultRowHeight="15" x14ac:dyDescent="0.25"/>
  <cols>
    <col min="1" max="1" width="21.7109375" bestFit="1" customWidth="1"/>
    <col min="2" max="2" width="72.7109375" bestFit="1" customWidth="1"/>
    <col min="3" max="3" width="16.7109375" bestFit="1" customWidth="1"/>
    <col min="4" max="4" width="14.7109375" bestFit="1" customWidth="1"/>
    <col min="5" max="5" width="11.28515625" bestFit="1" customWidth="1"/>
    <col min="6" max="6" width="17.28515625" bestFit="1" customWidth="1"/>
    <col min="7" max="9" width="11.28515625" bestFit="1" customWidth="1"/>
  </cols>
  <sheetData>
    <row r="1" spans="1:6" x14ac:dyDescent="0.25">
      <c r="A1" t="s">
        <v>59</v>
      </c>
      <c r="B1" t="s">
        <v>60</v>
      </c>
      <c r="C1" t="s">
        <v>61</v>
      </c>
      <c r="D1" t="s">
        <v>62</v>
      </c>
      <c r="E1" t="s">
        <v>6901</v>
      </c>
      <c r="F1" t="s">
        <v>6902</v>
      </c>
    </row>
    <row r="2" spans="1:6" x14ac:dyDescent="0.25">
      <c r="A2" t="s">
        <v>6903</v>
      </c>
      <c r="B2" t="s">
        <v>6904</v>
      </c>
      <c r="C2" s="105">
        <v>1185.5932203389832</v>
      </c>
      <c r="D2" t="s">
        <v>6846</v>
      </c>
      <c r="F2" t="s">
        <v>6905</v>
      </c>
    </row>
    <row r="3" spans="1:6" x14ac:dyDescent="0.25">
      <c r="A3" t="s">
        <v>6906</v>
      </c>
      <c r="B3" t="s">
        <v>6907</v>
      </c>
      <c r="C3" s="105">
        <v>1312.7118644067798</v>
      </c>
      <c r="D3" t="s">
        <v>6846</v>
      </c>
    </row>
    <row r="4" spans="1:6" x14ac:dyDescent="0.25">
      <c r="A4" t="s">
        <v>6908</v>
      </c>
      <c r="B4" t="s">
        <v>6909</v>
      </c>
      <c r="C4" s="105">
        <v>888.98305084745778</v>
      </c>
      <c r="D4" t="s">
        <v>6846</v>
      </c>
    </row>
    <row r="5" spans="1:6" x14ac:dyDescent="0.25">
      <c r="A5" t="s">
        <v>6910</v>
      </c>
      <c r="B5" t="s">
        <v>6911</v>
      </c>
      <c r="C5" s="105">
        <v>846.61016949152543</v>
      </c>
      <c r="D5" t="s">
        <v>6846</v>
      </c>
    </row>
    <row r="6" spans="1:6" x14ac:dyDescent="0.25">
      <c r="A6" t="s">
        <v>6912</v>
      </c>
      <c r="B6" t="s">
        <v>6913</v>
      </c>
      <c r="C6" s="105">
        <v>973.72881355932213</v>
      </c>
      <c r="D6" t="s">
        <v>6846</v>
      </c>
    </row>
    <row r="7" spans="1:6" x14ac:dyDescent="0.25">
      <c r="A7" t="s">
        <v>6914</v>
      </c>
      <c r="B7" t="s">
        <v>6915</v>
      </c>
      <c r="C7" s="105">
        <v>1185.5932203389832</v>
      </c>
      <c r="D7" t="s">
        <v>6846</v>
      </c>
    </row>
    <row r="8" spans="1:6" x14ac:dyDescent="0.25">
      <c r="A8" t="s">
        <v>6916</v>
      </c>
      <c r="B8" t="s">
        <v>6917</v>
      </c>
      <c r="C8" s="105">
        <v>1312.7118644067798</v>
      </c>
      <c r="D8" t="s">
        <v>6846</v>
      </c>
    </row>
    <row r="9" spans="1:6" x14ac:dyDescent="0.25">
      <c r="A9" t="s">
        <v>6918</v>
      </c>
      <c r="B9" t="s">
        <v>6919</v>
      </c>
      <c r="C9" s="105">
        <v>1143.2203389830509</v>
      </c>
      <c r="D9" t="s">
        <v>6846</v>
      </c>
    </row>
    <row r="10" spans="1:6" x14ac:dyDescent="0.25">
      <c r="A10" t="s">
        <v>6920</v>
      </c>
      <c r="B10" t="s">
        <v>6921</v>
      </c>
      <c r="C10" s="105">
        <v>1270.3389830508472</v>
      </c>
      <c r="D10" t="s">
        <v>6846</v>
      </c>
    </row>
    <row r="11" spans="1:6" x14ac:dyDescent="0.25">
      <c r="A11" t="s">
        <v>6922</v>
      </c>
      <c r="B11" t="s">
        <v>6923</v>
      </c>
      <c r="C11" s="105">
        <v>1100.8474576271187</v>
      </c>
      <c r="D11" t="s">
        <v>6846</v>
      </c>
    </row>
    <row r="12" spans="1:6" x14ac:dyDescent="0.25">
      <c r="A12" t="s">
        <v>6924</v>
      </c>
      <c r="B12" t="s">
        <v>6925</v>
      </c>
      <c r="C12" s="105">
        <v>1227.9661016949153</v>
      </c>
      <c r="D12" t="s">
        <v>6846</v>
      </c>
    </row>
    <row r="13" spans="1:6" x14ac:dyDescent="0.25">
      <c r="A13" t="s">
        <v>6926</v>
      </c>
      <c r="B13" t="s">
        <v>6927</v>
      </c>
      <c r="C13" s="105">
        <v>829.66101694915255</v>
      </c>
      <c r="D13" t="s">
        <v>6846</v>
      </c>
    </row>
    <row r="14" spans="1:6" x14ac:dyDescent="0.25">
      <c r="A14" t="s">
        <v>6928</v>
      </c>
      <c r="B14" t="s">
        <v>6929</v>
      </c>
      <c r="C14" s="105">
        <v>1016.1016949152543</v>
      </c>
      <c r="D14" t="s">
        <v>6846</v>
      </c>
    </row>
    <row r="15" spans="1:6" x14ac:dyDescent="0.25">
      <c r="A15" t="s">
        <v>6930</v>
      </c>
      <c r="B15" t="s">
        <v>6931</v>
      </c>
      <c r="C15" s="105">
        <v>1439.8305084745766</v>
      </c>
      <c r="D15" t="s">
        <v>6846</v>
      </c>
    </row>
    <row r="16" spans="1:6" x14ac:dyDescent="0.25">
      <c r="A16" t="s">
        <v>6932</v>
      </c>
      <c r="B16" t="s">
        <v>6933</v>
      </c>
      <c r="C16" s="105">
        <v>1566.949152542373</v>
      </c>
      <c r="D16" t="s">
        <v>6846</v>
      </c>
    </row>
    <row r="17" spans="1:4" x14ac:dyDescent="0.25">
      <c r="A17" t="s">
        <v>6934</v>
      </c>
      <c r="B17" t="s">
        <v>6935</v>
      </c>
      <c r="C17" s="105">
        <v>804.2372881355933</v>
      </c>
      <c r="D17" t="s">
        <v>6846</v>
      </c>
    </row>
    <row r="18" spans="1:4" x14ac:dyDescent="0.25">
      <c r="A18" t="s">
        <v>6936</v>
      </c>
      <c r="B18" t="s">
        <v>6937</v>
      </c>
      <c r="C18" s="105">
        <v>956.77966101694926</v>
      </c>
      <c r="D18" t="s">
        <v>6846</v>
      </c>
    </row>
    <row r="19" spans="1:4" x14ac:dyDescent="0.25">
      <c r="A19" t="s">
        <v>6938</v>
      </c>
      <c r="B19" t="s">
        <v>6939</v>
      </c>
      <c r="C19" s="105">
        <v>914.40677966101703</v>
      </c>
      <c r="D19" t="s">
        <v>6846</v>
      </c>
    </row>
    <row r="20" spans="1:4" x14ac:dyDescent="0.25">
      <c r="A20" t="s">
        <v>6940</v>
      </c>
      <c r="B20" t="s">
        <v>6941</v>
      </c>
      <c r="C20" s="105">
        <v>1058.4745762711866</v>
      </c>
      <c r="D20" t="s">
        <v>6846</v>
      </c>
    </row>
    <row r="21" spans="1:4" x14ac:dyDescent="0.25">
      <c r="A21" t="s">
        <v>6942</v>
      </c>
      <c r="B21" t="s">
        <v>6943</v>
      </c>
      <c r="C21" s="105">
        <v>1990.6779661016951</v>
      </c>
      <c r="D21" t="s">
        <v>6846</v>
      </c>
    </row>
    <row r="22" spans="1:4" x14ac:dyDescent="0.25">
      <c r="A22" t="s">
        <v>6944</v>
      </c>
      <c r="B22" t="s">
        <v>6945</v>
      </c>
      <c r="C22" s="105">
        <v>2075.4237288135596</v>
      </c>
      <c r="D22" t="s">
        <v>6846</v>
      </c>
    </row>
    <row r="23" spans="1:4" x14ac:dyDescent="0.25">
      <c r="A23" t="s">
        <v>6946</v>
      </c>
      <c r="B23" t="s">
        <v>6947</v>
      </c>
      <c r="C23" s="105">
        <v>846.61016949152543</v>
      </c>
      <c r="D23" t="s">
        <v>6846</v>
      </c>
    </row>
    <row r="24" spans="1:4" x14ac:dyDescent="0.25">
      <c r="A24" t="s">
        <v>6948</v>
      </c>
      <c r="B24" t="s">
        <v>6949</v>
      </c>
      <c r="C24" s="105">
        <v>973.72881355932213</v>
      </c>
      <c r="D24" t="s">
        <v>6846</v>
      </c>
    </row>
    <row r="25" spans="1:4" x14ac:dyDescent="0.25">
      <c r="A25" t="s">
        <v>6950</v>
      </c>
      <c r="B25" t="s">
        <v>6951</v>
      </c>
      <c r="C25" s="105">
        <v>1227.9661016949153</v>
      </c>
      <c r="D25" t="s">
        <v>6846</v>
      </c>
    </row>
    <row r="26" spans="1:4" x14ac:dyDescent="0.25">
      <c r="A26" t="s">
        <v>6952</v>
      </c>
      <c r="B26" t="s">
        <v>6953</v>
      </c>
      <c r="C26" s="105">
        <v>1355.0847457627119</v>
      </c>
      <c r="D26" t="s">
        <v>6846</v>
      </c>
    </row>
    <row r="27" spans="1:4" x14ac:dyDescent="0.25">
      <c r="A27" t="s">
        <v>6954</v>
      </c>
      <c r="B27" t="s">
        <v>6955</v>
      </c>
      <c r="C27" s="105">
        <v>931.3559322033899</v>
      </c>
      <c r="D27" t="s">
        <v>6846</v>
      </c>
    </row>
    <row r="28" spans="1:4" x14ac:dyDescent="0.25">
      <c r="A28" t="s">
        <v>6956</v>
      </c>
      <c r="B28" t="s">
        <v>6957</v>
      </c>
      <c r="C28" s="105">
        <v>1058.4745762711866</v>
      </c>
      <c r="D28" t="s">
        <v>6846</v>
      </c>
    </row>
    <row r="29" spans="1:4" x14ac:dyDescent="0.25">
      <c r="A29" t="s">
        <v>6958</v>
      </c>
      <c r="B29" t="s">
        <v>6959</v>
      </c>
      <c r="C29" s="105">
        <v>1058.4745762711866</v>
      </c>
      <c r="D29" t="s">
        <v>6846</v>
      </c>
    </row>
    <row r="30" spans="1:4" x14ac:dyDescent="0.25">
      <c r="A30" t="s">
        <v>6960</v>
      </c>
      <c r="B30" t="s">
        <v>6961</v>
      </c>
      <c r="C30" s="105">
        <v>1185.5932203389832</v>
      </c>
      <c r="D30" t="s">
        <v>6846</v>
      </c>
    </row>
    <row r="31" spans="1:4" x14ac:dyDescent="0.25">
      <c r="A31" t="s">
        <v>6962</v>
      </c>
      <c r="B31" t="s">
        <v>6963</v>
      </c>
      <c r="C31" s="105">
        <v>592.37288135593224</v>
      </c>
      <c r="D31" t="s">
        <v>6846</v>
      </c>
    </row>
    <row r="32" spans="1:4" x14ac:dyDescent="0.25">
      <c r="A32" t="s">
        <v>6964</v>
      </c>
      <c r="B32" t="s">
        <v>6965</v>
      </c>
      <c r="C32" s="105">
        <v>719.49152542372883</v>
      </c>
      <c r="D32" t="s">
        <v>6846</v>
      </c>
    </row>
    <row r="33" spans="1:4" x14ac:dyDescent="0.25">
      <c r="A33" t="s">
        <v>6966</v>
      </c>
      <c r="B33" t="s">
        <v>6967</v>
      </c>
      <c r="C33" s="105">
        <v>2372.0338983050847</v>
      </c>
      <c r="D33" t="s">
        <v>6846</v>
      </c>
    </row>
    <row r="34" spans="1:4" x14ac:dyDescent="0.25">
      <c r="A34" t="s">
        <v>6968</v>
      </c>
      <c r="B34" t="s">
        <v>6969</v>
      </c>
      <c r="C34" s="105">
        <v>2541.5254237288136</v>
      </c>
      <c r="D34" t="s">
        <v>6846</v>
      </c>
    </row>
    <row r="35" spans="1:4" x14ac:dyDescent="0.25">
      <c r="A35" t="s">
        <v>6970</v>
      </c>
      <c r="B35" t="s">
        <v>6971</v>
      </c>
      <c r="C35" s="105">
        <v>3727.9661016949153</v>
      </c>
      <c r="D35" t="s">
        <v>6846</v>
      </c>
    </row>
    <row r="36" spans="1:4" x14ac:dyDescent="0.25">
      <c r="A36" t="s">
        <v>6972</v>
      </c>
      <c r="B36" t="s">
        <v>6973</v>
      </c>
      <c r="C36" s="105">
        <v>3812.71186440678</v>
      </c>
      <c r="D36" t="s">
        <v>6846</v>
      </c>
    </row>
    <row r="37" spans="1:4" x14ac:dyDescent="0.25">
      <c r="A37" t="s">
        <v>6974</v>
      </c>
      <c r="B37" t="s">
        <v>6975</v>
      </c>
      <c r="C37" s="105">
        <v>761.86440677966107</v>
      </c>
      <c r="D37" t="s">
        <v>6846</v>
      </c>
    </row>
    <row r="38" spans="1:4" x14ac:dyDescent="0.25">
      <c r="A38" t="s">
        <v>6976</v>
      </c>
      <c r="B38" t="s">
        <v>6977</v>
      </c>
      <c r="C38" s="105">
        <v>846.61016949152543</v>
      </c>
      <c r="D38" t="s">
        <v>6846</v>
      </c>
    </row>
    <row r="39" spans="1:4" x14ac:dyDescent="0.25">
      <c r="A39" t="s">
        <v>6978</v>
      </c>
      <c r="B39" t="s">
        <v>6979</v>
      </c>
      <c r="C39" s="105">
        <v>2456.7796610169494</v>
      </c>
      <c r="D39" t="s">
        <v>6846</v>
      </c>
    </row>
    <row r="40" spans="1:4" x14ac:dyDescent="0.25">
      <c r="A40" t="s">
        <v>6980</v>
      </c>
      <c r="B40" t="s">
        <v>6981</v>
      </c>
      <c r="C40" s="105">
        <v>2541.5254237288136</v>
      </c>
      <c r="D40" t="s">
        <v>6846</v>
      </c>
    </row>
    <row r="41" spans="1:4" x14ac:dyDescent="0.25">
      <c r="A41" t="s">
        <v>6982</v>
      </c>
      <c r="B41" t="s">
        <v>6983</v>
      </c>
      <c r="C41" s="105">
        <v>5084.7457627118647</v>
      </c>
      <c r="D41" t="s">
        <v>6846</v>
      </c>
    </row>
    <row r="42" spans="1:4" x14ac:dyDescent="0.25">
      <c r="A42" t="s">
        <v>4173</v>
      </c>
      <c r="B42" t="s">
        <v>6984</v>
      </c>
      <c r="C42" s="105">
        <v>5084.7457627118647</v>
      </c>
      <c r="D42" t="s">
        <v>6846</v>
      </c>
    </row>
    <row r="43" spans="1:4" x14ac:dyDescent="0.25">
      <c r="A43" t="s">
        <v>6985</v>
      </c>
      <c r="B43" t="s">
        <v>6986</v>
      </c>
      <c r="C43" s="105">
        <v>5169.4915254237303</v>
      </c>
      <c r="D43" t="s">
        <v>6846</v>
      </c>
    </row>
    <row r="44" spans="1:4" x14ac:dyDescent="0.25">
      <c r="A44" t="s">
        <v>6987</v>
      </c>
      <c r="B44" t="s">
        <v>6988</v>
      </c>
      <c r="C44" s="105">
        <v>5169.4915254237303</v>
      </c>
      <c r="D44" t="s">
        <v>6846</v>
      </c>
    </row>
    <row r="45" spans="1:4" x14ac:dyDescent="0.25">
      <c r="A45" t="s">
        <v>6989</v>
      </c>
      <c r="B45" t="s">
        <v>6990</v>
      </c>
      <c r="C45" s="105">
        <v>20338.135593220341</v>
      </c>
      <c r="D45" t="s">
        <v>6846</v>
      </c>
    </row>
    <row r="46" spans="1:4" x14ac:dyDescent="0.25">
      <c r="A46" t="s">
        <v>6991</v>
      </c>
      <c r="B46" t="s">
        <v>6992</v>
      </c>
      <c r="C46" s="105">
        <v>20422.881355932204</v>
      </c>
      <c r="D46" t="s">
        <v>6846</v>
      </c>
    </row>
    <row r="47" spans="1:4" x14ac:dyDescent="0.25">
      <c r="A47" t="s">
        <v>6993</v>
      </c>
      <c r="B47" t="s">
        <v>6994</v>
      </c>
      <c r="C47" s="105">
        <v>20338.135593220341</v>
      </c>
      <c r="D47" t="s">
        <v>6846</v>
      </c>
    </row>
    <row r="48" spans="1:4" x14ac:dyDescent="0.25">
      <c r="A48" t="s">
        <v>6995</v>
      </c>
      <c r="B48" t="s">
        <v>6996</v>
      </c>
      <c r="C48" s="105">
        <v>20422.881355932204</v>
      </c>
      <c r="D48" t="s">
        <v>6846</v>
      </c>
    </row>
    <row r="49" spans="1:6" x14ac:dyDescent="0.25">
      <c r="A49" t="s">
        <v>6997</v>
      </c>
      <c r="B49" t="s">
        <v>6998</v>
      </c>
      <c r="C49" s="105">
        <v>18727.966101694918</v>
      </c>
      <c r="D49" t="s">
        <v>6846</v>
      </c>
    </row>
    <row r="50" spans="1:6" x14ac:dyDescent="0.25">
      <c r="A50" t="s">
        <v>6999</v>
      </c>
      <c r="B50" t="s">
        <v>7000</v>
      </c>
      <c r="C50" s="105">
        <v>18812.711864406781</v>
      </c>
      <c r="D50" t="s">
        <v>6846</v>
      </c>
    </row>
    <row r="51" spans="1:6" x14ac:dyDescent="0.25">
      <c r="A51" t="s">
        <v>7001</v>
      </c>
      <c r="B51" t="s">
        <v>7002</v>
      </c>
      <c r="C51" s="105">
        <v>18727.966101694918</v>
      </c>
      <c r="D51" t="s">
        <v>6846</v>
      </c>
    </row>
    <row r="52" spans="1:6" x14ac:dyDescent="0.25">
      <c r="A52" t="s">
        <v>7003</v>
      </c>
      <c r="B52" t="s">
        <v>7004</v>
      </c>
      <c r="C52" s="105">
        <v>18812.711864406781</v>
      </c>
      <c r="D52" t="s">
        <v>6846</v>
      </c>
    </row>
    <row r="53" spans="1:6" x14ac:dyDescent="0.25">
      <c r="A53" t="s">
        <v>7005</v>
      </c>
      <c r="B53" t="s">
        <v>7006</v>
      </c>
      <c r="C53" s="105">
        <v>18727.966101694918</v>
      </c>
      <c r="D53" t="s">
        <v>6846</v>
      </c>
    </row>
    <row r="54" spans="1:6" x14ac:dyDescent="0.25">
      <c r="A54" t="s">
        <v>7007</v>
      </c>
      <c r="B54" t="s">
        <v>7008</v>
      </c>
      <c r="C54" s="105">
        <v>18812.711864406781</v>
      </c>
      <c r="D54" t="s">
        <v>6846</v>
      </c>
    </row>
    <row r="55" spans="1:6" x14ac:dyDescent="0.25">
      <c r="A55" t="s">
        <v>7009</v>
      </c>
      <c r="B55" t="s">
        <v>7010</v>
      </c>
      <c r="C55" s="105">
        <v>1270.3389830508472</v>
      </c>
      <c r="D55" t="s">
        <v>6846</v>
      </c>
    </row>
    <row r="56" spans="1:6" x14ac:dyDescent="0.25">
      <c r="A56" t="s">
        <v>7011</v>
      </c>
      <c r="B56" t="s">
        <v>7012</v>
      </c>
      <c r="C56" s="105">
        <v>1312.7118644067798</v>
      </c>
      <c r="D56" t="s">
        <v>6846</v>
      </c>
    </row>
    <row r="57" spans="1:6" x14ac:dyDescent="0.25">
      <c r="A57" t="s">
        <v>7013</v>
      </c>
      <c r="B57" t="s">
        <v>7014</v>
      </c>
      <c r="C57" s="105">
        <v>338.14</v>
      </c>
      <c r="D57" t="s">
        <v>6846</v>
      </c>
      <c r="F57" t="s">
        <v>7015</v>
      </c>
    </row>
    <row r="58" spans="1:6" x14ac:dyDescent="0.25">
      <c r="A58" t="s">
        <v>7016</v>
      </c>
      <c r="B58" t="s">
        <v>7017</v>
      </c>
      <c r="C58" s="105">
        <v>338.14</v>
      </c>
      <c r="D58" t="s">
        <v>6846</v>
      </c>
    </row>
    <row r="59" spans="1:6" x14ac:dyDescent="0.25">
      <c r="A59" t="s">
        <v>7018</v>
      </c>
      <c r="B59" t="s">
        <v>7019</v>
      </c>
      <c r="C59" s="105">
        <v>338.14</v>
      </c>
      <c r="D59" t="s">
        <v>6846</v>
      </c>
    </row>
    <row r="60" spans="1:6" x14ac:dyDescent="0.25">
      <c r="A60" t="s">
        <v>7020</v>
      </c>
      <c r="B60" t="s">
        <v>7021</v>
      </c>
      <c r="C60" s="105">
        <v>422.88</v>
      </c>
      <c r="D60" t="s">
        <v>6846</v>
      </c>
    </row>
    <row r="61" spans="1:6" x14ac:dyDescent="0.25">
      <c r="A61" t="s">
        <v>7022</v>
      </c>
      <c r="B61" t="s">
        <v>7023</v>
      </c>
      <c r="C61" s="105">
        <v>507.63</v>
      </c>
      <c r="D61" t="s">
        <v>6846</v>
      </c>
    </row>
    <row r="62" spans="1:6" x14ac:dyDescent="0.25">
      <c r="A62" t="s">
        <v>7024</v>
      </c>
      <c r="B62" t="s">
        <v>7025</v>
      </c>
      <c r="C62" s="105">
        <v>592.37</v>
      </c>
      <c r="D62" t="s">
        <v>6846</v>
      </c>
    </row>
    <row r="63" spans="1:6" x14ac:dyDescent="0.25">
      <c r="A63" t="s">
        <v>7026</v>
      </c>
      <c r="B63" t="s">
        <v>7027</v>
      </c>
      <c r="C63" s="105">
        <v>634.75</v>
      </c>
      <c r="D63" t="s">
        <v>6846</v>
      </c>
    </row>
    <row r="64" spans="1:6" x14ac:dyDescent="0.25">
      <c r="A64" t="s">
        <v>7028</v>
      </c>
      <c r="B64" t="s">
        <v>7029</v>
      </c>
      <c r="C64" s="105">
        <v>719.49</v>
      </c>
      <c r="D64" t="s">
        <v>6846</v>
      </c>
    </row>
    <row r="65" spans="1:4" x14ac:dyDescent="0.25">
      <c r="A65" t="s">
        <v>7030</v>
      </c>
      <c r="B65" t="s">
        <v>7031</v>
      </c>
      <c r="C65" s="105">
        <v>634.75</v>
      </c>
      <c r="D65" t="s">
        <v>6846</v>
      </c>
    </row>
    <row r="66" spans="1:4" x14ac:dyDescent="0.25">
      <c r="A66" t="s">
        <v>7032</v>
      </c>
      <c r="B66" t="s">
        <v>7033</v>
      </c>
      <c r="C66" s="105">
        <v>719.49</v>
      </c>
      <c r="D66" t="s">
        <v>6846</v>
      </c>
    </row>
    <row r="67" spans="1:4" x14ac:dyDescent="0.25">
      <c r="A67" t="s">
        <v>7034</v>
      </c>
      <c r="B67" t="s">
        <v>7035</v>
      </c>
      <c r="C67" s="105">
        <v>677.12</v>
      </c>
      <c r="D67" t="s">
        <v>6846</v>
      </c>
    </row>
    <row r="68" spans="1:4" x14ac:dyDescent="0.25">
      <c r="A68" t="s">
        <v>7036</v>
      </c>
      <c r="B68" t="s">
        <v>7037</v>
      </c>
      <c r="C68" s="105">
        <v>761.86</v>
      </c>
      <c r="D68" t="s">
        <v>6846</v>
      </c>
    </row>
    <row r="69" spans="1:4" x14ac:dyDescent="0.25">
      <c r="A69" t="s">
        <v>7038</v>
      </c>
      <c r="B69" t="s">
        <v>7039</v>
      </c>
      <c r="C69" s="105">
        <v>677.12</v>
      </c>
      <c r="D69" t="s">
        <v>6846</v>
      </c>
    </row>
    <row r="70" spans="1:4" x14ac:dyDescent="0.25">
      <c r="A70" t="s">
        <v>7040</v>
      </c>
      <c r="B70" t="s">
        <v>7041</v>
      </c>
      <c r="C70" s="105">
        <v>761.86</v>
      </c>
      <c r="D70" t="s">
        <v>6846</v>
      </c>
    </row>
    <row r="71" spans="1:4" x14ac:dyDescent="0.25">
      <c r="A71" t="s">
        <v>7042</v>
      </c>
      <c r="B71" t="s">
        <v>7043</v>
      </c>
      <c r="C71" s="105">
        <v>1100.8499999999999</v>
      </c>
      <c r="D71" t="s">
        <v>6846</v>
      </c>
    </row>
    <row r="72" spans="1:4" x14ac:dyDescent="0.25">
      <c r="A72" t="s">
        <v>7044</v>
      </c>
      <c r="B72" t="s">
        <v>7045</v>
      </c>
      <c r="C72" s="105">
        <v>1185.5899999999999</v>
      </c>
      <c r="D72" t="s">
        <v>6846</v>
      </c>
    </row>
    <row r="73" spans="1:4" x14ac:dyDescent="0.25">
      <c r="A73" t="s">
        <v>7046</v>
      </c>
      <c r="B73" t="s">
        <v>7047</v>
      </c>
      <c r="C73" s="105">
        <v>1100.8499999999999</v>
      </c>
      <c r="D73" t="s">
        <v>6846</v>
      </c>
    </row>
    <row r="74" spans="1:4" x14ac:dyDescent="0.25">
      <c r="A74" t="s">
        <v>7048</v>
      </c>
      <c r="B74" t="s">
        <v>7049</v>
      </c>
      <c r="C74" s="105">
        <v>1185.5899999999999</v>
      </c>
      <c r="D74" t="s">
        <v>6846</v>
      </c>
    </row>
    <row r="75" spans="1:4" x14ac:dyDescent="0.25">
      <c r="A75" t="s">
        <v>7050</v>
      </c>
      <c r="B75" t="s">
        <v>7051</v>
      </c>
      <c r="C75" s="105">
        <v>1100.8499999999999</v>
      </c>
      <c r="D75" t="s">
        <v>6846</v>
      </c>
    </row>
    <row r="76" spans="1:4" x14ac:dyDescent="0.25">
      <c r="A76" t="s">
        <v>7052</v>
      </c>
      <c r="B76" t="s">
        <v>7053</v>
      </c>
      <c r="C76" s="105">
        <v>1185.5899999999999</v>
      </c>
      <c r="D76" t="s">
        <v>6846</v>
      </c>
    </row>
    <row r="77" spans="1:4" x14ac:dyDescent="0.25">
      <c r="A77" t="s">
        <v>7054</v>
      </c>
      <c r="B77" t="s">
        <v>7055</v>
      </c>
      <c r="C77" s="105">
        <v>1439.83</v>
      </c>
      <c r="D77" t="s">
        <v>6846</v>
      </c>
    </row>
    <row r="78" spans="1:4" x14ac:dyDescent="0.25">
      <c r="A78" t="s">
        <v>7056</v>
      </c>
      <c r="B78" t="s">
        <v>7057</v>
      </c>
      <c r="C78" s="105">
        <v>1948.31</v>
      </c>
      <c r="D78" t="s">
        <v>6846</v>
      </c>
    </row>
    <row r="79" spans="1:4" x14ac:dyDescent="0.25">
      <c r="A79" t="s">
        <v>7058</v>
      </c>
      <c r="B79" t="s">
        <v>7059</v>
      </c>
      <c r="C79" s="105">
        <v>2287.29</v>
      </c>
      <c r="D79" t="s">
        <v>6846</v>
      </c>
    </row>
    <row r="80" spans="1:4" x14ac:dyDescent="0.25">
      <c r="A80" t="s">
        <v>7060</v>
      </c>
      <c r="B80" t="s">
        <v>7061</v>
      </c>
      <c r="C80" s="105">
        <v>1948.31</v>
      </c>
      <c r="D80" t="s">
        <v>6846</v>
      </c>
    </row>
    <row r="81" spans="1:4" x14ac:dyDescent="0.25">
      <c r="A81" t="s">
        <v>7062</v>
      </c>
      <c r="B81" t="s">
        <v>7063</v>
      </c>
      <c r="C81" s="105">
        <v>2287.29</v>
      </c>
      <c r="D81" t="s">
        <v>6846</v>
      </c>
    </row>
    <row r="82" spans="1:4" x14ac:dyDescent="0.25">
      <c r="A82" t="s">
        <v>7064</v>
      </c>
      <c r="B82" t="s">
        <v>7065</v>
      </c>
      <c r="C82" s="105">
        <v>2202.54</v>
      </c>
      <c r="D82" t="s">
        <v>6846</v>
      </c>
    </row>
    <row r="83" spans="1:4" x14ac:dyDescent="0.25">
      <c r="A83" t="s">
        <v>7066</v>
      </c>
      <c r="B83" t="s">
        <v>7067</v>
      </c>
      <c r="C83" s="105">
        <v>2541.5300000000002</v>
      </c>
      <c r="D83" t="s">
        <v>6846</v>
      </c>
    </row>
    <row r="84" spans="1:4" x14ac:dyDescent="0.25">
      <c r="A84" t="s">
        <v>7068</v>
      </c>
      <c r="B84" t="s">
        <v>7069</v>
      </c>
      <c r="C84" s="105">
        <v>2202.54</v>
      </c>
      <c r="D84" t="s">
        <v>6846</v>
      </c>
    </row>
    <row r="85" spans="1:4" x14ac:dyDescent="0.25">
      <c r="A85" t="s">
        <v>7070</v>
      </c>
      <c r="B85" t="s">
        <v>7071</v>
      </c>
      <c r="C85" s="105">
        <v>2541.5300000000002</v>
      </c>
      <c r="D85" t="s">
        <v>6846</v>
      </c>
    </row>
    <row r="86" spans="1:4" x14ac:dyDescent="0.25">
      <c r="A86" t="s">
        <v>7072</v>
      </c>
      <c r="B86" t="s">
        <v>7073</v>
      </c>
      <c r="C86" s="105">
        <v>2202.54</v>
      </c>
      <c r="D86" t="s">
        <v>6846</v>
      </c>
    </row>
    <row r="87" spans="1:4" x14ac:dyDescent="0.25">
      <c r="A87" t="s">
        <v>7074</v>
      </c>
      <c r="B87" t="s">
        <v>7075</v>
      </c>
      <c r="C87" s="105">
        <v>592.37</v>
      </c>
      <c r="D87" t="s">
        <v>6846</v>
      </c>
    </row>
    <row r="88" spans="1:4" x14ac:dyDescent="0.25">
      <c r="A88" t="s">
        <v>7076</v>
      </c>
      <c r="B88" t="s">
        <v>7077</v>
      </c>
      <c r="C88" s="105">
        <v>677.12</v>
      </c>
      <c r="D88" t="s">
        <v>6846</v>
      </c>
    </row>
    <row r="89" spans="1:4" x14ac:dyDescent="0.25">
      <c r="A89" t="s">
        <v>7078</v>
      </c>
      <c r="B89" t="s">
        <v>7079</v>
      </c>
      <c r="C89" s="105">
        <v>761.86</v>
      </c>
      <c r="D89" t="s">
        <v>6846</v>
      </c>
    </row>
    <row r="90" spans="1:4" x14ac:dyDescent="0.25">
      <c r="A90" t="s">
        <v>7080</v>
      </c>
      <c r="B90" t="s">
        <v>7081</v>
      </c>
      <c r="C90" s="105">
        <v>846.61</v>
      </c>
      <c r="D90" t="s">
        <v>6846</v>
      </c>
    </row>
    <row r="91" spans="1:4" x14ac:dyDescent="0.25">
      <c r="A91" t="s">
        <v>7082</v>
      </c>
      <c r="B91" t="s">
        <v>7083</v>
      </c>
      <c r="C91" s="105">
        <v>931.36</v>
      </c>
      <c r="D91" t="s">
        <v>6846</v>
      </c>
    </row>
    <row r="92" spans="1:4" x14ac:dyDescent="0.25">
      <c r="A92" t="s">
        <v>7084</v>
      </c>
      <c r="B92" t="s">
        <v>7085</v>
      </c>
      <c r="C92" s="105">
        <v>1016.1</v>
      </c>
      <c r="D92" t="s">
        <v>6846</v>
      </c>
    </row>
    <row r="93" spans="1:4" x14ac:dyDescent="0.25">
      <c r="A93" t="s">
        <v>7086</v>
      </c>
      <c r="B93" t="s">
        <v>7087</v>
      </c>
      <c r="C93" s="105">
        <v>2541.5300000000002</v>
      </c>
      <c r="D93" t="s">
        <v>6846</v>
      </c>
    </row>
    <row r="94" spans="1:4" x14ac:dyDescent="0.25">
      <c r="A94" t="s">
        <v>7088</v>
      </c>
      <c r="B94" t="s">
        <v>7089</v>
      </c>
      <c r="C94" s="105">
        <v>2880.51</v>
      </c>
      <c r="D94" t="s">
        <v>6846</v>
      </c>
    </row>
    <row r="95" spans="1:4" x14ac:dyDescent="0.25">
      <c r="A95" t="s">
        <v>7090</v>
      </c>
      <c r="B95" t="s">
        <v>7091</v>
      </c>
      <c r="C95" s="105">
        <v>2880.51</v>
      </c>
      <c r="D95" t="s">
        <v>6846</v>
      </c>
    </row>
    <row r="96" spans="1:4" x14ac:dyDescent="0.25">
      <c r="A96" t="s">
        <v>7092</v>
      </c>
      <c r="B96" t="s">
        <v>7093</v>
      </c>
      <c r="C96" s="105">
        <v>3134.75</v>
      </c>
      <c r="D96" t="s">
        <v>6846</v>
      </c>
    </row>
    <row r="97" spans="1:6" x14ac:dyDescent="0.25">
      <c r="A97" t="s">
        <v>7094</v>
      </c>
      <c r="B97" t="s">
        <v>7095</v>
      </c>
      <c r="C97" s="105">
        <v>3134.75</v>
      </c>
      <c r="D97" t="s">
        <v>6846</v>
      </c>
    </row>
    <row r="98" spans="1:6" x14ac:dyDescent="0.25">
      <c r="A98" t="s">
        <v>7096</v>
      </c>
      <c r="B98" t="s">
        <v>7097</v>
      </c>
      <c r="C98" s="105">
        <v>3388.98</v>
      </c>
      <c r="D98" t="s">
        <v>6846</v>
      </c>
    </row>
    <row r="99" spans="1:6" x14ac:dyDescent="0.25">
      <c r="A99" t="s">
        <v>7098</v>
      </c>
      <c r="B99" t="s">
        <v>7099</v>
      </c>
      <c r="C99" s="105">
        <v>4405.93</v>
      </c>
      <c r="D99" t="s">
        <v>6846</v>
      </c>
    </row>
    <row r="100" spans="1:6" x14ac:dyDescent="0.25">
      <c r="A100" t="s">
        <v>7100</v>
      </c>
      <c r="B100" t="s">
        <v>7101</v>
      </c>
      <c r="C100" s="105">
        <v>4744.92</v>
      </c>
      <c r="D100" t="s">
        <v>6846</v>
      </c>
    </row>
    <row r="101" spans="1:6" x14ac:dyDescent="0.25">
      <c r="A101" t="s">
        <v>7102</v>
      </c>
      <c r="B101" t="s">
        <v>7103</v>
      </c>
      <c r="C101" s="105">
        <v>2541.5300000000002</v>
      </c>
      <c r="D101" t="s">
        <v>6846</v>
      </c>
    </row>
    <row r="102" spans="1:6" x14ac:dyDescent="0.25">
      <c r="A102" t="s">
        <v>7104</v>
      </c>
      <c r="B102" t="s">
        <v>7105</v>
      </c>
      <c r="C102" s="105">
        <v>2711.02</v>
      </c>
      <c r="D102" t="s">
        <v>6846</v>
      </c>
    </row>
    <row r="103" spans="1:6" x14ac:dyDescent="0.25">
      <c r="A103" t="s">
        <v>7106</v>
      </c>
      <c r="B103" t="s">
        <v>7107</v>
      </c>
      <c r="C103" s="105">
        <v>3050</v>
      </c>
      <c r="D103" t="s">
        <v>6846</v>
      </c>
    </row>
    <row r="104" spans="1:6" x14ac:dyDescent="0.25">
      <c r="A104" t="s">
        <v>7108</v>
      </c>
      <c r="B104" t="s">
        <v>7109</v>
      </c>
      <c r="C104" s="105">
        <v>4236.4399999999996</v>
      </c>
      <c r="D104" t="s">
        <v>6846</v>
      </c>
    </row>
    <row r="105" spans="1:6" x14ac:dyDescent="0.25">
      <c r="A105" t="s">
        <v>7110</v>
      </c>
      <c r="B105" t="s">
        <v>7111</v>
      </c>
      <c r="C105" s="105">
        <v>6778.81</v>
      </c>
      <c r="D105" t="s">
        <v>6846</v>
      </c>
    </row>
    <row r="106" spans="1:6" x14ac:dyDescent="0.25">
      <c r="A106" t="s">
        <v>7112</v>
      </c>
      <c r="B106" t="s">
        <v>7113</v>
      </c>
      <c r="C106" s="105">
        <v>7202.54</v>
      </c>
      <c r="D106" t="s">
        <v>6846</v>
      </c>
    </row>
    <row r="107" spans="1:6" x14ac:dyDescent="0.25">
      <c r="A107" t="s">
        <v>7114</v>
      </c>
      <c r="B107" t="s">
        <v>7115</v>
      </c>
      <c r="C107" s="105">
        <v>7626.27</v>
      </c>
      <c r="D107" t="s">
        <v>6846</v>
      </c>
    </row>
    <row r="108" spans="1:6" x14ac:dyDescent="0.25">
      <c r="A108" t="s">
        <v>7116</v>
      </c>
      <c r="B108" t="s">
        <v>7117</v>
      </c>
      <c r="C108" s="105">
        <v>2541.5300000000002</v>
      </c>
      <c r="D108" t="s">
        <v>6846</v>
      </c>
    </row>
    <row r="109" spans="1:6" x14ac:dyDescent="0.25">
      <c r="A109" t="s">
        <v>7118</v>
      </c>
      <c r="B109" t="s">
        <v>7119</v>
      </c>
      <c r="C109" s="105">
        <v>2795.76</v>
      </c>
      <c r="D109" t="s">
        <v>6846</v>
      </c>
    </row>
    <row r="110" spans="1:6" x14ac:dyDescent="0.25">
      <c r="A110" t="s">
        <v>7120</v>
      </c>
      <c r="B110" t="s">
        <v>7121</v>
      </c>
      <c r="C110" s="105">
        <v>2202.5423728813562</v>
      </c>
      <c r="D110" t="s">
        <v>6846</v>
      </c>
      <c r="F110" t="s">
        <v>7122</v>
      </c>
    </row>
    <row r="111" spans="1:6" x14ac:dyDescent="0.25">
      <c r="A111" t="s">
        <v>7123</v>
      </c>
      <c r="B111" t="s">
        <v>7124</v>
      </c>
      <c r="C111" s="105">
        <v>2456.7796610169494</v>
      </c>
      <c r="D111" t="s">
        <v>6846</v>
      </c>
    </row>
    <row r="112" spans="1:6" x14ac:dyDescent="0.25">
      <c r="A112" t="s">
        <v>7125</v>
      </c>
      <c r="B112" t="s">
        <v>7126</v>
      </c>
      <c r="C112" s="105">
        <v>5083.8983050847464</v>
      </c>
      <c r="D112" t="s">
        <v>6846</v>
      </c>
    </row>
    <row r="113" spans="1:4" x14ac:dyDescent="0.25">
      <c r="A113" t="s">
        <v>7127</v>
      </c>
      <c r="B113" t="s">
        <v>7128</v>
      </c>
      <c r="C113" s="105">
        <v>5507.6271186440681</v>
      </c>
      <c r="D113" t="s">
        <v>6846</v>
      </c>
    </row>
    <row r="114" spans="1:4" x14ac:dyDescent="0.25">
      <c r="A114" t="s">
        <v>7129</v>
      </c>
      <c r="B114" t="s">
        <v>7130</v>
      </c>
      <c r="C114" s="105">
        <v>2202.5423728813562</v>
      </c>
      <c r="D114" t="s">
        <v>6846</v>
      </c>
    </row>
    <row r="115" spans="1:4" x14ac:dyDescent="0.25">
      <c r="A115" t="s">
        <v>7131</v>
      </c>
      <c r="B115" t="s">
        <v>7132</v>
      </c>
      <c r="C115" s="105">
        <v>2456.7796610169494</v>
      </c>
      <c r="D115" t="s">
        <v>6846</v>
      </c>
    </row>
    <row r="116" spans="1:4" x14ac:dyDescent="0.25">
      <c r="A116" t="s">
        <v>7133</v>
      </c>
      <c r="B116" t="s">
        <v>7134</v>
      </c>
      <c r="C116" s="105">
        <v>2287.2881355932204</v>
      </c>
      <c r="D116" t="s">
        <v>6846</v>
      </c>
    </row>
    <row r="117" spans="1:4" x14ac:dyDescent="0.25">
      <c r="A117" t="s">
        <v>7135</v>
      </c>
      <c r="B117" t="s">
        <v>7136</v>
      </c>
      <c r="C117" s="105">
        <v>2541.5254237288136</v>
      </c>
      <c r="D117" t="s">
        <v>6846</v>
      </c>
    </row>
    <row r="118" spans="1:4" x14ac:dyDescent="0.25">
      <c r="A118" t="s">
        <v>7137</v>
      </c>
      <c r="B118" t="s">
        <v>7138</v>
      </c>
      <c r="C118" s="105">
        <v>2372.0338983050847</v>
      </c>
      <c r="D118" t="s">
        <v>6846</v>
      </c>
    </row>
    <row r="119" spans="1:4" x14ac:dyDescent="0.25">
      <c r="A119" t="s">
        <v>7139</v>
      </c>
      <c r="B119" t="s">
        <v>7140</v>
      </c>
      <c r="C119" s="105">
        <v>2626.2711864406783</v>
      </c>
      <c r="D119" t="s">
        <v>6846</v>
      </c>
    </row>
    <row r="120" spans="1:4" x14ac:dyDescent="0.25">
      <c r="A120" t="s">
        <v>7141</v>
      </c>
      <c r="B120" t="s">
        <v>7142</v>
      </c>
      <c r="C120" s="105">
        <v>2795.7627118644064</v>
      </c>
      <c r="D120" t="s">
        <v>6846</v>
      </c>
    </row>
    <row r="121" spans="1:4" x14ac:dyDescent="0.25">
      <c r="A121" t="s">
        <v>7143</v>
      </c>
      <c r="B121" t="s">
        <v>7144</v>
      </c>
      <c r="C121" s="105">
        <v>3050</v>
      </c>
      <c r="D121" t="s">
        <v>6846</v>
      </c>
    </row>
    <row r="122" spans="1:4" x14ac:dyDescent="0.25">
      <c r="A122" t="s">
        <v>7145</v>
      </c>
      <c r="B122" t="s">
        <v>7146</v>
      </c>
      <c r="C122" s="105">
        <v>3812.71186440678</v>
      </c>
      <c r="D122" t="s">
        <v>6846</v>
      </c>
    </row>
    <row r="123" spans="1:4" x14ac:dyDescent="0.25">
      <c r="A123" t="s">
        <v>7147</v>
      </c>
      <c r="B123" t="s">
        <v>7148</v>
      </c>
      <c r="C123" s="105">
        <v>4236.4406779661022</v>
      </c>
      <c r="D123" t="s">
        <v>6846</v>
      </c>
    </row>
    <row r="124" spans="1:4" x14ac:dyDescent="0.25">
      <c r="A124" t="s">
        <v>7149</v>
      </c>
      <c r="B124" t="s">
        <v>7150</v>
      </c>
      <c r="C124" s="105">
        <v>1694.0677966101696</v>
      </c>
      <c r="D124" t="s">
        <v>6846</v>
      </c>
    </row>
    <row r="125" spans="1:4" x14ac:dyDescent="0.25">
      <c r="A125" t="s">
        <v>7151</v>
      </c>
      <c r="B125" t="s">
        <v>7152</v>
      </c>
      <c r="C125" s="105">
        <v>1778.8135593220341</v>
      </c>
      <c r="D125" t="s">
        <v>6846</v>
      </c>
    </row>
    <row r="126" spans="1:4" x14ac:dyDescent="0.25">
      <c r="A126" t="s">
        <v>7153</v>
      </c>
      <c r="B126" t="s">
        <v>7154</v>
      </c>
      <c r="C126" s="105">
        <v>2287.2881355932204</v>
      </c>
      <c r="D126" t="s">
        <v>6846</v>
      </c>
    </row>
    <row r="127" spans="1:4" x14ac:dyDescent="0.25">
      <c r="A127" t="s">
        <v>7155</v>
      </c>
      <c r="B127" t="s">
        <v>7156</v>
      </c>
      <c r="C127" s="105">
        <v>2372.0338983050847</v>
      </c>
      <c r="D127" t="s">
        <v>6846</v>
      </c>
    </row>
    <row r="128" spans="1:4" x14ac:dyDescent="0.25">
      <c r="A128" t="s">
        <v>7157</v>
      </c>
      <c r="B128" t="s">
        <v>7158</v>
      </c>
      <c r="C128" s="105">
        <v>2117.7966101694915</v>
      </c>
      <c r="D128" t="s">
        <v>6846</v>
      </c>
    </row>
    <row r="129" spans="1:4" x14ac:dyDescent="0.25">
      <c r="A129" t="s">
        <v>7159</v>
      </c>
      <c r="B129" t="s">
        <v>7160</v>
      </c>
      <c r="C129" s="105">
        <v>2202.5423728813562</v>
      </c>
      <c r="D129" t="s">
        <v>6846</v>
      </c>
    </row>
    <row r="130" spans="1:4" x14ac:dyDescent="0.25">
      <c r="A130" t="s">
        <v>7161</v>
      </c>
      <c r="B130" t="s">
        <v>7162</v>
      </c>
      <c r="C130" s="105">
        <v>2372.0338983050847</v>
      </c>
      <c r="D130" t="s">
        <v>6846</v>
      </c>
    </row>
    <row r="131" spans="1:4" x14ac:dyDescent="0.25">
      <c r="A131" t="s">
        <v>7163</v>
      </c>
      <c r="B131" t="s">
        <v>7164</v>
      </c>
      <c r="C131" s="105">
        <v>2583.898305084746</v>
      </c>
      <c r="D131" t="s">
        <v>6846</v>
      </c>
    </row>
    <row r="132" spans="1:4" x14ac:dyDescent="0.25">
      <c r="A132" t="s">
        <v>7165</v>
      </c>
      <c r="B132" t="s">
        <v>7166</v>
      </c>
      <c r="C132" s="105">
        <v>1948.3050847457628</v>
      </c>
      <c r="D132" t="s">
        <v>6846</v>
      </c>
    </row>
    <row r="133" spans="1:4" x14ac:dyDescent="0.25">
      <c r="A133" t="s">
        <v>7167</v>
      </c>
      <c r="B133" t="s">
        <v>7168</v>
      </c>
      <c r="C133" s="105">
        <v>2117.7966101694915</v>
      </c>
      <c r="D133" t="s">
        <v>6846</v>
      </c>
    </row>
    <row r="134" spans="1:4" x14ac:dyDescent="0.25">
      <c r="A134" t="s">
        <v>7169</v>
      </c>
      <c r="B134" t="s">
        <v>7170</v>
      </c>
      <c r="C134" s="105">
        <v>2202.5423728813562</v>
      </c>
      <c r="D134" t="s">
        <v>6846</v>
      </c>
    </row>
    <row r="135" spans="1:4" x14ac:dyDescent="0.25">
      <c r="A135" t="s">
        <v>7171</v>
      </c>
      <c r="B135" t="s">
        <v>7172</v>
      </c>
      <c r="C135" s="105">
        <v>1990.6779661016951</v>
      </c>
      <c r="D135" t="s">
        <v>6846</v>
      </c>
    </row>
    <row r="136" spans="1:4" x14ac:dyDescent="0.25">
      <c r="A136" t="s">
        <v>7173</v>
      </c>
      <c r="B136" t="s">
        <v>7174</v>
      </c>
      <c r="C136" s="105">
        <v>2160.1694915254238</v>
      </c>
      <c r="D136" t="s">
        <v>6846</v>
      </c>
    </row>
    <row r="137" spans="1:4" x14ac:dyDescent="0.25">
      <c r="A137" t="s">
        <v>7175</v>
      </c>
      <c r="B137" t="s">
        <v>7176</v>
      </c>
      <c r="C137" s="105">
        <v>2244.9152542372881</v>
      </c>
      <c r="D137" t="s">
        <v>6846</v>
      </c>
    </row>
    <row r="138" spans="1:4" x14ac:dyDescent="0.25">
      <c r="A138" t="s">
        <v>7177</v>
      </c>
      <c r="B138" t="s">
        <v>7178</v>
      </c>
      <c r="C138" s="105">
        <v>2287.2881355932204</v>
      </c>
      <c r="D138" t="s">
        <v>6846</v>
      </c>
    </row>
    <row r="139" spans="1:4" x14ac:dyDescent="0.25">
      <c r="A139" t="s">
        <v>7179</v>
      </c>
      <c r="B139" t="s">
        <v>7180</v>
      </c>
      <c r="C139" s="105">
        <v>2456.7796610169494</v>
      </c>
      <c r="D139" t="s">
        <v>6846</v>
      </c>
    </row>
    <row r="140" spans="1:4" x14ac:dyDescent="0.25">
      <c r="A140" t="s">
        <v>7181</v>
      </c>
      <c r="B140" t="s">
        <v>7182</v>
      </c>
      <c r="C140" s="105">
        <v>2541.5254237288136</v>
      </c>
      <c r="D140" t="s">
        <v>6846</v>
      </c>
    </row>
    <row r="141" spans="1:4" x14ac:dyDescent="0.25">
      <c r="A141" t="s">
        <v>7183</v>
      </c>
      <c r="B141" t="s">
        <v>7184</v>
      </c>
      <c r="C141" s="105">
        <v>1694.0677966101696</v>
      </c>
      <c r="D141" t="s">
        <v>6846</v>
      </c>
    </row>
    <row r="142" spans="1:4" x14ac:dyDescent="0.25">
      <c r="A142" t="s">
        <v>7185</v>
      </c>
      <c r="B142" t="s">
        <v>7186</v>
      </c>
      <c r="C142" s="105">
        <v>1948.3050847457628</v>
      </c>
      <c r="D142" t="s">
        <v>6846</v>
      </c>
    </row>
    <row r="143" spans="1:4" x14ac:dyDescent="0.25">
      <c r="A143" t="s">
        <v>7187</v>
      </c>
      <c r="B143" t="s">
        <v>7188</v>
      </c>
      <c r="C143" s="105">
        <v>2541.5254237288136</v>
      </c>
      <c r="D143" t="s">
        <v>6846</v>
      </c>
    </row>
    <row r="144" spans="1:4" x14ac:dyDescent="0.25">
      <c r="A144" t="s">
        <v>7189</v>
      </c>
      <c r="B144" t="s">
        <v>7190</v>
      </c>
      <c r="C144" s="105">
        <v>2880.5084745762715</v>
      </c>
      <c r="D144" t="s">
        <v>6846</v>
      </c>
    </row>
    <row r="145" spans="1:6" x14ac:dyDescent="0.25">
      <c r="A145" t="s">
        <v>7191</v>
      </c>
      <c r="B145" t="s">
        <v>7192</v>
      </c>
      <c r="C145" s="105">
        <v>4405.9322033898306</v>
      </c>
      <c r="D145" t="s">
        <v>6846</v>
      </c>
    </row>
    <row r="146" spans="1:6" x14ac:dyDescent="0.25">
      <c r="A146" t="s">
        <v>7193</v>
      </c>
      <c r="B146" t="s">
        <v>7194</v>
      </c>
      <c r="C146" s="105">
        <v>1948.3050847457628</v>
      </c>
      <c r="D146" t="s">
        <v>6846</v>
      </c>
    </row>
    <row r="147" spans="1:6" x14ac:dyDescent="0.25">
      <c r="A147" t="s">
        <v>7195</v>
      </c>
      <c r="B147" t="s">
        <v>7196</v>
      </c>
      <c r="C147" s="105">
        <v>2202.5423728813562</v>
      </c>
      <c r="D147" t="s">
        <v>6846</v>
      </c>
    </row>
    <row r="148" spans="1:6" x14ac:dyDescent="0.25">
      <c r="A148" t="s">
        <v>7197</v>
      </c>
      <c r="B148" t="s">
        <v>7198</v>
      </c>
      <c r="C148" s="105">
        <v>2965.2542372881358</v>
      </c>
      <c r="D148" t="s">
        <v>6846</v>
      </c>
    </row>
    <row r="149" spans="1:6" x14ac:dyDescent="0.25">
      <c r="A149" t="s">
        <v>7199</v>
      </c>
      <c r="B149" t="s">
        <v>7200</v>
      </c>
      <c r="C149" s="105">
        <v>3219.4915254237289</v>
      </c>
      <c r="D149" t="s">
        <v>6846</v>
      </c>
    </row>
    <row r="150" spans="1:6" x14ac:dyDescent="0.25">
      <c r="A150" t="s">
        <v>7201</v>
      </c>
      <c r="B150" t="s">
        <v>7202</v>
      </c>
      <c r="C150" s="105">
        <v>3812.71186440678</v>
      </c>
      <c r="D150" t="s">
        <v>6846</v>
      </c>
    </row>
    <row r="151" spans="1:6" x14ac:dyDescent="0.25">
      <c r="A151" t="s">
        <v>7203</v>
      </c>
      <c r="B151" t="s">
        <v>7204</v>
      </c>
      <c r="C151" s="105">
        <v>4151.6949152542375</v>
      </c>
      <c r="D151" t="s">
        <v>6846</v>
      </c>
    </row>
    <row r="152" spans="1:6" x14ac:dyDescent="0.25">
      <c r="A152" t="s">
        <v>7205</v>
      </c>
      <c r="B152" t="s">
        <v>7206</v>
      </c>
      <c r="C152" s="105">
        <v>3982.203389830509</v>
      </c>
      <c r="D152" t="s">
        <v>6846</v>
      </c>
    </row>
    <row r="153" spans="1:6" x14ac:dyDescent="0.25">
      <c r="A153" t="s">
        <v>7207</v>
      </c>
      <c r="B153" t="s">
        <v>7208</v>
      </c>
      <c r="C153" s="105">
        <v>4236.4406779661022</v>
      </c>
      <c r="D153" t="s">
        <v>6846</v>
      </c>
    </row>
    <row r="154" spans="1:6" x14ac:dyDescent="0.25">
      <c r="A154" t="s">
        <v>7209</v>
      </c>
      <c r="B154" t="s">
        <v>7210</v>
      </c>
      <c r="C154" s="105">
        <v>257.52741774675974</v>
      </c>
      <c r="D154" t="s">
        <v>6846</v>
      </c>
      <c r="F154" t="s">
        <v>7211</v>
      </c>
    </row>
    <row r="155" spans="1:6" x14ac:dyDescent="0.25">
      <c r="A155" t="s">
        <v>7212</v>
      </c>
      <c r="B155" t="s">
        <v>7213</v>
      </c>
      <c r="C155" s="105">
        <v>278.46460618145562</v>
      </c>
      <c r="D155" t="s">
        <v>6846</v>
      </c>
    </row>
    <row r="156" spans="1:6" x14ac:dyDescent="0.25">
      <c r="A156" t="s">
        <v>7214</v>
      </c>
      <c r="B156" t="s">
        <v>7215</v>
      </c>
      <c r="C156" s="105">
        <v>292.42273180458625</v>
      </c>
      <c r="D156" t="s">
        <v>6846</v>
      </c>
    </row>
    <row r="157" spans="1:6" x14ac:dyDescent="0.25">
      <c r="A157" t="s">
        <v>7216</v>
      </c>
      <c r="B157" t="s">
        <v>7217</v>
      </c>
      <c r="C157" s="105">
        <v>327.31804586241276</v>
      </c>
      <c r="D157" t="s">
        <v>6846</v>
      </c>
    </row>
    <row r="158" spans="1:6" x14ac:dyDescent="0.25">
      <c r="A158" t="s">
        <v>7218</v>
      </c>
      <c r="B158" t="s">
        <v>7219</v>
      </c>
      <c r="C158" s="105">
        <v>383.15054835493527</v>
      </c>
      <c r="D158" t="s">
        <v>6846</v>
      </c>
    </row>
    <row r="159" spans="1:6" x14ac:dyDescent="0.25">
      <c r="A159" t="s">
        <v>7220</v>
      </c>
      <c r="B159" t="s">
        <v>7221</v>
      </c>
      <c r="C159" s="105">
        <v>90.029910269192428</v>
      </c>
      <c r="D159" t="s">
        <v>6846</v>
      </c>
    </row>
    <row r="160" spans="1:6" x14ac:dyDescent="0.25">
      <c r="A160" t="s">
        <v>7222</v>
      </c>
      <c r="B160" t="s">
        <v>7223</v>
      </c>
      <c r="C160" s="105">
        <v>348.25523429710864</v>
      </c>
      <c r="D160" t="s">
        <v>6846</v>
      </c>
    </row>
    <row r="161" spans="1:4" x14ac:dyDescent="0.25">
      <c r="A161" t="s">
        <v>7224</v>
      </c>
      <c r="B161" t="s">
        <v>7225</v>
      </c>
      <c r="C161" s="105">
        <v>348.25523429710864</v>
      </c>
      <c r="D161" t="s">
        <v>6846</v>
      </c>
    </row>
    <row r="162" spans="1:4" x14ac:dyDescent="0.25">
      <c r="A162" t="s">
        <v>7226</v>
      </c>
      <c r="B162" t="s">
        <v>7227</v>
      </c>
      <c r="C162" s="105">
        <v>1185.7427716849452</v>
      </c>
      <c r="D162" t="s">
        <v>6846</v>
      </c>
    </row>
    <row r="163" spans="1:4" x14ac:dyDescent="0.25">
      <c r="A163" t="s">
        <v>7228</v>
      </c>
      <c r="B163" t="s">
        <v>7229</v>
      </c>
      <c r="C163" s="105">
        <v>278.46460618145562</v>
      </c>
      <c r="D163" t="s">
        <v>6846</v>
      </c>
    </row>
    <row r="164" spans="1:4" x14ac:dyDescent="0.25">
      <c r="A164" t="s">
        <v>7230</v>
      </c>
      <c r="B164" t="s">
        <v>7231</v>
      </c>
      <c r="C164" s="105">
        <v>278.46460618145562</v>
      </c>
      <c r="D164" t="s">
        <v>6846</v>
      </c>
    </row>
    <row r="165" spans="1:4" x14ac:dyDescent="0.25">
      <c r="A165" t="s">
        <v>7232</v>
      </c>
      <c r="B165" t="s">
        <v>7233</v>
      </c>
      <c r="C165" s="105">
        <v>383.15054835493527</v>
      </c>
      <c r="D165" t="s">
        <v>6846</v>
      </c>
    </row>
    <row r="166" spans="1:4" x14ac:dyDescent="0.25">
      <c r="A166" t="s">
        <v>7234</v>
      </c>
      <c r="B166" t="s">
        <v>7235</v>
      </c>
      <c r="C166" s="105">
        <v>452.94117647058823</v>
      </c>
      <c r="D166" t="s">
        <v>6846</v>
      </c>
    </row>
    <row r="167" spans="1:4" x14ac:dyDescent="0.25">
      <c r="A167" t="s">
        <v>7236</v>
      </c>
      <c r="B167" t="s">
        <v>7237</v>
      </c>
      <c r="C167" s="105">
        <v>452.94117647058823</v>
      </c>
      <c r="D167" t="s">
        <v>6846</v>
      </c>
    </row>
    <row r="168" spans="1:4" x14ac:dyDescent="0.25">
      <c r="A168" t="s">
        <v>7238</v>
      </c>
      <c r="B168" t="s">
        <v>7239</v>
      </c>
      <c r="C168" s="105">
        <v>208.6739780658026</v>
      </c>
      <c r="D168" t="s">
        <v>6846</v>
      </c>
    </row>
    <row r="169" spans="1:4" x14ac:dyDescent="0.25">
      <c r="A169" t="s">
        <v>7240</v>
      </c>
      <c r="B169" t="s">
        <v>7241</v>
      </c>
      <c r="C169" s="105">
        <v>418.04586241276172</v>
      </c>
      <c r="D169" t="s">
        <v>6846</v>
      </c>
    </row>
    <row r="170" spans="1:4" x14ac:dyDescent="0.25">
      <c r="A170" t="s">
        <v>7242</v>
      </c>
      <c r="B170" t="s">
        <v>7243</v>
      </c>
      <c r="C170" s="105">
        <v>627.4177467597209</v>
      </c>
      <c r="D170" t="s">
        <v>6846</v>
      </c>
    </row>
    <row r="171" spans="1:4" x14ac:dyDescent="0.25">
      <c r="A171" t="s">
        <v>7244</v>
      </c>
      <c r="B171" t="s">
        <v>7245</v>
      </c>
      <c r="C171" s="105">
        <v>418.04586241276172</v>
      </c>
      <c r="D171" t="s">
        <v>6846</v>
      </c>
    </row>
    <row r="172" spans="1:4" x14ac:dyDescent="0.25">
      <c r="A172" t="s">
        <v>7246</v>
      </c>
      <c r="B172" t="s">
        <v>7247</v>
      </c>
      <c r="C172" s="105">
        <v>348.25523429710864</v>
      </c>
      <c r="D172" t="s">
        <v>6846</v>
      </c>
    </row>
    <row r="173" spans="1:4" x14ac:dyDescent="0.25">
      <c r="A173" t="s">
        <v>7248</v>
      </c>
      <c r="B173" t="s">
        <v>7249</v>
      </c>
      <c r="C173" s="105">
        <v>627.4177467597209</v>
      </c>
      <c r="D173" t="s">
        <v>6846</v>
      </c>
    </row>
    <row r="174" spans="1:4" x14ac:dyDescent="0.25">
      <c r="A174" t="s">
        <v>7250</v>
      </c>
      <c r="B174" t="s">
        <v>7251</v>
      </c>
      <c r="C174" s="105">
        <v>418.04586241276172</v>
      </c>
      <c r="D174" t="s">
        <v>6846</v>
      </c>
    </row>
    <row r="175" spans="1:4" x14ac:dyDescent="0.25">
      <c r="A175" t="s">
        <v>7252</v>
      </c>
      <c r="B175" t="s">
        <v>7253</v>
      </c>
      <c r="C175" s="105">
        <v>487.8364905284148</v>
      </c>
      <c r="D175" t="s">
        <v>6846</v>
      </c>
    </row>
    <row r="176" spans="1:4" x14ac:dyDescent="0.25">
      <c r="A176" t="s">
        <v>7254</v>
      </c>
      <c r="B176" t="s">
        <v>7255</v>
      </c>
      <c r="C176" s="105">
        <v>557.62711864406776</v>
      </c>
      <c r="D176" t="s">
        <v>6846</v>
      </c>
    </row>
    <row r="177" spans="1:4" x14ac:dyDescent="0.25">
      <c r="A177" t="s">
        <v>7256</v>
      </c>
      <c r="B177" t="s">
        <v>7257</v>
      </c>
      <c r="C177" s="105">
        <v>627.4177467597209</v>
      </c>
      <c r="D177" t="s">
        <v>6846</v>
      </c>
    </row>
    <row r="178" spans="1:4" x14ac:dyDescent="0.25">
      <c r="A178" t="s">
        <v>7258</v>
      </c>
      <c r="B178" t="s">
        <v>7259</v>
      </c>
      <c r="C178" s="105">
        <v>697.20837487537381</v>
      </c>
      <c r="D178" t="s">
        <v>6846</v>
      </c>
    </row>
    <row r="179" spans="1:4" x14ac:dyDescent="0.25">
      <c r="A179" t="s">
        <v>7260</v>
      </c>
      <c r="B179" t="s">
        <v>7261</v>
      </c>
      <c r="C179" s="105">
        <v>1081.0568295114656</v>
      </c>
      <c r="D179" t="s">
        <v>6846</v>
      </c>
    </row>
    <row r="180" spans="1:4" x14ac:dyDescent="0.25">
      <c r="A180" t="s">
        <v>7262</v>
      </c>
      <c r="B180" t="s">
        <v>7263</v>
      </c>
      <c r="C180" s="105">
        <v>1081.0568295114656</v>
      </c>
      <c r="D180" t="s">
        <v>6846</v>
      </c>
    </row>
    <row r="181" spans="1:4" x14ac:dyDescent="0.25">
      <c r="A181" t="s">
        <v>7264</v>
      </c>
      <c r="B181" t="s">
        <v>7265</v>
      </c>
      <c r="C181" s="105">
        <v>697.20837487537381</v>
      </c>
      <c r="D181" t="s">
        <v>6846</v>
      </c>
    </row>
    <row r="182" spans="1:4" x14ac:dyDescent="0.25">
      <c r="A182" t="s">
        <v>7266</v>
      </c>
      <c r="B182" t="s">
        <v>7267</v>
      </c>
      <c r="C182" s="105">
        <v>522.73180458624131</v>
      </c>
      <c r="D182" t="s">
        <v>6846</v>
      </c>
    </row>
    <row r="183" spans="1:4" x14ac:dyDescent="0.25">
      <c r="A183" t="s">
        <v>7268</v>
      </c>
      <c r="B183" t="s">
        <v>7269</v>
      </c>
      <c r="C183" s="105">
        <v>208.6739780658026</v>
      </c>
      <c r="D183" t="s">
        <v>6846</v>
      </c>
    </row>
    <row r="184" spans="1:4" x14ac:dyDescent="0.25">
      <c r="A184" t="s">
        <v>7270</v>
      </c>
      <c r="B184" t="s">
        <v>7271</v>
      </c>
      <c r="C184" s="105">
        <v>609.40677966101691</v>
      </c>
      <c r="D184" t="s">
        <v>6846</v>
      </c>
    </row>
    <row r="185" spans="1:4" x14ac:dyDescent="0.25">
      <c r="A185" t="s">
        <v>7272</v>
      </c>
      <c r="B185" t="s">
        <v>7273</v>
      </c>
      <c r="C185" s="105">
        <v>1067.0338983050849</v>
      </c>
      <c r="D185" t="s">
        <v>6846</v>
      </c>
    </row>
    <row r="186" spans="1:4" x14ac:dyDescent="0.25">
      <c r="A186" t="s">
        <v>7274</v>
      </c>
      <c r="B186" t="s">
        <v>7275</v>
      </c>
      <c r="C186" s="105">
        <v>1067.0338983050849</v>
      </c>
      <c r="D186" t="s">
        <v>6846</v>
      </c>
    </row>
    <row r="187" spans="1:4" x14ac:dyDescent="0.25">
      <c r="A187" t="s">
        <v>7276</v>
      </c>
      <c r="B187" t="s">
        <v>7277</v>
      </c>
      <c r="C187" s="105">
        <v>838.22033898305096</v>
      </c>
      <c r="D187" t="s">
        <v>6846</v>
      </c>
    </row>
    <row r="188" spans="1:4" x14ac:dyDescent="0.25">
      <c r="A188" t="s">
        <v>7876</v>
      </c>
      <c r="B188" t="s">
        <v>7877</v>
      </c>
      <c r="C188" s="105">
        <v>761.86</v>
      </c>
    </row>
    <row r="189" spans="1:4" x14ac:dyDescent="0.25">
      <c r="A189" t="s">
        <v>7878</v>
      </c>
      <c r="B189" t="s">
        <v>7879</v>
      </c>
      <c r="C189" s="105">
        <v>1516.95</v>
      </c>
    </row>
    <row r="190" spans="1:4" x14ac:dyDescent="0.25">
      <c r="A190" t="s">
        <v>7880</v>
      </c>
      <c r="B190" t="s">
        <v>7881</v>
      </c>
      <c r="C190" s="105">
        <v>1439.83</v>
      </c>
    </row>
    <row r="191" spans="1:4" x14ac:dyDescent="0.25">
      <c r="A191" t="s">
        <v>7882</v>
      </c>
      <c r="B191" t="s">
        <v>7883</v>
      </c>
      <c r="C191" s="105">
        <v>930.51</v>
      </c>
    </row>
    <row r="192" spans="1:4" x14ac:dyDescent="0.25">
      <c r="A192" t="s">
        <v>7884</v>
      </c>
      <c r="B192" t="s">
        <v>7885</v>
      </c>
      <c r="C192" s="105">
        <v>575.41999999999996</v>
      </c>
    </row>
    <row r="193" spans="1:3" x14ac:dyDescent="0.25">
      <c r="A193" t="s">
        <v>7886</v>
      </c>
      <c r="B193" t="s">
        <v>7887</v>
      </c>
      <c r="C193" s="105">
        <v>804.24</v>
      </c>
    </row>
    <row r="194" spans="1:3" x14ac:dyDescent="0.25">
      <c r="A194" t="s">
        <v>7888</v>
      </c>
      <c r="B194" t="s">
        <v>7889</v>
      </c>
      <c r="C194" s="105">
        <v>634.75</v>
      </c>
    </row>
    <row r="195" spans="1:3" x14ac:dyDescent="0.25">
      <c r="A195" t="s">
        <v>7890</v>
      </c>
      <c r="B195" t="s">
        <v>7891</v>
      </c>
      <c r="C195" s="105">
        <v>338.14</v>
      </c>
    </row>
    <row r="196" spans="1:3" x14ac:dyDescent="0.25">
      <c r="A196" t="s">
        <v>7892</v>
      </c>
      <c r="B196" t="s">
        <v>7893</v>
      </c>
      <c r="C196" s="105">
        <v>3134.75</v>
      </c>
    </row>
    <row r="197" spans="1:3" x14ac:dyDescent="0.25">
      <c r="A197" t="s">
        <v>7894</v>
      </c>
      <c r="B197" t="s">
        <v>7895</v>
      </c>
      <c r="C197" s="105">
        <v>1778.81</v>
      </c>
    </row>
    <row r="198" spans="1:3" x14ac:dyDescent="0.25">
      <c r="A198" t="s">
        <v>7896</v>
      </c>
      <c r="B198" t="s">
        <v>7897</v>
      </c>
      <c r="C198" s="105">
        <v>507.63</v>
      </c>
    </row>
    <row r="199" spans="1:3" x14ac:dyDescent="0.25">
      <c r="A199" t="s">
        <v>7898</v>
      </c>
      <c r="B199" t="s">
        <v>7899</v>
      </c>
      <c r="C199" s="105">
        <v>1185.5899999999999</v>
      </c>
    </row>
    <row r="200" spans="1:3" x14ac:dyDescent="0.25">
      <c r="A200" t="s">
        <v>7278</v>
      </c>
      <c r="B200" t="s">
        <v>7279</v>
      </c>
      <c r="C200" s="105">
        <v>1439.83</v>
      </c>
    </row>
    <row r="201" spans="1:3" x14ac:dyDescent="0.25">
      <c r="A201" t="s">
        <v>7900</v>
      </c>
      <c r="B201" t="s">
        <v>7901</v>
      </c>
      <c r="C201" s="105">
        <v>1482.2</v>
      </c>
    </row>
    <row r="202" spans="1:3" x14ac:dyDescent="0.25">
      <c r="A202" t="s">
        <v>7902</v>
      </c>
      <c r="B202" t="s">
        <v>7903</v>
      </c>
      <c r="C202" s="105">
        <v>1236.44</v>
      </c>
    </row>
    <row r="203" spans="1:3" x14ac:dyDescent="0.25">
      <c r="A203" t="s">
        <v>7904</v>
      </c>
      <c r="B203" t="s">
        <v>7905</v>
      </c>
      <c r="C203" s="105">
        <v>388.98</v>
      </c>
    </row>
    <row r="204" spans="1:3" x14ac:dyDescent="0.25">
      <c r="A204" t="s">
        <v>7906</v>
      </c>
      <c r="B204" t="s">
        <v>7907</v>
      </c>
      <c r="C204" s="105">
        <v>507.63</v>
      </c>
    </row>
    <row r="205" spans="1:3" x14ac:dyDescent="0.25">
      <c r="A205" t="s">
        <v>7908</v>
      </c>
      <c r="B205" t="s">
        <v>7909</v>
      </c>
      <c r="C205" s="105">
        <v>677.12</v>
      </c>
    </row>
    <row r="206" spans="1:3" x14ac:dyDescent="0.25">
      <c r="A206" t="s">
        <v>7910</v>
      </c>
      <c r="B206" t="s">
        <v>7911</v>
      </c>
      <c r="C206" s="105">
        <v>448.31</v>
      </c>
    </row>
    <row r="207" spans="1:3" x14ac:dyDescent="0.25">
      <c r="A207" t="s">
        <v>7912</v>
      </c>
      <c r="B207" t="s">
        <v>7913</v>
      </c>
      <c r="C207" s="105">
        <v>1651.69</v>
      </c>
    </row>
    <row r="208" spans="1:3" x14ac:dyDescent="0.25">
      <c r="A208" t="s">
        <v>7914</v>
      </c>
      <c r="B208" t="s">
        <v>7915</v>
      </c>
      <c r="C208" s="105">
        <v>1778.81</v>
      </c>
    </row>
    <row r="209" spans="1:3" x14ac:dyDescent="0.25">
      <c r="A209" t="s">
        <v>7916</v>
      </c>
      <c r="B209" t="s">
        <v>7917</v>
      </c>
      <c r="C209" s="105">
        <v>1609.32</v>
      </c>
    </row>
    <row r="210" spans="1:3" x14ac:dyDescent="0.25">
      <c r="A210" t="s">
        <v>7918</v>
      </c>
      <c r="B210" t="s">
        <v>7919</v>
      </c>
      <c r="C210" s="105">
        <v>1694.07</v>
      </c>
    </row>
    <row r="211" spans="1:3" x14ac:dyDescent="0.25">
      <c r="A211" t="s">
        <v>7920</v>
      </c>
      <c r="B211" t="s">
        <v>7921</v>
      </c>
      <c r="C211" s="105">
        <v>1355.08</v>
      </c>
    </row>
    <row r="212" spans="1:3" x14ac:dyDescent="0.25">
      <c r="A212" t="s">
        <v>7922</v>
      </c>
      <c r="B212" t="s">
        <v>7923</v>
      </c>
      <c r="C212" s="105">
        <v>1778.81</v>
      </c>
    </row>
    <row r="213" spans="1:3" x14ac:dyDescent="0.25">
      <c r="A213" t="s">
        <v>7924</v>
      </c>
      <c r="B213" t="s">
        <v>7925</v>
      </c>
      <c r="C213" s="105">
        <v>1694.07</v>
      </c>
    </row>
    <row r="214" spans="1:3" x14ac:dyDescent="0.25">
      <c r="A214" t="s">
        <v>7926</v>
      </c>
      <c r="B214" t="s">
        <v>7927</v>
      </c>
      <c r="C214" s="105">
        <v>2287.29</v>
      </c>
    </row>
    <row r="215" spans="1:3" x14ac:dyDescent="0.25">
      <c r="A215" t="s">
        <v>7928</v>
      </c>
      <c r="B215" t="s">
        <v>7929</v>
      </c>
      <c r="C215" s="105">
        <v>1016.1</v>
      </c>
    </row>
    <row r="216" spans="1:3" x14ac:dyDescent="0.25">
      <c r="A216" t="s">
        <v>7930</v>
      </c>
      <c r="B216" t="s">
        <v>7931</v>
      </c>
      <c r="C216" s="105">
        <v>1270.3399999999999</v>
      </c>
    </row>
    <row r="217" spans="1:3" x14ac:dyDescent="0.25">
      <c r="A217" t="s">
        <v>7932</v>
      </c>
      <c r="B217" t="s">
        <v>7933</v>
      </c>
      <c r="C217" s="105">
        <v>1270.3389830508472</v>
      </c>
    </row>
    <row r="218" spans="1:3" x14ac:dyDescent="0.25">
      <c r="A218" t="s">
        <v>7934</v>
      </c>
      <c r="B218" t="s">
        <v>7935</v>
      </c>
      <c r="C218" s="105">
        <v>2372.0338983050847</v>
      </c>
    </row>
    <row r="219" spans="1:3" x14ac:dyDescent="0.25">
      <c r="A219" t="s">
        <v>7936</v>
      </c>
      <c r="B219" t="s">
        <v>7937</v>
      </c>
      <c r="C219" s="105">
        <v>1270.3389830508472</v>
      </c>
    </row>
    <row r="220" spans="1:3" x14ac:dyDescent="0.25">
      <c r="A220" t="s">
        <v>7938</v>
      </c>
      <c r="B220" t="s">
        <v>7939</v>
      </c>
      <c r="C220" s="105">
        <v>1439.8305084745766</v>
      </c>
    </row>
    <row r="221" spans="1:3" x14ac:dyDescent="0.25">
      <c r="A221" t="s">
        <v>7940</v>
      </c>
      <c r="B221" t="s">
        <v>7941</v>
      </c>
      <c r="C221" s="105">
        <v>3134.7457627118652</v>
      </c>
    </row>
    <row r="222" spans="1:3" x14ac:dyDescent="0.25">
      <c r="A222" t="s">
        <v>7280</v>
      </c>
      <c r="B222" t="s">
        <v>7281</v>
      </c>
      <c r="C222" s="105">
        <v>2372.0338983050847</v>
      </c>
    </row>
    <row r="223" spans="1:3" x14ac:dyDescent="0.25">
      <c r="A223" t="s">
        <v>7942</v>
      </c>
      <c r="B223" t="s">
        <v>7943</v>
      </c>
      <c r="C223" s="105">
        <v>2287.2881355932204</v>
      </c>
    </row>
    <row r="224" spans="1:3" x14ac:dyDescent="0.25">
      <c r="A224" t="s">
        <v>7944</v>
      </c>
      <c r="B224" t="s">
        <v>7945</v>
      </c>
      <c r="C224" s="105">
        <v>3133.9830508474579</v>
      </c>
    </row>
    <row r="225" spans="1:3" x14ac:dyDescent="0.25">
      <c r="A225" t="s">
        <v>7946</v>
      </c>
      <c r="B225" t="s">
        <v>7947</v>
      </c>
      <c r="C225" s="105">
        <v>2211.1016949152545</v>
      </c>
    </row>
    <row r="226" spans="1:3" x14ac:dyDescent="0.25">
      <c r="A226" t="s">
        <v>7948</v>
      </c>
      <c r="B226" t="s">
        <v>7949</v>
      </c>
      <c r="C226" s="105">
        <v>1143.3050847457628</v>
      </c>
    </row>
    <row r="227" spans="1:3" x14ac:dyDescent="0.25">
      <c r="A227" t="s">
        <v>7950</v>
      </c>
      <c r="B227" t="s">
        <v>7951</v>
      </c>
      <c r="C227" s="105">
        <v>151.77966101694921</v>
      </c>
    </row>
    <row r="228" spans="1:3" x14ac:dyDescent="0.25">
      <c r="A228" t="s">
        <v>7282</v>
      </c>
      <c r="B228" t="s">
        <v>7283</v>
      </c>
      <c r="C228" s="105">
        <v>2256.8644067796613</v>
      </c>
    </row>
    <row r="229" spans="1:3" x14ac:dyDescent="0.25">
      <c r="A229" t="s">
        <v>7284</v>
      </c>
      <c r="B229" t="s">
        <v>7285</v>
      </c>
      <c r="C229" s="105">
        <v>4270.42372881356</v>
      </c>
    </row>
    <row r="230" spans="1:3" x14ac:dyDescent="0.25">
      <c r="A230" t="s">
        <v>7286</v>
      </c>
      <c r="B230" t="s">
        <v>7287</v>
      </c>
      <c r="C230" s="105">
        <v>2066.9491525423732</v>
      </c>
    </row>
    <row r="231" spans="1:3" x14ac:dyDescent="0.25">
      <c r="A231" t="s">
        <v>7952</v>
      </c>
      <c r="B231" t="s">
        <v>7953</v>
      </c>
      <c r="C231" s="105">
        <v>571.27118644067809</v>
      </c>
    </row>
    <row r="232" spans="1:3" x14ac:dyDescent="0.25">
      <c r="A232" t="s">
        <v>7954</v>
      </c>
      <c r="B232" t="s">
        <v>7955</v>
      </c>
      <c r="C232" s="105">
        <v>1143.3050847457628</v>
      </c>
    </row>
    <row r="233" spans="1:3" x14ac:dyDescent="0.25">
      <c r="A233" t="s">
        <v>7288</v>
      </c>
      <c r="B233" t="s">
        <v>7289</v>
      </c>
      <c r="C233" s="105">
        <v>609.40677966101691</v>
      </c>
    </row>
    <row r="234" spans="1:3" x14ac:dyDescent="0.25">
      <c r="A234" t="s">
        <v>7956</v>
      </c>
      <c r="B234" t="s">
        <v>7957</v>
      </c>
      <c r="C234" s="105">
        <v>418.72881355932208</v>
      </c>
    </row>
    <row r="235" spans="1:3" x14ac:dyDescent="0.25">
      <c r="A235" t="s">
        <v>7958</v>
      </c>
      <c r="B235" t="s">
        <v>7959</v>
      </c>
      <c r="C235" s="105">
        <v>761.94915254237287</v>
      </c>
    </row>
    <row r="236" spans="1:3" x14ac:dyDescent="0.25">
      <c r="A236" t="s">
        <v>7960</v>
      </c>
      <c r="B236" t="s">
        <v>7961</v>
      </c>
      <c r="C236" s="105">
        <v>960.25423728813576</v>
      </c>
    </row>
    <row r="237" spans="1:3" x14ac:dyDescent="0.25">
      <c r="A237" t="s">
        <v>7962</v>
      </c>
      <c r="B237" t="s">
        <v>7963</v>
      </c>
      <c r="C237" s="105">
        <v>563.64406779661022</v>
      </c>
    </row>
    <row r="238" spans="1:3" x14ac:dyDescent="0.25">
      <c r="A238" t="s">
        <v>7290</v>
      </c>
      <c r="B238" t="s">
        <v>7291</v>
      </c>
      <c r="C238" s="105">
        <v>990.76271186440692</v>
      </c>
    </row>
    <row r="239" spans="1:3" x14ac:dyDescent="0.25">
      <c r="A239" t="s">
        <v>7292</v>
      </c>
      <c r="B239" t="s">
        <v>7293</v>
      </c>
      <c r="C239" s="105">
        <v>914.49152542372883</v>
      </c>
    </row>
    <row r="240" spans="1:3" x14ac:dyDescent="0.25">
      <c r="A240" t="s">
        <v>7964</v>
      </c>
      <c r="B240" t="s">
        <v>7965</v>
      </c>
      <c r="C240" s="105">
        <v>2036.4406779661017</v>
      </c>
    </row>
    <row r="241" spans="1:3" x14ac:dyDescent="0.25">
      <c r="A241" t="s">
        <v>7966</v>
      </c>
      <c r="B241" t="s">
        <v>7967</v>
      </c>
      <c r="C241" s="105">
        <v>1196.6949152542372</v>
      </c>
    </row>
    <row r="242" spans="1:3" x14ac:dyDescent="0.25">
      <c r="A242" t="s">
        <v>7968</v>
      </c>
      <c r="B242" t="s">
        <v>7294</v>
      </c>
      <c r="C242" s="105">
        <v>456.86440677966107</v>
      </c>
    </row>
    <row r="243" spans="1:3" x14ac:dyDescent="0.25">
      <c r="A243" t="s">
        <v>7295</v>
      </c>
      <c r="B243" t="s">
        <v>7296</v>
      </c>
      <c r="C243" s="105">
        <v>533.13559322033905</v>
      </c>
    </row>
    <row r="244" spans="1:3" x14ac:dyDescent="0.25">
      <c r="A244" t="s">
        <v>7969</v>
      </c>
      <c r="B244" t="s">
        <v>7970</v>
      </c>
      <c r="C244" s="105">
        <v>418.72881355932208</v>
      </c>
    </row>
    <row r="245" spans="1:3" x14ac:dyDescent="0.25">
      <c r="A245" t="s">
        <v>7971</v>
      </c>
      <c r="B245" t="s">
        <v>7972</v>
      </c>
      <c r="C245" s="105">
        <v>441.61016949152548</v>
      </c>
    </row>
    <row r="246" spans="1:3" x14ac:dyDescent="0.25">
      <c r="A246" t="s">
        <v>7973</v>
      </c>
      <c r="B246" t="s">
        <v>7974</v>
      </c>
      <c r="C246" s="105">
        <v>533.13559322033905</v>
      </c>
    </row>
    <row r="247" spans="1:3" x14ac:dyDescent="0.25">
      <c r="A247" t="s">
        <v>7297</v>
      </c>
      <c r="B247" t="s">
        <v>7298</v>
      </c>
      <c r="C247" s="105">
        <v>1135.6779661016949</v>
      </c>
    </row>
    <row r="248" spans="1:3" x14ac:dyDescent="0.25">
      <c r="A248" t="s">
        <v>7975</v>
      </c>
      <c r="B248" t="s">
        <v>7976</v>
      </c>
      <c r="C248" s="105">
        <v>1517.7966101694915</v>
      </c>
    </row>
    <row r="249" spans="1:3" x14ac:dyDescent="0.25">
      <c r="A249" t="s">
        <v>7299</v>
      </c>
      <c r="B249" t="s">
        <v>7300</v>
      </c>
      <c r="C249" s="105">
        <v>761.94915254237287</v>
      </c>
    </row>
    <row r="250" spans="1:3" x14ac:dyDescent="0.25">
      <c r="A250" t="s">
        <v>7977</v>
      </c>
      <c r="B250" t="s">
        <v>7978</v>
      </c>
      <c r="C250" s="105">
        <v>693.30508474576277</v>
      </c>
    </row>
    <row r="251" spans="1:3" x14ac:dyDescent="0.25">
      <c r="A251" t="s">
        <v>7979</v>
      </c>
      <c r="B251" t="s">
        <v>7980</v>
      </c>
      <c r="C251" s="105">
        <v>609.40677966101691</v>
      </c>
    </row>
    <row r="252" spans="1:3" x14ac:dyDescent="0.25">
      <c r="A252" t="s">
        <v>7981</v>
      </c>
      <c r="B252" t="s">
        <v>7982</v>
      </c>
      <c r="C252" s="105">
        <v>479.74576271186442</v>
      </c>
    </row>
    <row r="253" spans="1:3" x14ac:dyDescent="0.25">
      <c r="A253" t="s">
        <v>7983</v>
      </c>
      <c r="B253" t="s">
        <v>7984</v>
      </c>
      <c r="C253" s="105">
        <v>578.89830508474574</v>
      </c>
    </row>
    <row r="254" spans="1:3" x14ac:dyDescent="0.25">
      <c r="A254" t="s">
        <v>7985</v>
      </c>
      <c r="B254" t="s">
        <v>7986</v>
      </c>
      <c r="C254" s="105">
        <v>556.01694915254245</v>
      </c>
    </row>
    <row r="255" spans="1:3" x14ac:dyDescent="0.25">
      <c r="A255" t="s">
        <v>7987</v>
      </c>
      <c r="B255" t="s">
        <v>7988</v>
      </c>
      <c r="C255" s="105">
        <v>327.20338983050846</v>
      </c>
    </row>
    <row r="256" spans="1:3" x14ac:dyDescent="0.25">
      <c r="A256" t="s">
        <v>7989</v>
      </c>
      <c r="B256" t="s">
        <v>7990</v>
      </c>
      <c r="C256" s="105">
        <v>1982.2881355932207</v>
      </c>
    </row>
    <row r="257" spans="1:3" x14ac:dyDescent="0.25">
      <c r="A257" t="s">
        <v>7991</v>
      </c>
      <c r="B257" t="s">
        <v>7992</v>
      </c>
      <c r="C257" s="105">
        <v>761.94915254237287</v>
      </c>
    </row>
    <row r="258" spans="1:3" x14ac:dyDescent="0.25">
      <c r="A258" t="s">
        <v>7993</v>
      </c>
      <c r="B258" t="s">
        <v>7994</v>
      </c>
      <c r="C258" s="105">
        <v>845.84745762711862</v>
      </c>
    </row>
    <row r="259" spans="1:3" x14ac:dyDescent="0.25">
      <c r="A259" t="s">
        <v>7995</v>
      </c>
      <c r="B259" t="s">
        <v>7996</v>
      </c>
      <c r="C259" s="105">
        <v>1372.1186440677968</v>
      </c>
    </row>
    <row r="260" spans="1:3" x14ac:dyDescent="0.25">
      <c r="A260" t="s">
        <v>7997</v>
      </c>
      <c r="B260" t="s">
        <v>7998</v>
      </c>
      <c r="C260" s="105">
        <v>1982.2881355932207</v>
      </c>
    </row>
    <row r="261" spans="1:3" x14ac:dyDescent="0.25">
      <c r="A261" t="s">
        <v>7301</v>
      </c>
      <c r="B261" t="s">
        <v>7302</v>
      </c>
      <c r="C261" s="105">
        <v>3164.4915254237289</v>
      </c>
    </row>
    <row r="262" spans="1:3" x14ac:dyDescent="0.25">
      <c r="A262" t="s">
        <v>7303</v>
      </c>
      <c r="B262" t="s">
        <v>7304</v>
      </c>
      <c r="C262" s="105">
        <v>5719.5762711864409</v>
      </c>
    </row>
    <row r="263" spans="1:3" x14ac:dyDescent="0.25">
      <c r="A263" t="s">
        <v>7305</v>
      </c>
      <c r="B263" t="s">
        <v>7306</v>
      </c>
      <c r="C263" s="105">
        <v>777.20338983050851</v>
      </c>
    </row>
    <row r="264" spans="1:3" x14ac:dyDescent="0.25">
      <c r="A264" t="s">
        <v>7307</v>
      </c>
      <c r="B264" t="s">
        <v>7308</v>
      </c>
      <c r="C264" s="105">
        <v>3583.9830508474579</v>
      </c>
    </row>
    <row r="265" spans="1:3" x14ac:dyDescent="0.25">
      <c r="A265" t="s">
        <v>7309</v>
      </c>
      <c r="B265" t="s">
        <v>7310</v>
      </c>
      <c r="C265" s="105">
        <v>6581.4406779661022</v>
      </c>
    </row>
    <row r="266" spans="1:3" x14ac:dyDescent="0.25">
      <c r="A266" t="s">
        <v>7311</v>
      </c>
      <c r="B266" t="s">
        <v>7312</v>
      </c>
      <c r="C266" s="105">
        <v>10067.033898305086</v>
      </c>
    </row>
    <row r="267" spans="1:3" x14ac:dyDescent="0.25">
      <c r="A267" t="s">
        <v>7999</v>
      </c>
      <c r="B267" t="s">
        <v>8000</v>
      </c>
      <c r="C267" s="105">
        <v>380.59322033898314</v>
      </c>
    </row>
    <row r="268" spans="1:3" x14ac:dyDescent="0.25">
      <c r="A268" t="s">
        <v>7313</v>
      </c>
      <c r="B268" t="s">
        <v>7314</v>
      </c>
      <c r="C268" s="105">
        <v>51.788135593220339</v>
      </c>
    </row>
    <row r="269" spans="1:3" x14ac:dyDescent="0.25">
      <c r="A269" t="s">
        <v>7315</v>
      </c>
      <c r="B269" t="s">
        <v>7316</v>
      </c>
      <c r="C269" s="105">
        <v>139.57627118644069</v>
      </c>
    </row>
    <row r="270" spans="1:3" x14ac:dyDescent="0.25">
      <c r="A270" t="s">
        <v>7317</v>
      </c>
      <c r="B270" t="s">
        <v>7318</v>
      </c>
      <c r="C270" s="105">
        <v>60.254237288135599</v>
      </c>
    </row>
    <row r="271" spans="1:3" x14ac:dyDescent="0.25">
      <c r="A271" t="s">
        <v>7319</v>
      </c>
      <c r="B271" t="s">
        <v>7320</v>
      </c>
      <c r="C271" s="105">
        <v>167.03389830508476</v>
      </c>
    </row>
    <row r="272" spans="1:3" x14ac:dyDescent="0.25">
      <c r="A272" t="s">
        <v>7321</v>
      </c>
      <c r="B272" t="s">
        <v>7322</v>
      </c>
      <c r="C272" s="105">
        <v>197.54237288135596</v>
      </c>
    </row>
    <row r="273" spans="1:3" x14ac:dyDescent="0.25">
      <c r="A273" t="s">
        <v>8001</v>
      </c>
      <c r="B273" t="s">
        <v>8002</v>
      </c>
      <c r="C273" s="105">
        <v>761.94915254237287</v>
      </c>
    </row>
    <row r="274" spans="1:3" x14ac:dyDescent="0.25">
      <c r="A274" t="s">
        <v>7323</v>
      </c>
      <c r="B274" t="s">
        <v>7324</v>
      </c>
      <c r="C274" s="105">
        <v>113.64406779661019</v>
      </c>
    </row>
    <row r="275" spans="1:3" x14ac:dyDescent="0.25">
      <c r="A275" t="s">
        <v>7325</v>
      </c>
      <c r="B275" t="s">
        <v>7326</v>
      </c>
      <c r="C275" s="105">
        <v>83.13559322033899</v>
      </c>
    </row>
    <row r="276" spans="1:3" x14ac:dyDescent="0.25">
      <c r="A276" t="s">
        <v>7327</v>
      </c>
      <c r="B276" t="s">
        <v>7328</v>
      </c>
      <c r="C276" s="105">
        <v>305.08474576271192</v>
      </c>
    </row>
    <row r="277" spans="1:3" x14ac:dyDescent="0.25">
      <c r="A277" t="s">
        <v>7329</v>
      </c>
      <c r="B277" t="s">
        <v>7330</v>
      </c>
      <c r="C277" s="105">
        <v>685.67796610169501</v>
      </c>
    </row>
    <row r="278" spans="1:3" x14ac:dyDescent="0.25">
      <c r="A278" t="s">
        <v>7331</v>
      </c>
      <c r="B278" t="s">
        <v>7332</v>
      </c>
      <c r="C278" s="105">
        <v>119.74576271186442</v>
      </c>
    </row>
    <row r="279" spans="1:3" x14ac:dyDescent="0.25">
      <c r="A279" t="s">
        <v>7333</v>
      </c>
      <c r="B279" t="s">
        <v>7334</v>
      </c>
      <c r="C279" s="105">
        <v>151.77966101694921</v>
      </c>
    </row>
    <row r="280" spans="1:3" x14ac:dyDescent="0.25">
      <c r="A280" t="s">
        <v>7335</v>
      </c>
      <c r="B280" t="s">
        <v>6892</v>
      </c>
      <c r="C280" s="105">
        <v>350.84745762711867</v>
      </c>
    </row>
    <row r="281" spans="1:3" x14ac:dyDescent="0.25">
      <c r="A281" t="s">
        <v>7336</v>
      </c>
      <c r="B281" t="s">
        <v>7337</v>
      </c>
      <c r="C281" s="105">
        <v>655.16949152542384</v>
      </c>
    </row>
    <row r="282" spans="1:3" x14ac:dyDescent="0.25">
      <c r="A282" t="s">
        <v>7338</v>
      </c>
      <c r="B282" t="s">
        <v>7339</v>
      </c>
      <c r="C282" s="105">
        <v>1220.3389830508477</v>
      </c>
    </row>
    <row r="283" spans="1:3" x14ac:dyDescent="0.25">
      <c r="A283" t="s">
        <v>7340</v>
      </c>
      <c r="B283" t="s">
        <v>7341</v>
      </c>
      <c r="C283" s="105">
        <v>1746.6101694915255</v>
      </c>
    </row>
    <row r="284" spans="1:3" x14ac:dyDescent="0.25">
      <c r="A284" t="s">
        <v>7342</v>
      </c>
      <c r="B284" t="s">
        <v>7343</v>
      </c>
      <c r="C284" s="105">
        <v>1983.0508474576272</v>
      </c>
    </row>
    <row r="285" spans="1:3" x14ac:dyDescent="0.25">
      <c r="A285" t="s">
        <v>7350</v>
      </c>
      <c r="B285" t="s">
        <v>7351</v>
      </c>
      <c r="C285" s="105">
        <v>159.40677966101697</v>
      </c>
    </row>
    <row r="286" spans="1:3" x14ac:dyDescent="0.25">
      <c r="A286" t="s">
        <v>7352</v>
      </c>
      <c r="B286" t="s">
        <v>7353</v>
      </c>
      <c r="C286" s="105">
        <v>258.55932203389835</v>
      </c>
    </row>
    <row r="287" spans="1:3" x14ac:dyDescent="0.25">
      <c r="A287" t="s">
        <v>7354</v>
      </c>
      <c r="B287" t="s">
        <v>7355</v>
      </c>
      <c r="C287" s="105">
        <v>243.30508474576271</v>
      </c>
    </row>
    <row r="288" spans="1:3" x14ac:dyDescent="0.25">
      <c r="A288" t="s">
        <v>7356</v>
      </c>
      <c r="B288" t="s">
        <v>7357</v>
      </c>
      <c r="C288" s="105">
        <v>376.0169491525424</v>
      </c>
    </row>
    <row r="289" spans="1:3" x14ac:dyDescent="0.25">
      <c r="A289" t="s">
        <v>7358</v>
      </c>
      <c r="B289" t="s">
        <v>7359</v>
      </c>
      <c r="C289" s="105">
        <v>350.08474576271192</v>
      </c>
    </row>
    <row r="290" spans="1:3" x14ac:dyDescent="0.25">
      <c r="A290" t="s">
        <v>7360</v>
      </c>
      <c r="B290" t="s">
        <v>7361</v>
      </c>
      <c r="C290" s="105">
        <v>579.66101694915267</v>
      </c>
    </row>
    <row r="291" spans="1:3" x14ac:dyDescent="0.25">
      <c r="A291" t="s">
        <v>8003</v>
      </c>
      <c r="B291" t="s">
        <v>7362</v>
      </c>
      <c r="C291" s="105">
        <v>915.25423728813576</v>
      </c>
    </row>
    <row r="292" spans="1:3" x14ac:dyDescent="0.25">
      <c r="A292" t="s">
        <v>8004</v>
      </c>
      <c r="B292" t="s">
        <v>7363</v>
      </c>
      <c r="C292" s="105">
        <v>1875.5084745762715</v>
      </c>
    </row>
    <row r="293" spans="1:3" x14ac:dyDescent="0.25">
      <c r="A293" t="s">
        <v>7364</v>
      </c>
      <c r="B293" t="s">
        <v>7365</v>
      </c>
      <c r="C293" s="105">
        <v>136.52542372881356</v>
      </c>
    </row>
    <row r="294" spans="1:3" x14ac:dyDescent="0.25">
      <c r="A294" t="s">
        <v>7366</v>
      </c>
      <c r="B294" t="s">
        <v>7367</v>
      </c>
      <c r="C294" s="105">
        <v>335.59322033898314</v>
      </c>
    </row>
    <row r="295" spans="1:3" x14ac:dyDescent="0.25">
      <c r="A295" t="s">
        <v>7368</v>
      </c>
      <c r="B295" t="s">
        <v>7369</v>
      </c>
      <c r="C295" s="105">
        <v>400.42372881355931</v>
      </c>
    </row>
    <row r="296" spans="1:3" x14ac:dyDescent="0.25">
      <c r="A296" t="s">
        <v>7370</v>
      </c>
      <c r="B296" t="s">
        <v>7371</v>
      </c>
      <c r="C296" s="105">
        <v>48.813559322033903</v>
      </c>
    </row>
    <row r="297" spans="1:3" x14ac:dyDescent="0.25">
      <c r="A297" t="s">
        <v>8005</v>
      </c>
      <c r="B297" t="s">
        <v>8006</v>
      </c>
      <c r="C297" s="105">
        <v>258.55932203389835</v>
      </c>
    </row>
    <row r="298" spans="1:3" x14ac:dyDescent="0.25">
      <c r="A298" t="s">
        <v>7372</v>
      </c>
      <c r="B298" t="s">
        <v>7373</v>
      </c>
      <c r="C298" s="105">
        <v>180</v>
      </c>
    </row>
    <row r="299" spans="1:3" x14ac:dyDescent="0.25">
      <c r="A299" t="s">
        <v>8007</v>
      </c>
      <c r="B299" t="s">
        <v>8008</v>
      </c>
      <c r="C299" s="105">
        <v>57.889830508474589</v>
      </c>
    </row>
    <row r="300" spans="1:3" x14ac:dyDescent="0.25">
      <c r="A300" t="s">
        <v>7374</v>
      </c>
      <c r="B300" t="s">
        <v>7375</v>
      </c>
      <c r="C300" s="105">
        <v>259.32203389830511</v>
      </c>
    </row>
    <row r="301" spans="1:3" x14ac:dyDescent="0.25">
      <c r="A301" t="s">
        <v>7376</v>
      </c>
      <c r="B301" t="s">
        <v>7377</v>
      </c>
      <c r="C301" s="105">
        <v>67.881355932203391</v>
      </c>
    </row>
    <row r="302" spans="1:3" x14ac:dyDescent="0.25">
      <c r="A302" t="s">
        <v>7378</v>
      </c>
      <c r="B302" t="s">
        <v>7379</v>
      </c>
      <c r="C302" s="105">
        <v>212.79661016949157</v>
      </c>
    </row>
    <row r="303" spans="1:3" x14ac:dyDescent="0.25">
      <c r="A303" t="s">
        <v>8009</v>
      </c>
      <c r="B303" t="s">
        <v>8010</v>
      </c>
      <c r="C303" s="105">
        <v>106.01694915254238</v>
      </c>
    </row>
    <row r="304" spans="1:3" x14ac:dyDescent="0.25">
      <c r="A304" t="s">
        <v>8011</v>
      </c>
      <c r="B304" t="s">
        <v>8012</v>
      </c>
      <c r="C304" s="105">
        <v>205.93220338983053</v>
      </c>
    </row>
    <row r="305" spans="1:3" x14ac:dyDescent="0.25">
      <c r="A305" t="s">
        <v>8013</v>
      </c>
      <c r="B305" t="s">
        <v>8014</v>
      </c>
      <c r="C305" s="105">
        <v>4194.1525423728817</v>
      </c>
    </row>
    <row r="306" spans="1:3" x14ac:dyDescent="0.25">
      <c r="A306" t="s">
        <v>8015</v>
      </c>
      <c r="B306" t="s">
        <v>8016</v>
      </c>
      <c r="C306" s="105">
        <v>1143.3050847457628</v>
      </c>
    </row>
    <row r="307" spans="1:3" x14ac:dyDescent="0.25">
      <c r="A307" t="s">
        <v>8017</v>
      </c>
      <c r="B307" t="s">
        <v>8018</v>
      </c>
      <c r="C307" s="105">
        <v>304.32203389830505</v>
      </c>
    </row>
    <row r="308" spans="1:3" x14ac:dyDescent="0.25">
      <c r="A308" t="s">
        <v>7344</v>
      </c>
      <c r="B308" t="s">
        <v>7345</v>
      </c>
      <c r="C308" s="105">
        <v>2822.0338983050851</v>
      </c>
    </row>
    <row r="309" spans="1:3" x14ac:dyDescent="0.25">
      <c r="A309" t="s">
        <v>7346</v>
      </c>
      <c r="B309" t="s">
        <v>7347</v>
      </c>
      <c r="C309" s="105">
        <v>5490.7627118644077</v>
      </c>
    </row>
    <row r="310" spans="1:3" x14ac:dyDescent="0.25">
      <c r="A310" t="s">
        <v>7348</v>
      </c>
      <c r="B310" t="s">
        <v>6893</v>
      </c>
      <c r="C310" s="105">
        <v>8885.5932203389839</v>
      </c>
    </row>
    <row r="311" spans="1:3" x14ac:dyDescent="0.25">
      <c r="A311" t="s">
        <v>7349</v>
      </c>
      <c r="B311" t="s">
        <v>6894</v>
      </c>
      <c r="C311" s="105">
        <v>17122.881355932204</v>
      </c>
    </row>
    <row r="312" spans="1:3" x14ac:dyDescent="0.25">
      <c r="A312" t="s">
        <v>8019</v>
      </c>
      <c r="B312" t="s">
        <v>8020</v>
      </c>
      <c r="C312" s="105">
        <v>6100.9322033898306</v>
      </c>
    </row>
    <row r="313" spans="1:3" x14ac:dyDescent="0.25">
      <c r="A313" t="s">
        <v>8021</v>
      </c>
      <c r="B313" t="s">
        <v>8022</v>
      </c>
      <c r="C313" s="105">
        <v>3127.118644067797</v>
      </c>
    </row>
    <row r="314" spans="1:3" x14ac:dyDescent="0.25">
      <c r="A314" t="s">
        <v>8023</v>
      </c>
      <c r="B314" t="s">
        <v>8024</v>
      </c>
      <c r="C314" s="105">
        <v>1368.3050847457628</v>
      </c>
    </row>
    <row r="315" spans="1:3" x14ac:dyDescent="0.25">
      <c r="A315" t="s">
        <v>8025</v>
      </c>
      <c r="B315" t="s">
        <v>8026</v>
      </c>
      <c r="C315" s="105">
        <v>1334.7457627118645</v>
      </c>
    </row>
    <row r="316" spans="1:3" x14ac:dyDescent="0.25">
      <c r="A316" t="s">
        <v>8027</v>
      </c>
      <c r="B316" t="s">
        <v>8028</v>
      </c>
      <c r="C316" s="105">
        <v>652.88135593220341</v>
      </c>
    </row>
    <row r="317" spans="1:3" x14ac:dyDescent="0.25">
      <c r="A317" t="s">
        <v>8029</v>
      </c>
      <c r="B317" t="s">
        <v>8030</v>
      </c>
      <c r="C317" s="105">
        <v>1355.0847457627119</v>
      </c>
    </row>
    <row r="318" spans="1:3" x14ac:dyDescent="0.25">
      <c r="A318" t="s">
        <v>8031</v>
      </c>
      <c r="B318" t="s">
        <v>8032</v>
      </c>
      <c r="C318" s="105">
        <v>1100.8474576271187</v>
      </c>
    </row>
    <row r="319" spans="1:3" x14ac:dyDescent="0.25">
      <c r="A319" t="s">
        <v>8033</v>
      </c>
      <c r="B319" t="s">
        <v>8034</v>
      </c>
      <c r="C319" s="105">
        <v>1227.9661016949153</v>
      </c>
    </row>
    <row r="320" spans="1:3" x14ac:dyDescent="0.25">
      <c r="A320" t="s">
        <v>8035</v>
      </c>
      <c r="B320" t="s">
        <v>8036</v>
      </c>
      <c r="C320" s="105">
        <v>1270.3389830508472</v>
      </c>
    </row>
    <row r="321" spans="1:3" x14ac:dyDescent="0.25">
      <c r="A321" t="s">
        <v>8037</v>
      </c>
      <c r="B321" t="s">
        <v>8038</v>
      </c>
      <c r="C321" s="105">
        <v>1439.8305084745766</v>
      </c>
    </row>
    <row r="322" spans="1:3" x14ac:dyDescent="0.25">
      <c r="A322" t="s">
        <v>8039</v>
      </c>
      <c r="B322" t="s">
        <v>8040</v>
      </c>
      <c r="C322" s="105">
        <v>761.94915254237287</v>
      </c>
    </row>
    <row r="323" spans="1:3" x14ac:dyDescent="0.25">
      <c r="A323" t="s">
        <v>8041</v>
      </c>
      <c r="B323" t="s">
        <v>8042</v>
      </c>
      <c r="C323" s="105">
        <v>1028.8983050847457</v>
      </c>
    </row>
    <row r="324" spans="1:3" x14ac:dyDescent="0.25">
      <c r="A324" t="s">
        <v>8043</v>
      </c>
      <c r="B324" t="s">
        <v>7023</v>
      </c>
      <c r="C324" s="105">
        <v>447.90628115653044</v>
      </c>
    </row>
    <row r="325" spans="1:3" x14ac:dyDescent="0.25">
      <c r="C325" s="105"/>
    </row>
    <row r="326" spans="1:3" x14ac:dyDescent="0.25">
      <c r="C326" s="105"/>
    </row>
    <row r="327" spans="1:3" x14ac:dyDescent="0.25">
      <c r="C327" s="105"/>
    </row>
    <row r="328" spans="1:3" x14ac:dyDescent="0.25">
      <c r="C328" s="105"/>
    </row>
    <row r="329" spans="1:3" x14ac:dyDescent="0.25">
      <c r="C329" s="105"/>
    </row>
    <row r="330" spans="1:3" x14ac:dyDescent="0.25">
      <c r="C330" s="105"/>
    </row>
    <row r="331" spans="1:3" x14ac:dyDescent="0.25">
      <c r="C331" s="105"/>
    </row>
    <row r="332" spans="1:3" x14ac:dyDescent="0.25">
      <c r="C332" s="105"/>
    </row>
    <row r="333" spans="1:3" x14ac:dyDescent="0.25">
      <c r="C333" s="105"/>
    </row>
    <row r="334" spans="1:3" x14ac:dyDescent="0.25">
      <c r="C334" s="105"/>
    </row>
    <row r="335" spans="1:3" x14ac:dyDescent="0.25">
      <c r="C335" s="105"/>
    </row>
    <row r="336" spans="1:3" x14ac:dyDescent="0.25">
      <c r="C336" s="105"/>
    </row>
    <row r="337" spans="3:3" x14ac:dyDescent="0.25">
      <c r="C337" s="105"/>
    </row>
    <row r="338" spans="3:3" x14ac:dyDescent="0.25">
      <c r="C338" s="105"/>
    </row>
    <row r="339" spans="3:3" x14ac:dyDescent="0.25">
      <c r="C339" s="105"/>
    </row>
  </sheetData>
  <phoneticPr fontId="4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6977-5980-4179-B6F8-5342C185EC41}">
  <dimension ref="A1:E16304"/>
  <sheetViews>
    <sheetView tabSelected="1" topLeftCell="A5822" zoomScale="80" zoomScaleNormal="70" workbookViewId="0">
      <selection activeCell="D5838" sqref="D5838"/>
    </sheetView>
  </sheetViews>
  <sheetFormatPr baseColWidth="10" defaultColWidth="11.42578125" defaultRowHeight="15" x14ac:dyDescent="0.25"/>
  <cols>
    <col min="1" max="1" width="27.42578125" style="107" customWidth="1"/>
    <col min="2" max="2" width="52.5703125" style="108" customWidth="1"/>
    <col min="3" max="3" width="18.42578125" style="108" customWidth="1"/>
    <col min="4" max="4" width="17.5703125" style="108" customWidth="1"/>
    <col min="5" max="5" width="19.85546875" style="108" customWidth="1"/>
  </cols>
  <sheetData>
    <row r="1" spans="1:5" x14ac:dyDescent="0.25">
      <c r="A1" s="123" t="s">
        <v>59</v>
      </c>
      <c r="B1" s="123" t="s">
        <v>60</v>
      </c>
      <c r="C1" s="123" t="s">
        <v>62</v>
      </c>
      <c r="D1" s="115" t="s">
        <v>63</v>
      </c>
      <c r="E1" s="123" t="s">
        <v>61</v>
      </c>
    </row>
    <row r="2" spans="1:5" x14ac:dyDescent="0.25">
      <c r="A2" s="118" t="s">
        <v>64</v>
      </c>
      <c r="B2" s="118" t="s">
        <v>65</v>
      </c>
      <c r="C2" s="118" t="s">
        <v>66</v>
      </c>
      <c r="D2" t="s">
        <v>51</v>
      </c>
      <c r="E2" s="120">
        <v>110.3</v>
      </c>
    </row>
    <row r="3" spans="1:5" x14ac:dyDescent="0.25">
      <c r="A3" s="119" t="s">
        <v>11614</v>
      </c>
      <c r="B3" s="119" t="s">
        <v>67</v>
      </c>
      <c r="C3" s="119" t="s">
        <v>66</v>
      </c>
      <c r="D3" t="s">
        <v>6759</v>
      </c>
      <c r="E3" s="117">
        <v>34.17</v>
      </c>
    </row>
    <row r="4" spans="1:5" x14ac:dyDescent="0.25">
      <c r="A4" s="119" t="s">
        <v>6618</v>
      </c>
      <c r="B4" s="119" t="s">
        <v>68</v>
      </c>
      <c r="C4" s="119" t="s">
        <v>66</v>
      </c>
      <c r="D4" t="s">
        <v>6759</v>
      </c>
      <c r="E4" s="117">
        <v>50.47</v>
      </c>
    </row>
    <row r="5" spans="1:5" x14ac:dyDescent="0.25">
      <c r="A5" s="119" t="s">
        <v>6619</v>
      </c>
      <c r="B5" s="119" t="s">
        <v>8274</v>
      </c>
      <c r="C5" s="119" t="s">
        <v>66</v>
      </c>
      <c r="D5" t="s">
        <v>49</v>
      </c>
      <c r="E5" s="117">
        <v>29.4</v>
      </c>
    </row>
    <row r="6" spans="1:5" x14ac:dyDescent="0.25">
      <c r="A6" s="119" t="s">
        <v>69</v>
      </c>
      <c r="B6" s="119" t="s">
        <v>8275</v>
      </c>
      <c r="C6" s="119" t="s">
        <v>66</v>
      </c>
      <c r="D6" t="s">
        <v>6759</v>
      </c>
      <c r="E6" s="117">
        <v>122.34</v>
      </c>
    </row>
    <row r="7" spans="1:5" x14ac:dyDescent="0.25">
      <c r="A7" s="119" t="s">
        <v>70</v>
      </c>
      <c r="B7" s="119" t="s">
        <v>71</v>
      </c>
      <c r="C7" s="119" t="s">
        <v>66</v>
      </c>
      <c r="D7" t="s">
        <v>45</v>
      </c>
      <c r="E7" s="117">
        <v>113.4</v>
      </c>
    </row>
    <row r="8" spans="1:5" x14ac:dyDescent="0.25">
      <c r="A8" s="119" t="s">
        <v>72</v>
      </c>
      <c r="B8" s="119" t="s">
        <v>8276</v>
      </c>
      <c r="C8" s="119" t="s">
        <v>66</v>
      </c>
      <c r="D8" t="s">
        <v>45</v>
      </c>
      <c r="E8" s="117">
        <v>69.3</v>
      </c>
    </row>
    <row r="9" spans="1:5" x14ac:dyDescent="0.25">
      <c r="A9" s="119" t="s">
        <v>74</v>
      </c>
      <c r="B9" s="119" t="s">
        <v>75</v>
      </c>
      <c r="C9" s="119" t="s">
        <v>66</v>
      </c>
      <c r="D9" t="s">
        <v>49</v>
      </c>
      <c r="E9" s="117">
        <v>71.25</v>
      </c>
    </row>
    <row r="10" spans="1:5" x14ac:dyDescent="0.25">
      <c r="A10" s="119" t="s">
        <v>76</v>
      </c>
      <c r="B10" s="119" t="s">
        <v>77</v>
      </c>
      <c r="C10" s="119" t="s">
        <v>66</v>
      </c>
      <c r="D10" t="s">
        <v>45</v>
      </c>
      <c r="E10" s="117">
        <v>11.24</v>
      </c>
    </row>
    <row r="11" spans="1:5" x14ac:dyDescent="0.25">
      <c r="A11" s="119" t="s">
        <v>78</v>
      </c>
      <c r="B11" s="119" t="s">
        <v>8277</v>
      </c>
      <c r="C11" s="119" t="s">
        <v>66</v>
      </c>
      <c r="D11" t="s">
        <v>6759</v>
      </c>
      <c r="E11" s="117">
        <v>82.47</v>
      </c>
    </row>
    <row r="12" spans="1:5" x14ac:dyDescent="0.25">
      <c r="A12" s="119" t="s">
        <v>79</v>
      </c>
      <c r="B12" s="119" t="s">
        <v>80</v>
      </c>
      <c r="C12" s="119" t="s">
        <v>66</v>
      </c>
      <c r="D12" t="s">
        <v>6759</v>
      </c>
      <c r="E12" s="117">
        <v>134.82</v>
      </c>
    </row>
    <row r="13" spans="1:5" x14ac:dyDescent="0.25">
      <c r="A13" s="119" t="s">
        <v>81</v>
      </c>
      <c r="B13" s="119" t="s">
        <v>82</v>
      </c>
      <c r="C13" s="119" t="s">
        <v>66</v>
      </c>
      <c r="D13" t="s">
        <v>49</v>
      </c>
      <c r="E13" s="117">
        <v>196.61</v>
      </c>
    </row>
    <row r="14" spans="1:5" x14ac:dyDescent="0.25">
      <c r="A14" s="119" t="s">
        <v>83</v>
      </c>
      <c r="B14" s="119" t="s">
        <v>84</v>
      </c>
      <c r="C14" s="119" t="s">
        <v>66</v>
      </c>
      <c r="D14" t="s">
        <v>6759</v>
      </c>
      <c r="E14" s="117">
        <v>61.85</v>
      </c>
    </row>
    <row r="15" spans="1:5" x14ac:dyDescent="0.25">
      <c r="A15" s="119" t="s">
        <v>85</v>
      </c>
      <c r="B15" s="119" t="s">
        <v>86</v>
      </c>
      <c r="C15" s="119" t="s">
        <v>66</v>
      </c>
      <c r="D15" t="s">
        <v>6759</v>
      </c>
      <c r="E15" s="117">
        <v>23.01</v>
      </c>
    </row>
    <row r="16" spans="1:5" x14ac:dyDescent="0.25">
      <c r="A16" s="119" t="s">
        <v>87</v>
      </c>
      <c r="B16" s="119" t="s">
        <v>88</v>
      </c>
      <c r="C16" s="119" t="s">
        <v>66</v>
      </c>
      <c r="D16" t="s">
        <v>6759</v>
      </c>
      <c r="E16" s="117">
        <v>57.54</v>
      </c>
    </row>
    <row r="17" spans="1:5" x14ac:dyDescent="0.25">
      <c r="A17" s="119" t="s">
        <v>89</v>
      </c>
      <c r="B17" s="119" t="s">
        <v>90</v>
      </c>
      <c r="C17" s="119" t="s">
        <v>66</v>
      </c>
      <c r="D17" t="s">
        <v>6759</v>
      </c>
      <c r="E17" s="117">
        <v>28.09</v>
      </c>
    </row>
    <row r="18" spans="1:5" x14ac:dyDescent="0.25">
      <c r="A18" s="119" t="s">
        <v>91</v>
      </c>
      <c r="B18" s="119" t="s">
        <v>92</v>
      </c>
      <c r="C18" s="119" t="s">
        <v>66</v>
      </c>
      <c r="D18" t="s">
        <v>6759</v>
      </c>
      <c r="E18" s="117">
        <v>129.19999999999999</v>
      </c>
    </row>
    <row r="19" spans="1:5" x14ac:dyDescent="0.25">
      <c r="A19" s="119" t="s">
        <v>93</v>
      </c>
      <c r="B19" s="119" t="s">
        <v>94</v>
      </c>
      <c r="C19" s="119" t="s">
        <v>66</v>
      </c>
      <c r="D19" t="s">
        <v>45</v>
      </c>
      <c r="E19" s="117">
        <v>61.08</v>
      </c>
    </row>
    <row r="20" spans="1:5" x14ac:dyDescent="0.25">
      <c r="A20" s="119" t="s">
        <v>95</v>
      </c>
      <c r="B20" s="119" t="s">
        <v>96</v>
      </c>
      <c r="C20" s="119" t="s">
        <v>66</v>
      </c>
      <c r="D20" t="s">
        <v>45</v>
      </c>
      <c r="E20" s="117">
        <v>160.5</v>
      </c>
    </row>
    <row r="21" spans="1:5" x14ac:dyDescent="0.25">
      <c r="A21" s="119" t="s">
        <v>97</v>
      </c>
      <c r="B21" s="119" t="s">
        <v>98</v>
      </c>
      <c r="C21" s="119" t="s">
        <v>66</v>
      </c>
      <c r="D21" t="s">
        <v>49</v>
      </c>
      <c r="E21" s="117">
        <v>71.38</v>
      </c>
    </row>
    <row r="22" spans="1:5" x14ac:dyDescent="0.25">
      <c r="A22" s="119" t="s">
        <v>99</v>
      </c>
      <c r="B22" s="119" t="s">
        <v>100</v>
      </c>
      <c r="C22" s="119" t="s">
        <v>66</v>
      </c>
      <c r="D22" t="s">
        <v>6759</v>
      </c>
      <c r="E22" s="117">
        <v>8.73</v>
      </c>
    </row>
    <row r="23" spans="1:5" x14ac:dyDescent="0.25">
      <c r="A23" s="119" t="s">
        <v>101</v>
      </c>
      <c r="B23" s="119" t="s">
        <v>102</v>
      </c>
      <c r="C23" s="119" t="s">
        <v>66</v>
      </c>
      <c r="D23" t="s">
        <v>6759</v>
      </c>
      <c r="E23" s="117">
        <v>24.78</v>
      </c>
    </row>
    <row r="24" spans="1:5" x14ac:dyDescent="0.25">
      <c r="A24" s="119" t="s">
        <v>103</v>
      </c>
      <c r="B24" s="119" t="s">
        <v>104</v>
      </c>
      <c r="C24" s="119" t="s">
        <v>66</v>
      </c>
      <c r="D24" t="s">
        <v>6759</v>
      </c>
      <c r="E24" s="117">
        <v>20.22</v>
      </c>
    </row>
    <row r="25" spans="1:5" x14ac:dyDescent="0.25">
      <c r="A25" s="119" t="s">
        <v>105</v>
      </c>
      <c r="B25" s="119" t="s">
        <v>106</v>
      </c>
      <c r="C25" s="119" t="s">
        <v>66</v>
      </c>
      <c r="D25" t="s">
        <v>6759</v>
      </c>
      <c r="E25" s="117">
        <v>16.850000000000001</v>
      </c>
    </row>
    <row r="26" spans="1:5" x14ac:dyDescent="0.25">
      <c r="A26" s="119" t="s">
        <v>107</v>
      </c>
      <c r="B26" s="119" t="s">
        <v>108</v>
      </c>
      <c r="C26" s="119" t="s">
        <v>66</v>
      </c>
      <c r="D26" t="s">
        <v>45</v>
      </c>
      <c r="E26" s="117">
        <v>424.73</v>
      </c>
    </row>
    <row r="27" spans="1:5" x14ac:dyDescent="0.25">
      <c r="A27" s="119" t="s">
        <v>109</v>
      </c>
      <c r="B27" s="119" t="s">
        <v>110</v>
      </c>
      <c r="C27" s="119" t="s">
        <v>66</v>
      </c>
      <c r="D27" t="s">
        <v>49</v>
      </c>
      <c r="E27" s="117">
        <v>31.46</v>
      </c>
    </row>
    <row r="28" spans="1:5" x14ac:dyDescent="0.25">
      <c r="A28" s="119" t="s">
        <v>111</v>
      </c>
      <c r="B28" s="119" t="s">
        <v>112</v>
      </c>
      <c r="C28" s="119" t="s">
        <v>66</v>
      </c>
      <c r="D28" t="s">
        <v>6759</v>
      </c>
      <c r="E28" s="117">
        <v>140.44</v>
      </c>
    </row>
    <row r="29" spans="1:5" x14ac:dyDescent="0.25">
      <c r="A29" s="119" t="s">
        <v>113</v>
      </c>
      <c r="B29" s="119" t="s">
        <v>114</v>
      </c>
      <c r="C29" s="119" t="s">
        <v>66</v>
      </c>
      <c r="D29" t="s">
        <v>45</v>
      </c>
      <c r="E29" s="117">
        <v>25.2</v>
      </c>
    </row>
    <row r="30" spans="1:5" x14ac:dyDescent="0.25">
      <c r="A30" s="119" t="s">
        <v>115</v>
      </c>
      <c r="B30" s="119" t="s">
        <v>116</v>
      </c>
      <c r="C30" s="119" t="s">
        <v>66</v>
      </c>
      <c r="D30" t="s">
        <v>49</v>
      </c>
      <c r="E30" s="117">
        <v>16.850000000000001</v>
      </c>
    </row>
    <row r="31" spans="1:5" x14ac:dyDescent="0.25">
      <c r="A31" s="119" t="s">
        <v>117</v>
      </c>
      <c r="B31" s="119" t="s">
        <v>118</v>
      </c>
      <c r="C31" s="119" t="s">
        <v>66</v>
      </c>
      <c r="D31" t="s">
        <v>6759</v>
      </c>
      <c r="E31" s="117">
        <v>18.899999999999999</v>
      </c>
    </row>
    <row r="32" spans="1:5" x14ac:dyDescent="0.25">
      <c r="A32" s="119" t="s">
        <v>119</v>
      </c>
      <c r="B32" s="119" t="s">
        <v>8278</v>
      </c>
      <c r="C32" s="119" t="s">
        <v>66</v>
      </c>
      <c r="D32" t="s">
        <v>6759</v>
      </c>
      <c r="E32" s="117">
        <v>69.42</v>
      </c>
    </row>
    <row r="33" spans="1:5" x14ac:dyDescent="0.25">
      <c r="A33" s="119" t="s">
        <v>120</v>
      </c>
      <c r="B33" s="119" t="s">
        <v>121</v>
      </c>
      <c r="C33" s="119" t="s">
        <v>66</v>
      </c>
      <c r="D33" t="s">
        <v>49</v>
      </c>
      <c r="E33" s="117">
        <v>13.55</v>
      </c>
    </row>
    <row r="34" spans="1:5" x14ac:dyDescent="0.25">
      <c r="A34" s="119" t="s">
        <v>122</v>
      </c>
      <c r="B34" s="119" t="s">
        <v>123</v>
      </c>
      <c r="C34" s="119" t="s">
        <v>66</v>
      </c>
      <c r="D34" t="s">
        <v>6759</v>
      </c>
      <c r="E34" s="117">
        <v>28.14</v>
      </c>
    </row>
    <row r="35" spans="1:5" x14ac:dyDescent="0.25">
      <c r="A35" s="119" t="s">
        <v>124</v>
      </c>
      <c r="B35" s="119" t="s">
        <v>125</v>
      </c>
      <c r="C35" s="119" t="s">
        <v>66</v>
      </c>
      <c r="D35" t="s">
        <v>6759</v>
      </c>
      <c r="E35" s="117">
        <v>96.71</v>
      </c>
    </row>
    <row r="36" spans="1:5" x14ac:dyDescent="0.25">
      <c r="A36" s="119" t="s">
        <v>126</v>
      </c>
      <c r="B36" s="119" t="s">
        <v>127</v>
      </c>
      <c r="C36" s="119" t="s">
        <v>66</v>
      </c>
      <c r="D36" t="s">
        <v>49</v>
      </c>
      <c r="E36" s="117">
        <v>52.5</v>
      </c>
    </row>
    <row r="37" spans="1:5" x14ac:dyDescent="0.25">
      <c r="A37" s="119" t="s">
        <v>128</v>
      </c>
      <c r="B37" s="119" t="s">
        <v>129</v>
      </c>
      <c r="C37" s="119" t="s">
        <v>66</v>
      </c>
      <c r="D37" t="s">
        <v>49</v>
      </c>
      <c r="E37" s="117">
        <v>15.8</v>
      </c>
    </row>
    <row r="38" spans="1:5" x14ac:dyDescent="0.25">
      <c r="A38" s="119" t="s">
        <v>130</v>
      </c>
      <c r="B38" s="119" t="s">
        <v>131</v>
      </c>
      <c r="C38" s="119" t="s">
        <v>66</v>
      </c>
      <c r="D38" t="s">
        <v>6759</v>
      </c>
      <c r="E38" s="117">
        <v>13.97</v>
      </c>
    </row>
    <row r="39" spans="1:5" x14ac:dyDescent="0.25">
      <c r="A39" s="119" t="s">
        <v>132</v>
      </c>
      <c r="B39" s="119" t="s">
        <v>133</v>
      </c>
      <c r="C39" s="119" t="s">
        <v>66</v>
      </c>
      <c r="D39" t="s">
        <v>49</v>
      </c>
      <c r="E39" s="117">
        <v>25.2</v>
      </c>
    </row>
    <row r="40" spans="1:5" x14ac:dyDescent="0.25">
      <c r="A40" s="119" t="s">
        <v>134</v>
      </c>
      <c r="B40" s="119" t="s">
        <v>135</v>
      </c>
      <c r="C40" s="119" t="s">
        <v>66</v>
      </c>
      <c r="D40" t="s">
        <v>49</v>
      </c>
      <c r="E40" s="117">
        <v>28.31</v>
      </c>
    </row>
    <row r="41" spans="1:5" x14ac:dyDescent="0.25">
      <c r="A41" s="119" t="s">
        <v>136</v>
      </c>
      <c r="B41" s="119" t="s">
        <v>8279</v>
      </c>
      <c r="C41" s="119" t="s">
        <v>66</v>
      </c>
      <c r="D41" t="s">
        <v>6759</v>
      </c>
      <c r="E41" s="117">
        <v>17.7</v>
      </c>
    </row>
    <row r="42" spans="1:5" x14ac:dyDescent="0.25">
      <c r="A42" s="119" t="s">
        <v>137</v>
      </c>
      <c r="B42" s="119" t="s">
        <v>8280</v>
      </c>
      <c r="C42" s="119" t="s">
        <v>66</v>
      </c>
      <c r="D42" t="s">
        <v>6759</v>
      </c>
      <c r="E42" s="117">
        <v>39</v>
      </c>
    </row>
    <row r="43" spans="1:5" x14ac:dyDescent="0.25">
      <c r="A43" s="119" t="s">
        <v>138</v>
      </c>
      <c r="B43" s="119" t="s">
        <v>8281</v>
      </c>
      <c r="C43" s="119" t="s">
        <v>66</v>
      </c>
      <c r="D43" t="s">
        <v>6759</v>
      </c>
      <c r="E43" s="117">
        <v>32.049999999999997</v>
      </c>
    </row>
    <row r="44" spans="1:5" x14ac:dyDescent="0.25">
      <c r="A44" s="119" t="s">
        <v>139</v>
      </c>
      <c r="B44" s="119" t="s">
        <v>140</v>
      </c>
      <c r="C44" s="119" t="s">
        <v>66</v>
      </c>
      <c r="D44" t="s">
        <v>49</v>
      </c>
      <c r="E44" s="117">
        <v>21.23</v>
      </c>
    </row>
    <row r="45" spans="1:5" x14ac:dyDescent="0.25">
      <c r="A45" s="119" t="s">
        <v>141</v>
      </c>
      <c r="B45" s="119" t="s">
        <v>8282</v>
      </c>
      <c r="C45" s="119" t="s">
        <v>66</v>
      </c>
      <c r="D45" t="s">
        <v>6759</v>
      </c>
      <c r="E45" s="117">
        <v>36.380000000000003</v>
      </c>
    </row>
    <row r="46" spans="1:5" x14ac:dyDescent="0.25">
      <c r="A46" s="119" t="s">
        <v>142</v>
      </c>
      <c r="B46" s="119" t="s">
        <v>8283</v>
      </c>
      <c r="C46" s="119" t="s">
        <v>66</v>
      </c>
      <c r="D46" t="s">
        <v>6759</v>
      </c>
      <c r="E46" s="117">
        <v>45.15</v>
      </c>
    </row>
    <row r="47" spans="1:5" x14ac:dyDescent="0.25">
      <c r="A47" s="119" t="s">
        <v>143</v>
      </c>
      <c r="B47" s="119" t="s">
        <v>144</v>
      </c>
      <c r="C47" s="119" t="s">
        <v>66</v>
      </c>
      <c r="D47" t="s">
        <v>45</v>
      </c>
      <c r="E47" s="117">
        <v>1314.64</v>
      </c>
    </row>
    <row r="48" spans="1:5" x14ac:dyDescent="0.25">
      <c r="A48" s="119" t="s">
        <v>145</v>
      </c>
      <c r="B48" s="119" t="s">
        <v>8284</v>
      </c>
      <c r="C48" s="119" t="s">
        <v>66</v>
      </c>
      <c r="D48" t="s">
        <v>49</v>
      </c>
      <c r="E48" s="117">
        <v>129</v>
      </c>
    </row>
    <row r="49" spans="1:5" x14ac:dyDescent="0.25">
      <c r="A49" s="119" t="s">
        <v>6814</v>
      </c>
      <c r="B49" s="119" t="s">
        <v>8285</v>
      </c>
      <c r="C49" s="119" t="s">
        <v>66</v>
      </c>
      <c r="D49" t="s">
        <v>6759</v>
      </c>
      <c r="E49" s="117">
        <v>135</v>
      </c>
    </row>
    <row r="50" spans="1:5" x14ac:dyDescent="0.25">
      <c r="A50" s="119" t="s">
        <v>146</v>
      </c>
      <c r="B50" s="119" t="s">
        <v>147</v>
      </c>
      <c r="C50" s="119" t="s">
        <v>66</v>
      </c>
      <c r="D50" t="s">
        <v>6759</v>
      </c>
      <c r="E50" s="117">
        <v>134.6</v>
      </c>
    </row>
    <row r="51" spans="1:5" x14ac:dyDescent="0.25">
      <c r="A51" s="119" t="s">
        <v>148</v>
      </c>
      <c r="B51" s="119" t="s">
        <v>147</v>
      </c>
      <c r="C51" s="119" t="s">
        <v>66</v>
      </c>
      <c r="D51" t="s">
        <v>6759</v>
      </c>
      <c r="E51" s="117">
        <v>134.6</v>
      </c>
    </row>
    <row r="52" spans="1:5" x14ac:dyDescent="0.25">
      <c r="A52" s="119" t="s">
        <v>149</v>
      </c>
      <c r="B52" s="119" t="s">
        <v>8286</v>
      </c>
      <c r="C52" s="119" t="s">
        <v>66</v>
      </c>
      <c r="D52" t="s">
        <v>49</v>
      </c>
      <c r="E52" s="117">
        <v>26.68</v>
      </c>
    </row>
    <row r="53" spans="1:5" x14ac:dyDescent="0.25">
      <c r="A53" s="119" t="s">
        <v>150</v>
      </c>
      <c r="B53" s="119" t="s">
        <v>151</v>
      </c>
      <c r="C53" s="119" t="s">
        <v>66</v>
      </c>
      <c r="D53" t="s">
        <v>6759</v>
      </c>
      <c r="E53" s="117">
        <v>58.28</v>
      </c>
    </row>
    <row r="54" spans="1:5" x14ac:dyDescent="0.25">
      <c r="A54" s="119" t="s">
        <v>6790</v>
      </c>
      <c r="B54" s="119" t="s">
        <v>8287</v>
      </c>
      <c r="C54" s="119" t="s">
        <v>66</v>
      </c>
      <c r="D54" t="s">
        <v>6759</v>
      </c>
      <c r="E54" s="117">
        <v>60</v>
      </c>
    </row>
    <row r="55" spans="1:5" x14ac:dyDescent="0.25">
      <c r="A55" s="119" t="s">
        <v>8044</v>
      </c>
      <c r="B55" s="119" t="s">
        <v>8288</v>
      </c>
      <c r="C55" s="119" t="s">
        <v>66</v>
      </c>
      <c r="D55" t="s">
        <v>6759</v>
      </c>
      <c r="E55" s="117">
        <v>60</v>
      </c>
    </row>
    <row r="56" spans="1:5" x14ac:dyDescent="0.25">
      <c r="A56" s="119" t="s">
        <v>152</v>
      </c>
      <c r="B56" s="119" t="s">
        <v>153</v>
      </c>
      <c r="C56" s="119" t="s">
        <v>66</v>
      </c>
      <c r="D56" t="s">
        <v>45</v>
      </c>
      <c r="E56" s="117">
        <v>129.1</v>
      </c>
    </row>
    <row r="57" spans="1:5" x14ac:dyDescent="0.25">
      <c r="A57" s="119" t="s">
        <v>154</v>
      </c>
      <c r="B57" s="119" t="s">
        <v>155</v>
      </c>
      <c r="C57" s="119" t="s">
        <v>66</v>
      </c>
      <c r="D57" t="s">
        <v>45</v>
      </c>
      <c r="E57" s="117">
        <v>83.88</v>
      </c>
    </row>
    <row r="58" spans="1:5" x14ac:dyDescent="0.25">
      <c r="A58" s="119" t="s">
        <v>156</v>
      </c>
      <c r="B58" s="119" t="s">
        <v>8289</v>
      </c>
      <c r="C58" s="119" t="s">
        <v>66</v>
      </c>
      <c r="D58" t="s">
        <v>49</v>
      </c>
      <c r="E58" s="117">
        <v>19.95</v>
      </c>
    </row>
    <row r="59" spans="1:5" x14ac:dyDescent="0.25">
      <c r="A59" s="119" t="s">
        <v>157</v>
      </c>
      <c r="B59" s="119" t="s">
        <v>8290</v>
      </c>
      <c r="C59" s="119" t="s">
        <v>66</v>
      </c>
      <c r="D59" t="s">
        <v>6759</v>
      </c>
      <c r="E59" s="117">
        <v>36.380000000000003</v>
      </c>
    </row>
    <row r="60" spans="1:5" x14ac:dyDescent="0.25">
      <c r="A60" s="119" t="s">
        <v>158</v>
      </c>
      <c r="B60" s="119" t="s">
        <v>159</v>
      </c>
      <c r="C60" s="119" t="s">
        <v>66</v>
      </c>
      <c r="D60" t="s">
        <v>6759</v>
      </c>
      <c r="E60" s="117">
        <v>31.5</v>
      </c>
    </row>
    <row r="61" spans="1:5" x14ac:dyDescent="0.25">
      <c r="A61" s="119" t="s">
        <v>160</v>
      </c>
      <c r="B61" s="119" t="s">
        <v>161</v>
      </c>
      <c r="C61" s="119" t="s">
        <v>66</v>
      </c>
      <c r="D61" t="s">
        <v>6759</v>
      </c>
      <c r="E61" s="117">
        <v>32.659999999999997</v>
      </c>
    </row>
    <row r="62" spans="1:5" x14ac:dyDescent="0.25">
      <c r="A62" s="119" t="s">
        <v>162</v>
      </c>
      <c r="B62" s="119" t="s">
        <v>163</v>
      </c>
      <c r="C62" s="119" t="s">
        <v>66</v>
      </c>
      <c r="D62" t="s">
        <v>6759</v>
      </c>
      <c r="E62" s="117">
        <v>106.79</v>
      </c>
    </row>
    <row r="63" spans="1:5" x14ac:dyDescent="0.25">
      <c r="A63" s="119" t="s">
        <v>164</v>
      </c>
      <c r="B63" s="119" t="s">
        <v>8291</v>
      </c>
      <c r="C63" s="119" t="s">
        <v>66</v>
      </c>
      <c r="D63" t="s">
        <v>45</v>
      </c>
      <c r="E63" s="117">
        <v>0</v>
      </c>
    </row>
    <row r="64" spans="1:5" x14ac:dyDescent="0.25">
      <c r="A64" s="119" t="s">
        <v>165</v>
      </c>
      <c r="B64" s="119" t="s">
        <v>8292</v>
      </c>
      <c r="C64" s="119" t="s">
        <v>66</v>
      </c>
      <c r="D64" t="s">
        <v>45</v>
      </c>
      <c r="E64" s="117">
        <v>22.42</v>
      </c>
    </row>
    <row r="65" spans="1:5" x14ac:dyDescent="0.25">
      <c r="A65" s="119" t="s">
        <v>166</v>
      </c>
      <c r="B65" s="119" t="s">
        <v>8293</v>
      </c>
      <c r="C65" s="119" t="s">
        <v>66</v>
      </c>
      <c r="D65" t="s">
        <v>49</v>
      </c>
      <c r="E65" s="117">
        <v>23.59</v>
      </c>
    </row>
    <row r="66" spans="1:5" x14ac:dyDescent="0.25">
      <c r="A66" s="119" t="s">
        <v>167</v>
      </c>
      <c r="B66" s="119" t="s">
        <v>8294</v>
      </c>
      <c r="C66" s="119" t="s">
        <v>66</v>
      </c>
      <c r="D66" t="s">
        <v>6759</v>
      </c>
      <c r="E66" s="117">
        <v>26.96</v>
      </c>
    </row>
    <row r="67" spans="1:5" x14ac:dyDescent="0.25">
      <c r="A67" s="119" t="s">
        <v>168</v>
      </c>
      <c r="B67" s="119" t="s">
        <v>8295</v>
      </c>
      <c r="C67" s="119" t="s">
        <v>66</v>
      </c>
      <c r="D67" t="s">
        <v>45</v>
      </c>
      <c r="E67" s="117">
        <v>26.75</v>
      </c>
    </row>
    <row r="68" spans="1:5" x14ac:dyDescent="0.25">
      <c r="A68" s="119" t="s">
        <v>169</v>
      </c>
      <c r="B68" s="119" t="s">
        <v>8296</v>
      </c>
      <c r="C68" s="119" t="s">
        <v>66</v>
      </c>
      <c r="D68" t="s">
        <v>45</v>
      </c>
      <c r="E68" s="117">
        <v>27.29</v>
      </c>
    </row>
    <row r="69" spans="1:5" x14ac:dyDescent="0.25">
      <c r="A69" s="119" t="s">
        <v>170</v>
      </c>
      <c r="B69" s="119" t="s">
        <v>8297</v>
      </c>
      <c r="C69" s="119" t="s">
        <v>66</v>
      </c>
      <c r="D69" t="s">
        <v>6759</v>
      </c>
      <c r="E69" s="117">
        <v>30.9</v>
      </c>
    </row>
    <row r="70" spans="1:5" x14ac:dyDescent="0.25">
      <c r="A70" s="119" t="s">
        <v>171</v>
      </c>
      <c r="B70" s="119" t="s">
        <v>8298</v>
      </c>
      <c r="C70" s="119" t="s">
        <v>66</v>
      </c>
      <c r="D70" t="s">
        <v>45</v>
      </c>
      <c r="E70" s="117">
        <v>31.57</v>
      </c>
    </row>
    <row r="71" spans="1:5" x14ac:dyDescent="0.25">
      <c r="A71" s="119" t="s">
        <v>172</v>
      </c>
      <c r="B71" s="119" t="s">
        <v>8299</v>
      </c>
      <c r="C71" s="119" t="s">
        <v>66</v>
      </c>
      <c r="D71" t="s">
        <v>6759</v>
      </c>
      <c r="E71" s="117">
        <v>34.83</v>
      </c>
    </row>
    <row r="72" spans="1:5" x14ac:dyDescent="0.25">
      <c r="A72" s="119" t="s">
        <v>173</v>
      </c>
      <c r="B72" s="119" t="s">
        <v>8300</v>
      </c>
      <c r="C72" s="119" t="s">
        <v>66</v>
      </c>
      <c r="D72" t="s">
        <v>6759</v>
      </c>
      <c r="E72" s="117">
        <v>38.770000000000003</v>
      </c>
    </row>
    <row r="73" spans="1:5" x14ac:dyDescent="0.25">
      <c r="A73" s="119" t="s">
        <v>174</v>
      </c>
      <c r="B73" s="119" t="s">
        <v>8301</v>
      </c>
      <c r="C73" s="119" t="s">
        <v>66</v>
      </c>
      <c r="D73" t="s">
        <v>49</v>
      </c>
      <c r="E73" s="117">
        <v>41.01</v>
      </c>
    </row>
    <row r="74" spans="1:5" x14ac:dyDescent="0.25">
      <c r="A74" s="119" t="s">
        <v>175</v>
      </c>
      <c r="B74" s="119" t="s">
        <v>8302</v>
      </c>
      <c r="C74" s="119" t="s">
        <v>66</v>
      </c>
      <c r="D74" t="s">
        <v>45</v>
      </c>
      <c r="E74" s="117">
        <v>0</v>
      </c>
    </row>
    <row r="75" spans="1:5" x14ac:dyDescent="0.25">
      <c r="A75" s="119" t="s">
        <v>176</v>
      </c>
      <c r="B75" s="119" t="s">
        <v>8303</v>
      </c>
      <c r="C75" s="119" t="s">
        <v>66</v>
      </c>
      <c r="D75" t="s">
        <v>6759</v>
      </c>
      <c r="E75" s="117">
        <v>42.14</v>
      </c>
    </row>
    <row r="76" spans="1:5" x14ac:dyDescent="0.25">
      <c r="A76" s="119" t="s">
        <v>177</v>
      </c>
      <c r="B76" s="119" t="s">
        <v>8304</v>
      </c>
      <c r="C76" s="119" t="s">
        <v>66</v>
      </c>
      <c r="D76" t="s">
        <v>45</v>
      </c>
      <c r="E76" s="117">
        <v>44.72</v>
      </c>
    </row>
    <row r="77" spans="1:5" x14ac:dyDescent="0.25">
      <c r="A77" s="119" t="s">
        <v>178</v>
      </c>
      <c r="B77" s="119" t="s">
        <v>8305</v>
      </c>
      <c r="C77" s="119" t="s">
        <v>66</v>
      </c>
      <c r="D77" t="s">
        <v>49</v>
      </c>
      <c r="E77" s="117">
        <v>81.900000000000006</v>
      </c>
    </row>
    <row r="78" spans="1:5" x14ac:dyDescent="0.25">
      <c r="A78" s="119" t="s">
        <v>179</v>
      </c>
      <c r="B78" s="119" t="s">
        <v>8306</v>
      </c>
      <c r="C78" s="119" t="s">
        <v>66</v>
      </c>
      <c r="D78" t="s">
        <v>6759</v>
      </c>
      <c r="E78" s="117">
        <v>90.12</v>
      </c>
    </row>
    <row r="79" spans="1:5" x14ac:dyDescent="0.25">
      <c r="A79" s="119" t="s">
        <v>180</v>
      </c>
      <c r="B79" s="119" t="s">
        <v>8307</v>
      </c>
      <c r="C79" s="119" t="s">
        <v>66</v>
      </c>
      <c r="D79" t="s">
        <v>6759</v>
      </c>
      <c r="E79" s="117">
        <v>50.56</v>
      </c>
    </row>
    <row r="80" spans="1:5" x14ac:dyDescent="0.25">
      <c r="A80" s="119" t="s">
        <v>181</v>
      </c>
      <c r="B80" s="119" t="s">
        <v>8308</v>
      </c>
      <c r="C80" s="119" t="s">
        <v>66</v>
      </c>
      <c r="D80" t="s">
        <v>49</v>
      </c>
      <c r="E80" s="117">
        <v>98.57</v>
      </c>
    </row>
    <row r="81" spans="1:5" x14ac:dyDescent="0.25">
      <c r="A81" s="119" t="s">
        <v>182</v>
      </c>
      <c r="B81" s="119" t="s">
        <v>8309</v>
      </c>
      <c r="C81" s="119" t="s">
        <v>66</v>
      </c>
      <c r="D81" t="s">
        <v>49</v>
      </c>
      <c r="E81" s="117">
        <v>51.45</v>
      </c>
    </row>
    <row r="82" spans="1:5" x14ac:dyDescent="0.25">
      <c r="A82" s="119" t="s">
        <v>183</v>
      </c>
      <c r="B82" s="119" t="s">
        <v>8310</v>
      </c>
      <c r="C82" s="119" t="s">
        <v>66</v>
      </c>
      <c r="D82" t="s">
        <v>6759</v>
      </c>
      <c r="E82" s="117">
        <v>95.5</v>
      </c>
    </row>
    <row r="83" spans="1:5" x14ac:dyDescent="0.25">
      <c r="A83" s="119" t="s">
        <v>184</v>
      </c>
      <c r="B83" s="119" t="s">
        <v>8311</v>
      </c>
      <c r="C83" s="119" t="s">
        <v>66</v>
      </c>
      <c r="D83" t="s">
        <v>45</v>
      </c>
      <c r="E83" s="117">
        <v>0</v>
      </c>
    </row>
    <row r="84" spans="1:5" x14ac:dyDescent="0.25">
      <c r="A84" s="119" t="s">
        <v>185</v>
      </c>
      <c r="B84" s="119" t="s">
        <v>8312</v>
      </c>
      <c r="C84" s="119" t="s">
        <v>66</v>
      </c>
      <c r="D84" t="s">
        <v>49</v>
      </c>
      <c r="E84" s="117">
        <v>146.06</v>
      </c>
    </row>
    <row r="85" spans="1:5" x14ac:dyDescent="0.25">
      <c r="A85" s="119" t="s">
        <v>186</v>
      </c>
      <c r="B85" s="119" t="s">
        <v>8313</v>
      </c>
      <c r="C85" s="119" t="s">
        <v>66</v>
      </c>
      <c r="D85" t="s">
        <v>45</v>
      </c>
      <c r="E85" s="117">
        <v>363.8</v>
      </c>
    </row>
    <row r="86" spans="1:5" x14ac:dyDescent="0.25">
      <c r="A86" s="119" t="s">
        <v>187</v>
      </c>
      <c r="B86" s="119" t="s">
        <v>8314</v>
      </c>
      <c r="C86" s="119" t="s">
        <v>66</v>
      </c>
      <c r="D86" t="s">
        <v>45</v>
      </c>
      <c r="E86" s="117">
        <v>48.31</v>
      </c>
    </row>
    <row r="87" spans="1:5" x14ac:dyDescent="0.25">
      <c r="A87" s="119" t="s">
        <v>188</v>
      </c>
      <c r="B87" s="119" t="s">
        <v>8315</v>
      </c>
      <c r="C87" s="119" t="s">
        <v>66</v>
      </c>
      <c r="D87" t="s">
        <v>6759</v>
      </c>
      <c r="E87" s="117">
        <v>95.5</v>
      </c>
    </row>
    <row r="88" spans="1:5" x14ac:dyDescent="0.25">
      <c r="A88" s="119" t="s">
        <v>189</v>
      </c>
      <c r="B88" s="119" t="s">
        <v>8316</v>
      </c>
      <c r="C88" s="119" t="s">
        <v>66</v>
      </c>
      <c r="D88" t="s">
        <v>6759</v>
      </c>
      <c r="E88" s="117">
        <v>106.73</v>
      </c>
    </row>
    <row r="89" spans="1:5" x14ac:dyDescent="0.25">
      <c r="A89" s="119" t="s">
        <v>190</v>
      </c>
      <c r="B89" s="119" t="s">
        <v>8317</v>
      </c>
      <c r="C89" s="119" t="s">
        <v>66</v>
      </c>
      <c r="D89" t="s">
        <v>45</v>
      </c>
      <c r="E89" s="117">
        <v>0</v>
      </c>
    </row>
    <row r="90" spans="1:5" x14ac:dyDescent="0.25">
      <c r="A90" s="119" t="s">
        <v>191</v>
      </c>
      <c r="B90" s="119" t="s">
        <v>192</v>
      </c>
      <c r="C90" s="119" t="s">
        <v>66</v>
      </c>
      <c r="D90" t="s">
        <v>6759</v>
      </c>
      <c r="E90" s="117">
        <v>101.12</v>
      </c>
    </row>
    <row r="91" spans="1:5" x14ac:dyDescent="0.25">
      <c r="A91" s="119" t="s">
        <v>193</v>
      </c>
      <c r="B91" s="119" t="s">
        <v>6387</v>
      </c>
      <c r="C91" s="119" t="s">
        <v>66</v>
      </c>
      <c r="D91" t="s">
        <v>6759</v>
      </c>
      <c r="E91" s="117">
        <v>134.82</v>
      </c>
    </row>
    <row r="92" spans="1:5" x14ac:dyDescent="0.25">
      <c r="A92" s="119" t="s">
        <v>194</v>
      </c>
      <c r="B92" s="119" t="s">
        <v>195</v>
      </c>
      <c r="C92" s="119" t="s">
        <v>66</v>
      </c>
      <c r="D92" t="s">
        <v>6759</v>
      </c>
      <c r="E92" s="117">
        <v>70.88</v>
      </c>
    </row>
    <row r="93" spans="1:5" x14ac:dyDescent="0.25">
      <c r="A93" s="119" t="s">
        <v>196</v>
      </c>
      <c r="B93" s="119" t="s">
        <v>8318</v>
      </c>
      <c r="C93" s="119" t="s">
        <v>66</v>
      </c>
      <c r="D93" t="s">
        <v>6759</v>
      </c>
      <c r="E93" s="117">
        <v>40.950000000000003</v>
      </c>
    </row>
    <row r="94" spans="1:5" x14ac:dyDescent="0.25">
      <c r="A94" s="119" t="s">
        <v>197</v>
      </c>
      <c r="B94" s="119" t="s">
        <v>198</v>
      </c>
      <c r="C94" s="119" t="s">
        <v>66</v>
      </c>
      <c r="D94" t="s">
        <v>6760</v>
      </c>
      <c r="E94" s="117">
        <v>135.08000000000001</v>
      </c>
    </row>
    <row r="95" spans="1:5" x14ac:dyDescent="0.25">
      <c r="A95" s="119" t="s">
        <v>199</v>
      </c>
      <c r="B95" s="119" t="s">
        <v>200</v>
      </c>
      <c r="C95" s="119" t="s">
        <v>66</v>
      </c>
      <c r="D95" t="s">
        <v>6759</v>
      </c>
      <c r="E95" s="117">
        <v>89.3</v>
      </c>
    </row>
    <row r="96" spans="1:5" x14ac:dyDescent="0.25">
      <c r="A96" s="119" t="s">
        <v>201</v>
      </c>
      <c r="B96" s="119" t="s">
        <v>202</v>
      </c>
      <c r="C96" s="119" t="s">
        <v>66</v>
      </c>
      <c r="D96" t="s">
        <v>6760</v>
      </c>
      <c r="E96" s="117">
        <v>11.8</v>
      </c>
    </row>
    <row r="97" spans="1:5" x14ac:dyDescent="0.25">
      <c r="A97" s="119" t="s">
        <v>203</v>
      </c>
      <c r="B97" s="119" t="s">
        <v>8319</v>
      </c>
      <c r="C97" s="119" t="s">
        <v>66</v>
      </c>
      <c r="D97" t="s">
        <v>6759</v>
      </c>
      <c r="E97" s="117">
        <v>50.94</v>
      </c>
    </row>
    <row r="98" spans="1:5" x14ac:dyDescent="0.25">
      <c r="A98" s="119" t="s">
        <v>8045</v>
      </c>
      <c r="B98" s="119" t="s">
        <v>8046</v>
      </c>
      <c r="C98" s="119" t="s">
        <v>66</v>
      </c>
      <c r="D98" t="s">
        <v>6759</v>
      </c>
      <c r="E98" s="117">
        <v>50</v>
      </c>
    </row>
    <row r="99" spans="1:5" x14ac:dyDescent="0.25">
      <c r="A99" s="119" t="s">
        <v>204</v>
      </c>
      <c r="B99" s="119" t="s">
        <v>8320</v>
      </c>
      <c r="C99" s="119" t="s">
        <v>66</v>
      </c>
      <c r="D99" t="s">
        <v>49</v>
      </c>
      <c r="E99" s="117">
        <v>23.23</v>
      </c>
    </row>
    <row r="100" spans="1:5" x14ac:dyDescent="0.25">
      <c r="A100" s="119" t="s">
        <v>8047</v>
      </c>
      <c r="B100" s="119" t="s">
        <v>8048</v>
      </c>
      <c r="C100" s="119" t="s">
        <v>66</v>
      </c>
      <c r="D100" t="s">
        <v>6759</v>
      </c>
      <c r="E100" s="117">
        <v>100</v>
      </c>
    </row>
    <row r="101" spans="1:5" x14ac:dyDescent="0.25">
      <c r="A101" s="119" t="s">
        <v>205</v>
      </c>
      <c r="B101" s="119" t="s">
        <v>8321</v>
      </c>
      <c r="C101" s="119" t="s">
        <v>66</v>
      </c>
      <c r="D101" t="s">
        <v>49</v>
      </c>
      <c r="E101" s="117">
        <v>67.319999999999993</v>
      </c>
    </row>
    <row r="102" spans="1:5" x14ac:dyDescent="0.25">
      <c r="A102" s="119" t="s">
        <v>8049</v>
      </c>
      <c r="B102" s="119" t="s">
        <v>8050</v>
      </c>
      <c r="C102" s="119" t="s">
        <v>66</v>
      </c>
      <c r="D102" t="s">
        <v>6759</v>
      </c>
      <c r="E102" s="117">
        <v>70</v>
      </c>
    </row>
    <row r="103" spans="1:5" x14ac:dyDescent="0.25">
      <c r="A103" s="119" t="s">
        <v>206</v>
      </c>
      <c r="B103" s="119" t="s">
        <v>207</v>
      </c>
      <c r="C103" s="119" t="s">
        <v>66</v>
      </c>
      <c r="D103" t="s">
        <v>49</v>
      </c>
      <c r="E103" s="117">
        <v>139.80000000000001</v>
      </c>
    </row>
    <row r="104" spans="1:5" x14ac:dyDescent="0.25">
      <c r="A104" s="119" t="s">
        <v>208</v>
      </c>
      <c r="B104" s="119" t="s">
        <v>209</v>
      </c>
      <c r="C104" s="119" t="s">
        <v>66</v>
      </c>
      <c r="D104" t="s">
        <v>6760</v>
      </c>
      <c r="E104" s="117">
        <v>88.71</v>
      </c>
    </row>
    <row r="105" spans="1:5" x14ac:dyDescent="0.25">
      <c r="A105" s="119" t="s">
        <v>210</v>
      </c>
      <c r="B105" s="119" t="s">
        <v>211</v>
      </c>
      <c r="C105" s="119" t="s">
        <v>66</v>
      </c>
      <c r="D105" t="s">
        <v>6759</v>
      </c>
      <c r="E105" s="117">
        <v>65.209999999999994</v>
      </c>
    </row>
    <row r="106" spans="1:5" x14ac:dyDescent="0.25">
      <c r="A106" s="119" t="s">
        <v>212</v>
      </c>
      <c r="B106" s="119" t="s">
        <v>213</v>
      </c>
      <c r="C106" s="119" t="s">
        <v>66</v>
      </c>
      <c r="D106" t="s">
        <v>6759</v>
      </c>
      <c r="E106" s="117">
        <v>6.74</v>
      </c>
    </row>
    <row r="107" spans="1:5" x14ac:dyDescent="0.25">
      <c r="A107" s="119" t="s">
        <v>214</v>
      </c>
      <c r="B107" s="119" t="s">
        <v>215</v>
      </c>
      <c r="C107" s="119" t="s">
        <v>66</v>
      </c>
      <c r="D107" t="s">
        <v>6759</v>
      </c>
      <c r="E107" s="117">
        <v>110.25</v>
      </c>
    </row>
    <row r="108" spans="1:5" x14ac:dyDescent="0.25">
      <c r="A108" s="119" t="s">
        <v>216</v>
      </c>
      <c r="B108" s="119" t="s">
        <v>217</v>
      </c>
      <c r="C108" s="119" t="s">
        <v>66</v>
      </c>
      <c r="D108" t="s">
        <v>6759</v>
      </c>
      <c r="E108" s="117">
        <v>12.5</v>
      </c>
    </row>
    <row r="109" spans="1:5" x14ac:dyDescent="0.25">
      <c r="A109" s="119" t="s">
        <v>218</v>
      </c>
      <c r="B109" s="119" t="s">
        <v>219</v>
      </c>
      <c r="C109" s="119" t="s">
        <v>66</v>
      </c>
      <c r="D109" t="s">
        <v>6759</v>
      </c>
      <c r="E109" s="117">
        <v>14.07</v>
      </c>
    </row>
    <row r="110" spans="1:5" x14ac:dyDescent="0.25">
      <c r="A110" s="119" t="s">
        <v>220</v>
      </c>
      <c r="B110" s="119" t="s">
        <v>221</v>
      </c>
      <c r="C110" s="119" t="s">
        <v>66</v>
      </c>
      <c r="D110" t="s">
        <v>6759</v>
      </c>
      <c r="E110" s="117">
        <v>15.75</v>
      </c>
    </row>
    <row r="111" spans="1:5" x14ac:dyDescent="0.25">
      <c r="A111" s="119" t="s">
        <v>222</v>
      </c>
      <c r="B111" s="119" t="s">
        <v>223</v>
      </c>
      <c r="C111" s="119" t="s">
        <v>66</v>
      </c>
      <c r="D111" t="s">
        <v>49</v>
      </c>
      <c r="E111" s="117">
        <v>12.5</v>
      </c>
    </row>
    <row r="112" spans="1:5" x14ac:dyDescent="0.25">
      <c r="A112" s="119" t="s">
        <v>224</v>
      </c>
      <c r="B112" s="119" t="s">
        <v>8322</v>
      </c>
      <c r="C112" s="119" t="s">
        <v>66</v>
      </c>
      <c r="D112" t="s">
        <v>45</v>
      </c>
      <c r="E112" s="117">
        <v>118.41</v>
      </c>
    </row>
    <row r="113" spans="1:5" x14ac:dyDescent="0.25">
      <c r="A113" s="119" t="s">
        <v>225</v>
      </c>
      <c r="B113" s="119" t="s">
        <v>226</v>
      </c>
      <c r="C113" s="119" t="s">
        <v>66</v>
      </c>
      <c r="D113" t="s">
        <v>6760</v>
      </c>
      <c r="E113" s="117">
        <v>5.67</v>
      </c>
    </row>
    <row r="114" spans="1:5" x14ac:dyDescent="0.25">
      <c r="A114" s="119" t="s">
        <v>227</v>
      </c>
      <c r="B114" s="119" t="s">
        <v>228</v>
      </c>
      <c r="C114" s="119" t="s">
        <v>66</v>
      </c>
      <c r="D114" t="s">
        <v>45</v>
      </c>
      <c r="E114" s="117">
        <v>5.15</v>
      </c>
    </row>
    <row r="115" spans="1:5" x14ac:dyDescent="0.25">
      <c r="A115" s="119" t="s">
        <v>229</v>
      </c>
      <c r="B115" s="119" t="s">
        <v>230</v>
      </c>
      <c r="C115" s="119" t="s">
        <v>66</v>
      </c>
      <c r="D115" t="s">
        <v>49</v>
      </c>
      <c r="E115" s="117">
        <v>5.67</v>
      </c>
    </row>
    <row r="116" spans="1:5" x14ac:dyDescent="0.25">
      <c r="A116" s="119" t="s">
        <v>231</v>
      </c>
      <c r="B116" s="119" t="s">
        <v>232</v>
      </c>
      <c r="C116" s="119" t="s">
        <v>66</v>
      </c>
      <c r="D116" t="s">
        <v>6759</v>
      </c>
      <c r="E116" s="117">
        <v>29.4</v>
      </c>
    </row>
    <row r="117" spans="1:5" x14ac:dyDescent="0.25">
      <c r="A117" s="119" t="s">
        <v>233</v>
      </c>
      <c r="B117" s="119" t="s">
        <v>234</v>
      </c>
      <c r="C117" s="119" t="s">
        <v>66</v>
      </c>
      <c r="D117" t="s">
        <v>6759</v>
      </c>
      <c r="E117" s="117">
        <v>254.34</v>
      </c>
    </row>
    <row r="118" spans="1:5" x14ac:dyDescent="0.25">
      <c r="A118" s="119" t="s">
        <v>235</v>
      </c>
      <c r="B118" s="119" t="s">
        <v>236</v>
      </c>
      <c r="C118" s="119" t="s">
        <v>66</v>
      </c>
      <c r="D118" t="s">
        <v>49</v>
      </c>
      <c r="E118" s="117">
        <v>28.04</v>
      </c>
    </row>
    <row r="119" spans="1:5" x14ac:dyDescent="0.25">
      <c r="A119" s="119" t="s">
        <v>237</v>
      </c>
      <c r="B119" s="119" t="s">
        <v>238</v>
      </c>
      <c r="C119" s="119" t="s">
        <v>66</v>
      </c>
      <c r="D119" t="s">
        <v>6759</v>
      </c>
      <c r="E119" s="117">
        <v>73.5</v>
      </c>
    </row>
    <row r="120" spans="1:5" x14ac:dyDescent="0.25">
      <c r="A120" s="119" t="s">
        <v>239</v>
      </c>
      <c r="B120" s="119" t="s">
        <v>240</v>
      </c>
      <c r="C120" s="119" t="s">
        <v>66</v>
      </c>
      <c r="D120" t="s">
        <v>49</v>
      </c>
      <c r="E120" s="117">
        <v>144.4</v>
      </c>
    </row>
    <row r="121" spans="1:5" x14ac:dyDescent="0.25">
      <c r="A121" s="119" t="s">
        <v>241</v>
      </c>
      <c r="B121" s="119" t="s">
        <v>242</v>
      </c>
      <c r="C121" s="119" t="s">
        <v>66</v>
      </c>
      <c r="D121" t="s">
        <v>49</v>
      </c>
      <c r="E121" s="117">
        <v>88.47</v>
      </c>
    </row>
    <row r="122" spans="1:5" x14ac:dyDescent="0.25">
      <c r="A122" s="119" t="s">
        <v>7380</v>
      </c>
      <c r="B122" s="119" t="s">
        <v>7381</v>
      </c>
      <c r="C122" s="119" t="s">
        <v>66</v>
      </c>
      <c r="D122" t="s">
        <v>45</v>
      </c>
      <c r="E122" s="117">
        <v>999999</v>
      </c>
    </row>
    <row r="123" spans="1:5" x14ac:dyDescent="0.25">
      <c r="A123" s="119" t="s">
        <v>243</v>
      </c>
      <c r="B123" s="119" t="s">
        <v>244</v>
      </c>
      <c r="C123" s="119" t="s">
        <v>66</v>
      </c>
      <c r="D123" t="s">
        <v>6760</v>
      </c>
      <c r="E123" s="117">
        <v>76.02</v>
      </c>
    </row>
    <row r="124" spans="1:5" x14ac:dyDescent="0.25">
      <c r="A124" s="119" t="s">
        <v>245</v>
      </c>
      <c r="B124" s="119" t="s">
        <v>246</v>
      </c>
      <c r="C124" s="119" t="s">
        <v>66</v>
      </c>
      <c r="D124" t="s">
        <v>45</v>
      </c>
      <c r="E124" s="117">
        <v>80.3</v>
      </c>
    </row>
    <row r="125" spans="1:5" x14ac:dyDescent="0.25">
      <c r="A125" s="119" t="s">
        <v>6791</v>
      </c>
      <c r="B125" s="119" t="s">
        <v>8323</v>
      </c>
      <c r="C125" s="119" t="s">
        <v>66</v>
      </c>
      <c r="D125" t="s">
        <v>6759</v>
      </c>
      <c r="E125" s="117">
        <v>38</v>
      </c>
    </row>
    <row r="126" spans="1:5" x14ac:dyDescent="0.25">
      <c r="A126" s="119" t="s">
        <v>247</v>
      </c>
      <c r="B126" s="119" t="s">
        <v>248</v>
      </c>
      <c r="C126" s="119" t="s">
        <v>66</v>
      </c>
      <c r="D126" t="s">
        <v>45</v>
      </c>
      <c r="E126" s="117">
        <v>60</v>
      </c>
    </row>
    <row r="127" spans="1:5" x14ac:dyDescent="0.25">
      <c r="A127" s="119" t="s">
        <v>249</v>
      </c>
      <c r="B127" s="119" t="s">
        <v>250</v>
      </c>
      <c r="C127" s="119" t="s">
        <v>66</v>
      </c>
      <c r="D127" t="s">
        <v>6759</v>
      </c>
      <c r="E127" s="117">
        <v>42.74</v>
      </c>
    </row>
    <row r="128" spans="1:5" x14ac:dyDescent="0.25">
      <c r="A128" s="119" t="s">
        <v>251</v>
      </c>
      <c r="B128" s="119" t="s">
        <v>252</v>
      </c>
      <c r="C128" s="119" t="s">
        <v>66</v>
      </c>
      <c r="D128" t="s">
        <v>6759</v>
      </c>
      <c r="E128" s="117">
        <v>13.48</v>
      </c>
    </row>
    <row r="129" spans="1:5" x14ac:dyDescent="0.25">
      <c r="A129" s="119" t="s">
        <v>253</v>
      </c>
      <c r="B129" s="119" t="s">
        <v>254</v>
      </c>
      <c r="C129" s="119" t="s">
        <v>66</v>
      </c>
      <c r="D129" t="s">
        <v>49</v>
      </c>
      <c r="E129" s="117">
        <v>13.48</v>
      </c>
    </row>
    <row r="130" spans="1:5" x14ac:dyDescent="0.25">
      <c r="A130" s="119" t="s">
        <v>255</v>
      </c>
      <c r="B130" s="119" t="s">
        <v>256</v>
      </c>
      <c r="C130" s="119" t="s">
        <v>66</v>
      </c>
      <c r="D130" t="s">
        <v>49</v>
      </c>
      <c r="E130" s="117">
        <v>12.63</v>
      </c>
    </row>
    <row r="131" spans="1:5" x14ac:dyDescent="0.25">
      <c r="A131" s="119" t="s">
        <v>257</v>
      </c>
      <c r="B131" s="119" t="s">
        <v>258</v>
      </c>
      <c r="C131" s="119" t="s">
        <v>66</v>
      </c>
      <c r="D131" t="s">
        <v>6759</v>
      </c>
      <c r="E131" s="117">
        <v>32.58</v>
      </c>
    </row>
    <row r="132" spans="1:5" x14ac:dyDescent="0.25">
      <c r="A132" s="119" t="s">
        <v>259</v>
      </c>
      <c r="B132" s="119" t="s">
        <v>8324</v>
      </c>
      <c r="C132" s="119" t="s">
        <v>66</v>
      </c>
      <c r="D132" t="s">
        <v>6759</v>
      </c>
      <c r="E132" s="117">
        <v>49.46</v>
      </c>
    </row>
    <row r="133" spans="1:5" x14ac:dyDescent="0.25">
      <c r="A133" s="119" t="s">
        <v>260</v>
      </c>
      <c r="B133" s="119" t="s">
        <v>8325</v>
      </c>
      <c r="C133" s="119" t="s">
        <v>66</v>
      </c>
      <c r="D133" t="s">
        <v>6759</v>
      </c>
      <c r="E133" s="117">
        <v>53.09</v>
      </c>
    </row>
    <row r="134" spans="1:5" x14ac:dyDescent="0.25">
      <c r="A134" s="119" t="s">
        <v>261</v>
      </c>
      <c r="B134" s="119" t="s">
        <v>262</v>
      </c>
      <c r="C134" s="119" t="s">
        <v>66</v>
      </c>
      <c r="D134" t="s">
        <v>49</v>
      </c>
      <c r="E134" s="117">
        <v>27.75</v>
      </c>
    </row>
    <row r="135" spans="1:5" x14ac:dyDescent="0.25">
      <c r="A135" s="119" t="s">
        <v>263</v>
      </c>
      <c r="B135" s="119" t="s">
        <v>8326</v>
      </c>
      <c r="C135" s="119" t="s">
        <v>66</v>
      </c>
      <c r="D135" t="s">
        <v>6759</v>
      </c>
      <c r="E135" s="117">
        <v>40.53</v>
      </c>
    </row>
    <row r="136" spans="1:5" x14ac:dyDescent="0.25">
      <c r="A136" s="119" t="s">
        <v>264</v>
      </c>
      <c r="B136" s="119" t="s">
        <v>8327</v>
      </c>
      <c r="C136" s="119" t="s">
        <v>66</v>
      </c>
      <c r="D136" t="s">
        <v>6759</v>
      </c>
      <c r="E136" s="117">
        <v>151.13999999999999</v>
      </c>
    </row>
    <row r="137" spans="1:5" x14ac:dyDescent="0.25">
      <c r="A137" s="119" t="s">
        <v>265</v>
      </c>
      <c r="B137" s="119" t="s">
        <v>266</v>
      </c>
      <c r="C137" s="119" t="s">
        <v>66</v>
      </c>
      <c r="D137" t="s">
        <v>45</v>
      </c>
      <c r="E137" s="117">
        <v>49.46</v>
      </c>
    </row>
    <row r="138" spans="1:5" x14ac:dyDescent="0.25">
      <c r="A138" s="119" t="s">
        <v>267</v>
      </c>
      <c r="B138" s="119" t="s">
        <v>8328</v>
      </c>
      <c r="C138" s="119" t="s">
        <v>66</v>
      </c>
      <c r="D138" t="s">
        <v>49</v>
      </c>
      <c r="E138" s="117">
        <v>49.46</v>
      </c>
    </row>
    <row r="139" spans="1:5" x14ac:dyDescent="0.25">
      <c r="A139" s="119" t="s">
        <v>268</v>
      </c>
      <c r="B139" s="119" t="s">
        <v>269</v>
      </c>
      <c r="C139" s="119" t="s">
        <v>66</v>
      </c>
      <c r="D139" t="s">
        <v>6759</v>
      </c>
      <c r="E139" s="117">
        <v>16.850000000000001</v>
      </c>
    </row>
    <row r="140" spans="1:5" x14ac:dyDescent="0.25">
      <c r="A140" s="119" t="s">
        <v>270</v>
      </c>
      <c r="B140" s="119" t="s">
        <v>271</v>
      </c>
      <c r="C140" s="119" t="s">
        <v>66</v>
      </c>
      <c r="D140" t="s">
        <v>49</v>
      </c>
      <c r="E140" s="117">
        <v>73.7</v>
      </c>
    </row>
    <row r="141" spans="1:5" x14ac:dyDescent="0.25">
      <c r="A141" s="119" t="s">
        <v>272</v>
      </c>
      <c r="B141" s="119" t="s">
        <v>273</v>
      </c>
      <c r="C141" s="119" t="s">
        <v>66</v>
      </c>
      <c r="D141" t="s">
        <v>45</v>
      </c>
      <c r="E141" s="117">
        <v>55.8</v>
      </c>
    </row>
    <row r="142" spans="1:5" x14ac:dyDescent="0.25">
      <c r="A142" s="119" t="s">
        <v>274</v>
      </c>
      <c r="B142" s="119" t="s">
        <v>8329</v>
      </c>
      <c r="C142" s="119" t="s">
        <v>66</v>
      </c>
      <c r="D142" t="s">
        <v>45</v>
      </c>
      <c r="E142" s="117">
        <v>97.84</v>
      </c>
    </row>
    <row r="143" spans="1:5" x14ac:dyDescent="0.25">
      <c r="A143" s="119" t="s">
        <v>275</v>
      </c>
      <c r="B143" s="119" t="s">
        <v>273</v>
      </c>
      <c r="C143" s="119" t="s">
        <v>66</v>
      </c>
      <c r="D143" t="s">
        <v>45</v>
      </c>
      <c r="E143" s="117">
        <v>70</v>
      </c>
    </row>
    <row r="144" spans="1:5" x14ac:dyDescent="0.25">
      <c r="A144" s="119" t="s">
        <v>276</v>
      </c>
      <c r="B144" s="119" t="s">
        <v>8330</v>
      </c>
      <c r="C144" s="119" t="s">
        <v>66</v>
      </c>
      <c r="D144" t="s">
        <v>6759</v>
      </c>
      <c r="E144" s="117">
        <v>46.2</v>
      </c>
    </row>
    <row r="145" spans="1:5" x14ac:dyDescent="0.25">
      <c r="A145" s="119" t="s">
        <v>277</v>
      </c>
      <c r="B145" s="119" t="s">
        <v>278</v>
      </c>
      <c r="C145" s="119" t="s">
        <v>66</v>
      </c>
      <c r="D145" t="s">
        <v>6759</v>
      </c>
      <c r="E145" s="117">
        <v>52.17</v>
      </c>
    </row>
    <row r="146" spans="1:5" x14ac:dyDescent="0.25">
      <c r="A146" s="119" t="s">
        <v>279</v>
      </c>
      <c r="B146" s="119" t="s">
        <v>280</v>
      </c>
      <c r="C146" s="119" t="s">
        <v>66</v>
      </c>
      <c r="D146" t="s">
        <v>45</v>
      </c>
      <c r="E146" s="117">
        <v>63</v>
      </c>
    </row>
    <row r="147" spans="1:5" x14ac:dyDescent="0.25">
      <c r="A147" s="119" t="s">
        <v>281</v>
      </c>
      <c r="B147" s="119" t="s">
        <v>282</v>
      </c>
      <c r="C147" s="119" t="s">
        <v>66</v>
      </c>
      <c r="D147" t="s">
        <v>49</v>
      </c>
      <c r="E147" s="117">
        <v>11.8</v>
      </c>
    </row>
    <row r="148" spans="1:5" x14ac:dyDescent="0.25">
      <c r="A148" s="119" t="s">
        <v>283</v>
      </c>
      <c r="B148" s="119" t="s">
        <v>8331</v>
      </c>
      <c r="C148" s="119" t="s">
        <v>66</v>
      </c>
      <c r="D148" t="s">
        <v>6759</v>
      </c>
      <c r="E148" s="117">
        <v>14</v>
      </c>
    </row>
    <row r="149" spans="1:5" x14ac:dyDescent="0.25">
      <c r="A149" s="119" t="s">
        <v>285</v>
      </c>
      <c r="B149" s="119" t="s">
        <v>286</v>
      </c>
      <c r="C149" s="119" t="s">
        <v>66</v>
      </c>
      <c r="D149" t="s">
        <v>6759</v>
      </c>
      <c r="E149" s="117">
        <v>50.66</v>
      </c>
    </row>
    <row r="150" spans="1:5" x14ac:dyDescent="0.25">
      <c r="A150" s="119" t="s">
        <v>287</v>
      </c>
      <c r="B150" s="119" t="s">
        <v>288</v>
      </c>
      <c r="C150" s="119" t="s">
        <v>66</v>
      </c>
      <c r="D150" t="s">
        <v>6759</v>
      </c>
      <c r="E150" s="117">
        <v>38.85</v>
      </c>
    </row>
    <row r="151" spans="1:5" x14ac:dyDescent="0.25">
      <c r="A151" s="119" t="s">
        <v>289</v>
      </c>
      <c r="B151" s="119" t="s">
        <v>290</v>
      </c>
      <c r="C151" s="119" t="s">
        <v>66</v>
      </c>
      <c r="D151" t="s">
        <v>6759</v>
      </c>
      <c r="E151" s="117">
        <v>242.55</v>
      </c>
    </row>
    <row r="152" spans="1:5" x14ac:dyDescent="0.25">
      <c r="A152" s="119" t="s">
        <v>291</v>
      </c>
      <c r="B152" s="119" t="s">
        <v>8332</v>
      </c>
      <c r="C152" s="119" t="s">
        <v>66</v>
      </c>
      <c r="D152" t="s">
        <v>45</v>
      </c>
      <c r="E152" s="117">
        <v>46.2</v>
      </c>
    </row>
    <row r="153" spans="1:5" x14ac:dyDescent="0.25">
      <c r="A153" s="119" t="s">
        <v>292</v>
      </c>
      <c r="B153" s="119" t="s">
        <v>293</v>
      </c>
      <c r="C153" s="119" t="s">
        <v>66</v>
      </c>
      <c r="D153" t="s">
        <v>49</v>
      </c>
      <c r="E153" s="117">
        <v>149.11000000000001</v>
      </c>
    </row>
    <row r="154" spans="1:5" x14ac:dyDescent="0.25">
      <c r="A154" s="119" t="s">
        <v>294</v>
      </c>
      <c r="B154" s="119" t="s">
        <v>295</v>
      </c>
      <c r="C154" s="119" t="s">
        <v>66</v>
      </c>
      <c r="D154" t="s">
        <v>49</v>
      </c>
      <c r="E154" s="117">
        <v>93.2</v>
      </c>
    </row>
    <row r="155" spans="1:5" x14ac:dyDescent="0.25">
      <c r="A155" s="119" t="s">
        <v>296</v>
      </c>
      <c r="B155" s="119" t="s">
        <v>297</v>
      </c>
      <c r="C155" s="119" t="s">
        <v>66</v>
      </c>
      <c r="D155" t="s">
        <v>49</v>
      </c>
      <c r="E155" s="117">
        <v>153.72</v>
      </c>
    </row>
    <row r="156" spans="1:5" x14ac:dyDescent="0.25">
      <c r="A156" s="119" t="s">
        <v>298</v>
      </c>
      <c r="B156" s="119" t="s">
        <v>299</v>
      </c>
      <c r="C156" s="119" t="s">
        <v>66</v>
      </c>
      <c r="D156" t="s">
        <v>6759</v>
      </c>
      <c r="E156" s="117">
        <v>104.17</v>
      </c>
    </row>
    <row r="157" spans="1:5" x14ac:dyDescent="0.25">
      <c r="A157" s="119" t="s">
        <v>300</v>
      </c>
      <c r="B157" s="119" t="s">
        <v>8333</v>
      </c>
      <c r="C157" s="119" t="s">
        <v>301</v>
      </c>
      <c r="D157" t="s">
        <v>6759</v>
      </c>
      <c r="E157" s="117">
        <v>2602.14</v>
      </c>
    </row>
    <row r="158" spans="1:5" x14ac:dyDescent="0.25">
      <c r="A158" s="119" t="s">
        <v>302</v>
      </c>
      <c r="B158" s="119" t="s">
        <v>8334</v>
      </c>
      <c r="C158" s="119" t="s">
        <v>301</v>
      </c>
      <c r="D158" t="s">
        <v>45</v>
      </c>
      <c r="E158" s="117">
        <v>2434.5700000000002</v>
      </c>
    </row>
    <row r="159" spans="1:5" x14ac:dyDescent="0.25">
      <c r="A159" s="119" t="s">
        <v>303</v>
      </c>
      <c r="B159" s="119" t="s">
        <v>304</v>
      </c>
      <c r="C159" s="119" t="s">
        <v>66</v>
      </c>
      <c r="D159" t="s">
        <v>51</v>
      </c>
      <c r="E159" s="117">
        <v>9.4499999999999993</v>
      </c>
    </row>
    <row r="160" spans="1:5" x14ac:dyDescent="0.25">
      <c r="A160" s="119" t="s">
        <v>305</v>
      </c>
      <c r="B160" s="119" t="s">
        <v>306</v>
      </c>
      <c r="C160" s="119" t="s">
        <v>66</v>
      </c>
      <c r="D160" t="s">
        <v>6759</v>
      </c>
      <c r="E160" s="117">
        <v>242.24</v>
      </c>
    </row>
    <row r="161" spans="1:5" x14ac:dyDescent="0.25">
      <c r="A161" s="119" t="s">
        <v>307</v>
      </c>
      <c r="B161" s="119" t="s">
        <v>8335</v>
      </c>
      <c r="C161" s="119" t="s">
        <v>66</v>
      </c>
      <c r="D161" t="s">
        <v>6760</v>
      </c>
      <c r="E161" s="117">
        <v>42</v>
      </c>
    </row>
    <row r="162" spans="1:5" x14ac:dyDescent="0.25">
      <c r="A162" s="119" t="s">
        <v>308</v>
      </c>
      <c r="B162" s="119" t="s">
        <v>309</v>
      </c>
      <c r="C162" s="119" t="s">
        <v>66</v>
      </c>
      <c r="D162" t="s">
        <v>6759</v>
      </c>
      <c r="E162" s="117">
        <v>20.02</v>
      </c>
    </row>
    <row r="163" spans="1:5" x14ac:dyDescent="0.25">
      <c r="A163" s="119" t="s">
        <v>310</v>
      </c>
      <c r="B163" s="119" t="s">
        <v>8336</v>
      </c>
      <c r="C163" s="119" t="s">
        <v>66</v>
      </c>
      <c r="D163" t="s">
        <v>6759</v>
      </c>
      <c r="E163" s="117">
        <v>24</v>
      </c>
    </row>
    <row r="164" spans="1:5" x14ac:dyDescent="0.25">
      <c r="A164" s="119" t="s">
        <v>311</v>
      </c>
      <c r="B164" s="119" t="s">
        <v>312</v>
      </c>
      <c r="C164" s="119" t="s">
        <v>66</v>
      </c>
      <c r="D164" t="s">
        <v>6759</v>
      </c>
      <c r="E164" s="117">
        <v>33.729999999999997</v>
      </c>
    </row>
    <row r="165" spans="1:5" x14ac:dyDescent="0.25">
      <c r="A165" s="119" t="s">
        <v>313</v>
      </c>
      <c r="B165" s="119" t="s">
        <v>8337</v>
      </c>
      <c r="C165" s="119" t="s">
        <v>66</v>
      </c>
      <c r="D165" t="s">
        <v>45</v>
      </c>
      <c r="E165" s="117">
        <v>212.64</v>
      </c>
    </row>
    <row r="166" spans="1:5" x14ac:dyDescent="0.25">
      <c r="A166" s="119" t="s">
        <v>314</v>
      </c>
      <c r="B166" s="119" t="s">
        <v>315</v>
      </c>
      <c r="C166" s="119" t="s">
        <v>66</v>
      </c>
      <c r="D166" t="s">
        <v>49</v>
      </c>
      <c r="E166" s="117">
        <v>158.43</v>
      </c>
    </row>
    <row r="167" spans="1:5" x14ac:dyDescent="0.25">
      <c r="A167" s="119" t="s">
        <v>316</v>
      </c>
      <c r="B167" s="119" t="s">
        <v>317</v>
      </c>
      <c r="C167" s="119" t="s">
        <v>66</v>
      </c>
      <c r="D167" t="s">
        <v>49</v>
      </c>
      <c r="E167" s="117">
        <v>107.11</v>
      </c>
    </row>
    <row r="168" spans="1:5" x14ac:dyDescent="0.25">
      <c r="A168" s="119" t="s">
        <v>318</v>
      </c>
      <c r="B168" s="119" t="s">
        <v>8338</v>
      </c>
      <c r="C168" s="119" t="s">
        <v>66</v>
      </c>
      <c r="D168" t="s">
        <v>6759</v>
      </c>
      <c r="E168" s="117">
        <v>1799</v>
      </c>
    </row>
    <row r="169" spans="1:5" x14ac:dyDescent="0.25">
      <c r="A169" s="119" t="s">
        <v>319</v>
      </c>
      <c r="B169" s="119" t="s">
        <v>8339</v>
      </c>
      <c r="C169" s="119" t="s">
        <v>66</v>
      </c>
      <c r="D169" t="s">
        <v>49</v>
      </c>
      <c r="E169" s="117">
        <v>1899</v>
      </c>
    </row>
    <row r="170" spans="1:5" x14ac:dyDescent="0.25">
      <c r="A170" s="119" t="s">
        <v>320</v>
      </c>
      <c r="B170" s="119" t="s">
        <v>8340</v>
      </c>
      <c r="C170" s="119" t="s">
        <v>66</v>
      </c>
      <c r="D170" t="s">
        <v>49</v>
      </c>
      <c r="E170" s="117">
        <v>55</v>
      </c>
    </row>
    <row r="171" spans="1:5" x14ac:dyDescent="0.25">
      <c r="A171" s="119" t="s">
        <v>321</v>
      </c>
      <c r="B171" s="119" t="s">
        <v>8341</v>
      </c>
      <c r="C171" s="119" t="s">
        <v>66</v>
      </c>
      <c r="D171" t="s">
        <v>45</v>
      </c>
      <c r="E171" s="117">
        <v>70</v>
      </c>
    </row>
    <row r="172" spans="1:5" x14ac:dyDescent="0.25">
      <c r="A172" s="119" t="s">
        <v>322</v>
      </c>
      <c r="B172" s="119" t="s">
        <v>8342</v>
      </c>
      <c r="C172" s="119" t="s">
        <v>66</v>
      </c>
      <c r="D172" t="s">
        <v>6759</v>
      </c>
      <c r="E172" s="117">
        <v>219</v>
      </c>
    </row>
    <row r="173" spans="1:5" x14ac:dyDescent="0.25">
      <c r="A173" s="119" t="s">
        <v>323</v>
      </c>
      <c r="B173" s="119" t="s">
        <v>8343</v>
      </c>
      <c r="C173" s="119" t="s">
        <v>66</v>
      </c>
      <c r="D173" t="s">
        <v>6759</v>
      </c>
      <c r="E173" s="117">
        <v>219</v>
      </c>
    </row>
    <row r="174" spans="1:5" x14ac:dyDescent="0.25">
      <c r="A174" s="119" t="s">
        <v>324</v>
      </c>
      <c r="B174" s="119" t="s">
        <v>8344</v>
      </c>
      <c r="C174" s="119" t="s">
        <v>66</v>
      </c>
      <c r="D174" t="s">
        <v>6759</v>
      </c>
      <c r="E174" s="117">
        <v>219</v>
      </c>
    </row>
    <row r="175" spans="1:5" x14ac:dyDescent="0.25">
      <c r="A175" s="119" t="s">
        <v>325</v>
      </c>
      <c r="B175" s="119" t="s">
        <v>8345</v>
      </c>
      <c r="C175" s="119" t="s">
        <v>66</v>
      </c>
      <c r="D175" t="s">
        <v>6759</v>
      </c>
      <c r="E175" s="117">
        <v>1799</v>
      </c>
    </row>
    <row r="176" spans="1:5" x14ac:dyDescent="0.25">
      <c r="A176" s="119" t="s">
        <v>326</v>
      </c>
      <c r="B176" s="119" t="s">
        <v>8346</v>
      </c>
      <c r="C176" s="119" t="s">
        <v>66</v>
      </c>
      <c r="D176" t="s">
        <v>6759</v>
      </c>
      <c r="E176" s="117">
        <v>1849</v>
      </c>
    </row>
    <row r="177" spans="1:5" x14ac:dyDescent="0.25">
      <c r="A177" s="119" t="s">
        <v>327</v>
      </c>
      <c r="B177" s="119" t="s">
        <v>8347</v>
      </c>
      <c r="C177" s="119" t="s">
        <v>66</v>
      </c>
      <c r="D177" t="s">
        <v>49</v>
      </c>
      <c r="E177" s="117">
        <v>239</v>
      </c>
    </row>
    <row r="178" spans="1:5" x14ac:dyDescent="0.25">
      <c r="A178" s="119" t="s">
        <v>328</v>
      </c>
      <c r="B178" s="119" t="s">
        <v>8348</v>
      </c>
      <c r="C178" s="119" t="s">
        <v>66</v>
      </c>
      <c r="D178" t="s">
        <v>6759</v>
      </c>
      <c r="E178" s="117">
        <v>60</v>
      </c>
    </row>
    <row r="179" spans="1:5" x14ac:dyDescent="0.25">
      <c r="A179" s="119" t="s">
        <v>329</v>
      </c>
      <c r="B179" s="119" t="s">
        <v>8349</v>
      </c>
      <c r="C179" s="119" t="s">
        <v>66</v>
      </c>
      <c r="D179" t="s">
        <v>6759</v>
      </c>
      <c r="E179" s="117">
        <v>89</v>
      </c>
    </row>
    <row r="180" spans="1:5" x14ac:dyDescent="0.25">
      <c r="A180" s="119" t="s">
        <v>330</v>
      </c>
      <c r="B180" s="119" t="s">
        <v>8350</v>
      </c>
      <c r="C180" s="119" t="s">
        <v>66</v>
      </c>
      <c r="D180" t="s">
        <v>49</v>
      </c>
      <c r="E180" s="117">
        <v>89</v>
      </c>
    </row>
    <row r="181" spans="1:5" x14ac:dyDescent="0.25">
      <c r="A181" s="119" t="s">
        <v>331</v>
      </c>
      <c r="B181" s="119" t="s">
        <v>8351</v>
      </c>
      <c r="C181" s="119" t="s">
        <v>66</v>
      </c>
      <c r="D181" t="s">
        <v>49</v>
      </c>
      <c r="E181" s="117">
        <v>120</v>
      </c>
    </row>
    <row r="182" spans="1:5" x14ac:dyDescent="0.25">
      <c r="A182" s="119" t="s">
        <v>332</v>
      </c>
      <c r="B182" s="119" t="s">
        <v>8352</v>
      </c>
      <c r="C182" s="119" t="s">
        <v>66</v>
      </c>
      <c r="D182" t="s">
        <v>6759</v>
      </c>
      <c r="E182" s="117">
        <v>69</v>
      </c>
    </row>
    <row r="183" spans="1:5" x14ac:dyDescent="0.25">
      <c r="A183" s="119" t="s">
        <v>333</v>
      </c>
      <c r="B183" s="119" t="s">
        <v>8353</v>
      </c>
      <c r="C183" s="119" t="s">
        <v>66</v>
      </c>
      <c r="D183" t="s">
        <v>6759</v>
      </c>
      <c r="E183" s="117">
        <v>79</v>
      </c>
    </row>
    <row r="184" spans="1:5" x14ac:dyDescent="0.25">
      <c r="A184" s="119" t="s">
        <v>334</v>
      </c>
      <c r="B184" s="119" t="s">
        <v>8354</v>
      </c>
      <c r="C184" s="119" t="s">
        <v>66</v>
      </c>
      <c r="D184" t="s">
        <v>51</v>
      </c>
      <c r="E184" s="117">
        <v>35</v>
      </c>
    </row>
    <row r="185" spans="1:5" x14ac:dyDescent="0.25">
      <c r="A185" s="119" t="s">
        <v>336</v>
      </c>
      <c r="B185" s="119" t="s">
        <v>8355</v>
      </c>
      <c r="C185" s="119" t="s">
        <v>66</v>
      </c>
      <c r="D185" t="s">
        <v>51</v>
      </c>
      <c r="E185" s="117">
        <v>59</v>
      </c>
    </row>
    <row r="186" spans="1:5" x14ac:dyDescent="0.25">
      <c r="A186" s="119" t="s">
        <v>337</v>
      </c>
      <c r="B186" s="119" t="s">
        <v>8356</v>
      </c>
      <c r="C186" s="119" t="s">
        <v>66</v>
      </c>
      <c r="D186" t="s">
        <v>51</v>
      </c>
      <c r="E186" s="117">
        <v>89</v>
      </c>
    </row>
    <row r="187" spans="1:5" x14ac:dyDescent="0.25">
      <c r="A187" s="119" t="s">
        <v>338</v>
      </c>
      <c r="B187" s="119" t="s">
        <v>8357</v>
      </c>
      <c r="C187" s="119" t="s">
        <v>66</v>
      </c>
      <c r="D187" t="s">
        <v>49</v>
      </c>
      <c r="E187" s="117">
        <v>75</v>
      </c>
    </row>
    <row r="188" spans="1:5" x14ac:dyDescent="0.25">
      <c r="A188" s="119" t="s">
        <v>339</v>
      </c>
      <c r="B188" s="119" t="s">
        <v>8358</v>
      </c>
      <c r="C188" s="119" t="s">
        <v>66</v>
      </c>
      <c r="D188" t="s">
        <v>6759</v>
      </c>
      <c r="E188" s="117">
        <v>129</v>
      </c>
    </row>
    <row r="189" spans="1:5" x14ac:dyDescent="0.25">
      <c r="A189" s="119" t="s">
        <v>340</v>
      </c>
      <c r="B189" s="119" t="s">
        <v>8359</v>
      </c>
      <c r="C189" s="119" t="s">
        <v>66</v>
      </c>
      <c r="D189" t="s">
        <v>6759</v>
      </c>
      <c r="E189" s="117">
        <v>4499</v>
      </c>
    </row>
    <row r="190" spans="1:5" x14ac:dyDescent="0.25">
      <c r="A190" s="119" t="s">
        <v>341</v>
      </c>
      <c r="B190" s="119" t="s">
        <v>8360</v>
      </c>
      <c r="C190" s="119" t="s">
        <v>66</v>
      </c>
      <c r="D190" t="s">
        <v>6759</v>
      </c>
      <c r="E190" s="117">
        <v>22</v>
      </c>
    </row>
    <row r="191" spans="1:5" x14ac:dyDescent="0.25">
      <c r="A191" s="119" t="s">
        <v>342</v>
      </c>
      <c r="B191" s="119" t="s">
        <v>8361</v>
      </c>
      <c r="C191" s="119" t="s">
        <v>66</v>
      </c>
      <c r="D191" t="s">
        <v>6759</v>
      </c>
      <c r="E191" s="117">
        <v>59</v>
      </c>
    </row>
    <row r="192" spans="1:5" x14ac:dyDescent="0.25">
      <c r="A192" s="119" t="s">
        <v>343</v>
      </c>
      <c r="B192" s="119" t="s">
        <v>8362</v>
      </c>
      <c r="C192" s="119" t="s">
        <v>66</v>
      </c>
      <c r="D192" t="s">
        <v>6759</v>
      </c>
      <c r="E192" s="117">
        <v>109</v>
      </c>
    </row>
    <row r="193" spans="1:5" x14ac:dyDescent="0.25">
      <c r="A193" s="119" t="s">
        <v>344</v>
      </c>
      <c r="B193" s="119" t="s">
        <v>8363</v>
      </c>
      <c r="C193" s="119" t="s">
        <v>66</v>
      </c>
      <c r="D193" t="s">
        <v>49</v>
      </c>
      <c r="E193" s="117">
        <v>249</v>
      </c>
    </row>
    <row r="194" spans="1:5" x14ac:dyDescent="0.25">
      <c r="A194" s="119" t="s">
        <v>345</v>
      </c>
      <c r="B194" s="119" t="s">
        <v>8364</v>
      </c>
      <c r="C194" s="119" t="s">
        <v>66</v>
      </c>
      <c r="D194" t="s">
        <v>49</v>
      </c>
      <c r="E194" s="117">
        <v>120</v>
      </c>
    </row>
    <row r="195" spans="1:5" x14ac:dyDescent="0.25">
      <c r="A195" s="119" t="s">
        <v>346</v>
      </c>
      <c r="B195" s="119" t="s">
        <v>8365</v>
      </c>
      <c r="C195" s="119" t="s">
        <v>66</v>
      </c>
      <c r="D195" t="s">
        <v>49</v>
      </c>
      <c r="E195" s="117">
        <v>90</v>
      </c>
    </row>
    <row r="196" spans="1:5" x14ac:dyDescent="0.25">
      <c r="A196" s="119" t="s">
        <v>347</v>
      </c>
      <c r="B196" s="119" t="s">
        <v>8366</v>
      </c>
      <c r="C196" s="119" t="s">
        <v>66</v>
      </c>
      <c r="D196" t="s">
        <v>6759</v>
      </c>
      <c r="E196" s="117">
        <v>399</v>
      </c>
    </row>
    <row r="197" spans="1:5" x14ac:dyDescent="0.25">
      <c r="A197" s="119" t="s">
        <v>348</v>
      </c>
      <c r="B197" s="119" t="s">
        <v>8367</v>
      </c>
      <c r="C197" s="119" t="s">
        <v>66</v>
      </c>
      <c r="D197" t="s">
        <v>6759</v>
      </c>
      <c r="E197" s="117">
        <v>299</v>
      </c>
    </row>
    <row r="198" spans="1:5" x14ac:dyDescent="0.25">
      <c r="A198" s="119" t="s">
        <v>349</v>
      </c>
      <c r="B198" s="119" t="s">
        <v>8368</v>
      </c>
      <c r="C198" s="119" t="s">
        <v>66</v>
      </c>
      <c r="D198" t="s">
        <v>6760</v>
      </c>
      <c r="E198" s="117">
        <v>129</v>
      </c>
    </row>
    <row r="199" spans="1:5" x14ac:dyDescent="0.25">
      <c r="A199" s="119" t="s">
        <v>350</v>
      </c>
      <c r="B199" s="119" t="s">
        <v>8369</v>
      </c>
      <c r="C199" s="119" t="s">
        <v>66</v>
      </c>
      <c r="D199" t="s">
        <v>49</v>
      </c>
      <c r="E199" s="117">
        <v>507.46</v>
      </c>
    </row>
    <row r="200" spans="1:5" x14ac:dyDescent="0.25">
      <c r="A200" s="119" t="s">
        <v>351</v>
      </c>
      <c r="B200" s="119" t="s">
        <v>352</v>
      </c>
      <c r="C200" s="119" t="s">
        <v>66</v>
      </c>
      <c r="D200" t="s">
        <v>6759</v>
      </c>
      <c r="E200" s="117">
        <v>44.6</v>
      </c>
    </row>
    <row r="201" spans="1:5" x14ac:dyDescent="0.25">
      <c r="A201" s="119" t="s">
        <v>353</v>
      </c>
      <c r="B201" s="119" t="s">
        <v>8370</v>
      </c>
      <c r="C201" s="119" t="s">
        <v>66</v>
      </c>
      <c r="D201" t="s">
        <v>49</v>
      </c>
      <c r="E201" s="117">
        <v>75</v>
      </c>
    </row>
    <row r="202" spans="1:5" x14ac:dyDescent="0.25">
      <c r="A202" s="119" t="s">
        <v>354</v>
      </c>
      <c r="B202" s="119" t="s">
        <v>8371</v>
      </c>
      <c r="C202" s="119" t="s">
        <v>66</v>
      </c>
      <c r="D202" t="s">
        <v>6759</v>
      </c>
      <c r="E202" s="117">
        <v>80</v>
      </c>
    </row>
    <row r="203" spans="1:5" x14ac:dyDescent="0.25">
      <c r="A203" s="119" t="s">
        <v>355</v>
      </c>
      <c r="B203" s="119" t="s">
        <v>8372</v>
      </c>
      <c r="C203" s="119" t="s">
        <v>66</v>
      </c>
      <c r="D203" t="s">
        <v>6759</v>
      </c>
      <c r="E203" s="117">
        <v>50</v>
      </c>
    </row>
    <row r="204" spans="1:5" x14ac:dyDescent="0.25">
      <c r="A204" s="119" t="s">
        <v>356</v>
      </c>
      <c r="B204" s="119" t="s">
        <v>8373</v>
      </c>
      <c r="C204" s="119" t="s">
        <v>66</v>
      </c>
      <c r="D204" t="s">
        <v>6759</v>
      </c>
      <c r="E204" s="117">
        <v>109</v>
      </c>
    </row>
    <row r="205" spans="1:5" x14ac:dyDescent="0.25">
      <c r="A205" s="119" t="s">
        <v>357</v>
      </c>
      <c r="B205" s="119" t="s">
        <v>8374</v>
      </c>
      <c r="C205" s="119" t="s">
        <v>66</v>
      </c>
      <c r="D205" t="s">
        <v>6760</v>
      </c>
      <c r="E205" s="117">
        <v>75</v>
      </c>
    </row>
    <row r="206" spans="1:5" x14ac:dyDescent="0.25">
      <c r="A206" s="119" t="s">
        <v>358</v>
      </c>
      <c r="B206" s="119" t="s">
        <v>8375</v>
      </c>
      <c r="C206" s="119" t="s">
        <v>66</v>
      </c>
      <c r="D206" t="s">
        <v>51</v>
      </c>
      <c r="E206" s="117">
        <v>90</v>
      </c>
    </row>
    <row r="207" spans="1:5" x14ac:dyDescent="0.25">
      <c r="A207" s="119" t="s">
        <v>359</v>
      </c>
      <c r="B207" s="119" t="s">
        <v>8376</v>
      </c>
      <c r="C207" s="119" t="s">
        <v>66</v>
      </c>
      <c r="D207" t="s">
        <v>6759</v>
      </c>
      <c r="E207" s="117">
        <v>180</v>
      </c>
    </row>
    <row r="208" spans="1:5" x14ac:dyDescent="0.25">
      <c r="A208" s="119" t="s">
        <v>360</v>
      </c>
      <c r="B208" s="119" t="s">
        <v>8377</v>
      </c>
      <c r="C208" s="119" t="s">
        <v>66</v>
      </c>
      <c r="D208" t="s">
        <v>6759</v>
      </c>
      <c r="E208" s="117">
        <v>260</v>
      </c>
    </row>
    <row r="209" spans="1:5" x14ac:dyDescent="0.25">
      <c r="A209" s="119" t="s">
        <v>361</v>
      </c>
      <c r="B209" s="119" t="s">
        <v>8378</v>
      </c>
      <c r="C209" s="119" t="s">
        <v>66</v>
      </c>
      <c r="D209" t="s">
        <v>6759</v>
      </c>
      <c r="E209" s="117">
        <v>100</v>
      </c>
    </row>
    <row r="210" spans="1:5" x14ac:dyDescent="0.25">
      <c r="A210" s="119" t="s">
        <v>362</v>
      </c>
      <c r="B210" s="119" t="s">
        <v>8379</v>
      </c>
      <c r="C210" s="119" t="s">
        <v>66</v>
      </c>
      <c r="D210" t="s">
        <v>6759</v>
      </c>
      <c r="E210" s="117">
        <v>50</v>
      </c>
    </row>
    <row r="211" spans="1:5" x14ac:dyDescent="0.25">
      <c r="A211" s="119" t="s">
        <v>363</v>
      </c>
      <c r="B211" s="119" t="s">
        <v>11777</v>
      </c>
      <c r="C211" s="119" t="s">
        <v>66</v>
      </c>
      <c r="D211" t="s">
        <v>6759</v>
      </c>
      <c r="E211" s="117">
        <v>477.81</v>
      </c>
    </row>
    <row r="212" spans="1:5" x14ac:dyDescent="0.25">
      <c r="A212" s="119" t="s">
        <v>364</v>
      </c>
      <c r="B212" s="119" t="s">
        <v>8380</v>
      </c>
      <c r="C212" s="119" t="s">
        <v>66</v>
      </c>
      <c r="D212" t="s">
        <v>6759</v>
      </c>
      <c r="E212" s="117">
        <v>300</v>
      </c>
    </row>
    <row r="213" spans="1:5" x14ac:dyDescent="0.25">
      <c r="A213" s="119" t="s">
        <v>365</v>
      </c>
      <c r="B213" s="119" t="s">
        <v>366</v>
      </c>
      <c r="C213" s="119" t="s">
        <v>66</v>
      </c>
      <c r="D213" t="s">
        <v>45</v>
      </c>
      <c r="E213" s="117">
        <v>534</v>
      </c>
    </row>
    <row r="214" spans="1:5" x14ac:dyDescent="0.25">
      <c r="A214" s="119" t="s">
        <v>367</v>
      </c>
      <c r="B214" s="119" t="s">
        <v>8381</v>
      </c>
      <c r="C214" s="119" t="s">
        <v>66</v>
      </c>
      <c r="D214" t="s">
        <v>6759</v>
      </c>
      <c r="E214" s="117">
        <v>750</v>
      </c>
    </row>
    <row r="215" spans="1:5" x14ac:dyDescent="0.25">
      <c r="A215" s="119" t="s">
        <v>369</v>
      </c>
      <c r="B215" s="119" t="s">
        <v>8382</v>
      </c>
      <c r="C215" s="119" t="s">
        <v>66</v>
      </c>
      <c r="D215" t="s">
        <v>6759</v>
      </c>
      <c r="E215" s="117">
        <v>800</v>
      </c>
    </row>
    <row r="216" spans="1:5" x14ac:dyDescent="0.25">
      <c r="A216" s="119" t="s">
        <v>371</v>
      </c>
      <c r="B216" s="119" t="s">
        <v>372</v>
      </c>
      <c r="C216" s="119" t="s">
        <v>66</v>
      </c>
      <c r="D216" t="s">
        <v>6759</v>
      </c>
      <c r="E216" s="117">
        <v>999999</v>
      </c>
    </row>
    <row r="217" spans="1:5" x14ac:dyDescent="0.25">
      <c r="A217" s="119" t="s">
        <v>373</v>
      </c>
      <c r="B217" s="119" t="s">
        <v>8383</v>
      </c>
      <c r="C217" s="119" t="s">
        <v>66</v>
      </c>
      <c r="D217" t="s">
        <v>6759</v>
      </c>
      <c r="E217" s="117">
        <v>400</v>
      </c>
    </row>
    <row r="218" spans="1:5" x14ac:dyDescent="0.25">
      <c r="A218" s="119" t="s">
        <v>374</v>
      </c>
      <c r="B218" s="119" t="s">
        <v>8384</v>
      </c>
      <c r="C218" s="119" t="s">
        <v>66</v>
      </c>
      <c r="D218" t="s">
        <v>49</v>
      </c>
      <c r="E218" s="117">
        <v>75</v>
      </c>
    </row>
    <row r="219" spans="1:5" x14ac:dyDescent="0.25">
      <c r="A219" s="119" t="s">
        <v>375</v>
      </c>
      <c r="B219" s="119" t="s">
        <v>8385</v>
      </c>
      <c r="C219" s="119" t="s">
        <v>66</v>
      </c>
      <c r="D219" t="s">
        <v>6759</v>
      </c>
      <c r="E219" s="117">
        <v>120</v>
      </c>
    </row>
    <row r="220" spans="1:5" x14ac:dyDescent="0.25">
      <c r="A220" s="119" t="s">
        <v>6792</v>
      </c>
      <c r="B220" s="119" t="s">
        <v>6888</v>
      </c>
      <c r="C220" s="119" t="s">
        <v>66</v>
      </c>
      <c r="D220" t="s">
        <v>6759</v>
      </c>
      <c r="E220" s="117">
        <v>110</v>
      </c>
    </row>
    <row r="221" spans="1:5" x14ac:dyDescent="0.25">
      <c r="A221" s="119" t="s">
        <v>376</v>
      </c>
      <c r="B221" s="119" t="s">
        <v>8386</v>
      </c>
      <c r="C221" s="119" t="s">
        <v>66</v>
      </c>
      <c r="D221" t="s">
        <v>6759</v>
      </c>
      <c r="E221" s="117">
        <v>164.22</v>
      </c>
    </row>
    <row r="222" spans="1:5" x14ac:dyDescent="0.25">
      <c r="A222" s="119" t="s">
        <v>377</v>
      </c>
      <c r="B222" s="119" t="s">
        <v>368</v>
      </c>
      <c r="C222" s="119" t="s">
        <v>66</v>
      </c>
      <c r="D222" t="s">
        <v>6759</v>
      </c>
      <c r="E222" s="117">
        <v>999999</v>
      </c>
    </row>
    <row r="223" spans="1:5" x14ac:dyDescent="0.25">
      <c r="A223" s="119" t="s">
        <v>378</v>
      </c>
      <c r="B223" s="119" t="s">
        <v>370</v>
      </c>
      <c r="C223" s="119" t="s">
        <v>66</v>
      </c>
      <c r="D223" t="s">
        <v>6759</v>
      </c>
      <c r="E223" s="117">
        <v>999999</v>
      </c>
    </row>
    <row r="224" spans="1:5" x14ac:dyDescent="0.25">
      <c r="A224" s="119" t="s">
        <v>379</v>
      </c>
      <c r="B224" s="119" t="s">
        <v>8387</v>
      </c>
      <c r="C224" s="119" t="s">
        <v>66</v>
      </c>
      <c r="D224" t="s">
        <v>6759</v>
      </c>
      <c r="E224" s="117">
        <v>1000</v>
      </c>
    </row>
    <row r="225" spans="1:5" x14ac:dyDescent="0.25">
      <c r="A225" s="119" t="s">
        <v>380</v>
      </c>
      <c r="B225" s="119" t="s">
        <v>381</v>
      </c>
      <c r="C225" s="119" t="s">
        <v>66</v>
      </c>
      <c r="D225" t="s">
        <v>6759</v>
      </c>
      <c r="E225" s="117">
        <v>999999</v>
      </c>
    </row>
    <row r="226" spans="1:5" x14ac:dyDescent="0.25">
      <c r="A226" s="119" t="s">
        <v>382</v>
      </c>
      <c r="B226" s="119" t="s">
        <v>383</v>
      </c>
      <c r="C226" s="119" t="s">
        <v>66</v>
      </c>
      <c r="D226" t="s">
        <v>6759</v>
      </c>
      <c r="E226" s="117">
        <v>399</v>
      </c>
    </row>
    <row r="227" spans="1:5" x14ac:dyDescent="0.25">
      <c r="A227" s="119" t="s">
        <v>384</v>
      </c>
      <c r="B227" s="119" t="s">
        <v>8388</v>
      </c>
      <c r="C227" s="119" t="s">
        <v>66</v>
      </c>
      <c r="D227" t="s">
        <v>6759</v>
      </c>
      <c r="E227" s="117">
        <v>300</v>
      </c>
    </row>
    <row r="228" spans="1:5" x14ac:dyDescent="0.25">
      <c r="A228" s="119" t="s">
        <v>385</v>
      </c>
      <c r="B228" s="119" t="s">
        <v>8389</v>
      </c>
      <c r="C228" s="119" t="s">
        <v>66</v>
      </c>
      <c r="D228" t="s">
        <v>6759</v>
      </c>
      <c r="E228" s="117">
        <v>480</v>
      </c>
    </row>
    <row r="229" spans="1:5" x14ac:dyDescent="0.25">
      <c r="A229" s="119" t="s">
        <v>386</v>
      </c>
      <c r="B229" s="119" t="s">
        <v>6321</v>
      </c>
      <c r="C229" s="119" t="s">
        <v>66</v>
      </c>
      <c r="D229" t="s">
        <v>49</v>
      </c>
      <c r="E229" s="117">
        <v>389</v>
      </c>
    </row>
    <row r="230" spans="1:5" x14ac:dyDescent="0.25">
      <c r="A230" s="119" t="s">
        <v>387</v>
      </c>
      <c r="B230" s="119" t="s">
        <v>8390</v>
      </c>
      <c r="C230" s="119" t="s">
        <v>66</v>
      </c>
      <c r="D230" t="s">
        <v>6759</v>
      </c>
      <c r="E230" s="117">
        <v>120</v>
      </c>
    </row>
    <row r="231" spans="1:5" x14ac:dyDescent="0.25">
      <c r="A231" s="119" t="s">
        <v>389</v>
      </c>
      <c r="B231" s="119" t="s">
        <v>390</v>
      </c>
      <c r="C231" s="119" t="s">
        <v>66</v>
      </c>
      <c r="D231" t="s">
        <v>6760</v>
      </c>
      <c r="E231" s="117">
        <v>19.899999999999999</v>
      </c>
    </row>
    <row r="232" spans="1:5" x14ac:dyDescent="0.25">
      <c r="A232" s="119" t="s">
        <v>6847</v>
      </c>
      <c r="B232" s="119" t="s">
        <v>8391</v>
      </c>
      <c r="C232" s="119" t="s">
        <v>66</v>
      </c>
      <c r="D232" t="s">
        <v>49</v>
      </c>
      <c r="E232" s="117">
        <v>90</v>
      </c>
    </row>
    <row r="233" spans="1:5" x14ac:dyDescent="0.25">
      <c r="A233" s="119" t="s">
        <v>391</v>
      </c>
      <c r="B233" s="119" t="s">
        <v>7382</v>
      </c>
      <c r="C233" s="119" t="s">
        <v>66</v>
      </c>
      <c r="D233" t="s">
        <v>6759</v>
      </c>
      <c r="E233" s="117">
        <v>145.5</v>
      </c>
    </row>
    <row r="234" spans="1:5" x14ac:dyDescent="0.25">
      <c r="A234" s="119" t="s">
        <v>392</v>
      </c>
      <c r="B234" s="119" t="s">
        <v>8392</v>
      </c>
      <c r="C234" s="119" t="s">
        <v>66</v>
      </c>
      <c r="D234" t="s">
        <v>6759</v>
      </c>
      <c r="E234" s="117">
        <v>130</v>
      </c>
    </row>
    <row r="235" spans="1:5" x14ac:dyDescent="0.25">
      <c r="A235" s="119" t="s">
        <v>393</v>
      </c>
      <c r="B235" s="119" t="s">
        <v>8393</v>
      </c>
      <c r="C235" s="119" t="s">
        <v>66</v>
      </c>
      <c r="D235" t="s">
        <v>6759</v>
      </c>
      <c r="E235" s="117">
        <v>120</v>
      </c>
    </row>
    <row r="236" spans="1:5" x14ac:dyDescent="0.25">
      <c r="A236" s="119" t="s">
        <v>394</v>
      </c>
      <c r="B236" s="119" t="s">
        <v>8394</v>
      </c>
      <c r="C236" s="119" t="s">
        <v>66</v>
      </c>
      <c r="D236" t="s">
        <v>6759</v>
      </c>
      <c r="E236" s="117">
        <v>140</v>
      </c>
    </row>
    <row r="237" spans="1:5" x14ac:dyDescent="0.25">
      <c r="A237" s="119" t="s">
        <v>395</v>
      </c>
      <c r="B237" s="119" t="s">
        <v>11778</v>
      </c>
      <c r="C237" s="119" t="s">
        <v>66</v>
      </c>
      <c r="D237" t="s">
        <v>6759</v>
      </c>
      <c r="E237" s="117">
        <v>65.62</v>
      </c>
    </row>
    <row r="238" spans="1:5" x14ac:dyDescent="0.25">
      <c r="A238" s="119" t="s">
        <v>396</v>
      </c>
      <c r="B238" s="119" t="s">
        <v>8395</v>
      </c>
      <c r="C238" s="119" t="s">
        <v>66</v>
      </c>
      <c r="D238" t="s">
        <v>6759</v>
      </c>
      <c r="E238" s="117">
        <v>1350</v>
      </c>
    </row>
    <row r="239" spans="1:5" x14ac:dyDescent="0.25">
      <c r="A239" s="119" t="s">
        <v>398</v>
      </c>
      <c r="B239" s="119" t="s">
        <v>399</v>
      </c>
      <c r="C239" s="119" t="s">
        <v>66</v>
      </c>
      <c r="D239" t="s">
        <v>45</v>
      </c>
      <c r="E239" s="117">
        <v>40.450000000000003</v>
      </c>
    </row>
    <row r="240" spans="1:5" x14ac:dyDescent="0.25">
      <c r="A240" s="119" t="s">
        <v>400</v>
      </c>
      <c r="B240" s="119" t="s">
        <v>8396</v>
      </c>
      <c r="C240" s="119" t="s">
        <v>66</v>
      </c>
      <c r="D240" t="s">
        <v>6759</v>
      </c>
      <c r="E240" s="117">
        <v>18.95</v>
      </c>
    </row>
    <row r="241" spans="1:5" x14ac:dyDescent="0.25">
      <c r="A241" s="119" t="s">
        <v>401</v>
      </c>
      <c r="B241" s="119" t="s">
        <v>8397</v>
      </c>
      <c r="C241" s="119" t="s">
        <v>66</v>
      </c>
      <c r="D241" t="s">
        <v>6759</v>
      </c>
      <c r="E241" s="117">
        <v>30</v>
      </c>
    </row>
    <row r="242" spans="1:5" x14ac:dyDescent="0.25">
      <c r="A242" s="119" t="s">
        <v>402</v>
      </c>
      <c r="B242" s="119" t="s">
        <v>397</v>
      </c>
      <c r="C242" s="119" t="s">
        <v>66</v>
      </c>
      <c r="D242" t="s">
        <v>45</v>
      </c>
      <c r="E242" s="117">
        <v>0</v>
      </c>
    </row>
    <row r="243" spans="1:5" x14ac:dyDescent="0.25">
      <c r="A243" s="119" t="s">
        <v>403</v>
      </c>
      <c r="B243" s="119" t="s">
        <v>397</v>
      </c>
      <c r="C243" s="119" t="s">
        <v>66</v>
      </c>
      <c r="D243" t="s">
        <v>6759</v>
      </c>
      <c r="E243" s="117">
        <v>0</v>
      </c>
    </row>
    <row r="244" spans="1:5" x14ac:dyDescent="0.25">
      <c r="A244" s="119" t="s">
        <v>6280</v>
      </c>
      <c r="B244" s="119" t="s">
        <v>8398</v>
      </c>
      <c r="C244" s="119" t="s">
        <v>66</v>
      </c>
      <c r="D244" t="s">
        <v>6759</v>
      </c>
      <c r="E244" s="117">
        <v>380</v>
      </c>
    </row>
    <row r="245" spans="1:5" x14ac:dyDescent="0.25">
      <c r="A245" s="119" t="s">
        <v>404</v>
      </c>
      <c r="B245" s="119" t="s">
        <v>8399</v>
      </c>
      <c r="C245" s="119" t="s">
        <v>66</v>
      </c>
      <c r="D245" t="s">
        <v>51</v>
      </c>
      <c r="E245" s="117">
        <v>75</v>
      </c>
    </row>
    <row r="246" spans="1:5" x14ac:dyDescent="0.25">
      <c r="A246" s="119" t="s">
        <v>405</v>
      </c>
      <c r="B246" s="119" t="s">
        <v>8399</v>
      </c>
      <c r="C246" s="119" t="s">
        <v>66</v>
      </c>
      <c r="D246" t="s">
        <v>45</v>
      </c>
      <c r="E246" s="117">
        <v>75</v>
      </c>
    </row>
    <row r="247" spans="1:5" x14ac:dyDescent="0.25">
      <c r="A247" s="119" t="s">
        <v>406</v>
      </c>
      <c r="B247" s="119" t="s">
        <v>8400</v>
      </c>
      <c r="C247" s="119" t="s">
        <v>66</v>
      </c>
      <c r="D247" t="s">
        <v>6759</v>
      </c>
      <c r="E247" s="117">
        <v>70</v>
      </c>
    </row>
    <row r="248" spans="1:5" x14ac:dyDescent="0.25">
      <c r="A248" s="119" t="s">
        <v>6890</v>
      </c>
      <c r="B248" s="119" t="s">
        <v>8401</v>
      </c>
      <c r="C248" s="119" t="s">
        <v>66</v>
      </c>
      <c r="D248" t="s">
        <v>45</v>
      </c>
      <c r="E248" s="117">
        <v>242.28</v>
      </c>
    </row>
    <row r="249" spans="1:5" x14ac:dyDescent="0.25">
      <c r="A249" s="119" t="s">
        <v>407</v>
      </c>
      <c r="B249" s="119" t="s">
        <v>8402</v>
      </c>
      <c r="C249" s="119" t="s">
        <v>66</v>
      </c>
      <c r="D249" t="s">
        <v>6759</v>
      </c>
      <c r="E249" s="117">
        <v>90</v>
      </c>
    </row>
    <row r="250" spans="1:5" x14ac:dyDescent="0.25">
      <c r="A250" s="119" t="s">
        <v>408</v>
      </c>
      <c r="B250" s="119" t="s">
        <v>11779</v>
      </c>
      <c r="C250" s="119" t="s">
        <v>66</v>
      </c>
      <c r="D250" t="s">
        <v>6759</v>
      </c>
      <c r="E250" s="117">
        <v>140.71</v>
      </c>
    </row>
    <row r="251" spans="1:5" x14ac:dyDescent="0.25">
      <c r="A251" s="119" t="s">
        <v>409</v>
      </c>
      <c r="B251" s="119" t="s">
        <v>11780</v>
      </c>
      <c r="C251" s="119" t="s">
        <v>66</v>
      </c>
      <c r="D251" t="s">
        <v>6759</v>
      </c>
      <c r="E251" s="117">
        <v>187.65</v>
      </c>
    </row>
    <row r="252" spans="1:5" x14ac:dyDescent="0.25">
      <c r="A252" s="119" t="s">
        <v>410</v>
      </c>
      <c r="B252" s="119" t="s">
        <v>6765</v>
      </c>
      <c r="C252" s="119" t="s">
        <v>66</v>
      </c>
      <c r="D252" t="s">
        <v>6759</v>
      </c>
      <c r="E252" s="117">
        <v>69.900000000000006</v>
      </c>
    </row>
    <row r="253" spans="1:5" x14ac:dyDescent="0.25">
      <c r="A253" s="119" t="s">
        <v>411</v>
      </c>
      <c r="B253" s="119" t="s">
        <v>8403</v>
      </c>
      <c r="C253" s="119" t="s">
        <v>66</v>
      </c>
      <c r="D253" t="s">
        <v>51</v>
      </c>
      <c r="E253" s="117">
        <v>1887.48</v>
      </c>
    </row>
    <row r="254" spans="1:5" x14ac:dyDescent="0.25">
      <c r="A254" s="119" t="s">
        <v>412</v>
      </c>
      <c r="B254" s="119" t="s">
        <v>8404</v>
      </c>
      <c r="C254" s="119" t="s">
        <v>66</v>
      </c>
      <c r="D254" t="s">
        <v>6760</v>
      </c>
      <c r="E254" s="117">
        <v>2235.25</v>
      </c>
    </row>
    <row r="255" spans="1:5" x14ac:dyDescent="0.25">
      <c r="A255" s="119" t="s">
        <v>6273</v>
      </c>
      <c r="B255" s="119" t="s">
        <v>8405</v>
      </c>
      <c r="C255" s="119" t="s">
        <v>66</v>
      </c>
      <c r="D255" t="s">
        <v>6759</v>
      </c>
      <c r="E255" s="117">
        <v>85</v>
      </c>
    </row>
    <row r="256" spans="1:5" x14ac:dyDescent="0.25">
      <c r="A256" s="119" t="s">
        <v>6274</v>
      </c>
      <c r="B256" s="119" t="s">
        <v>8406</v>
      </c>
      <c r="C256" s="119" t="s">
        <v>66</v>
      </c>
      <c r="D256" t="s">
        <v>45</v>
      </c>
      <c r="E256" s="117">
        <v>85</v>
      </c>
    </row>
    <row r="257" spans="1:5" x14ac:dyDescent="0.25">
      <c r="A257" s="119" t="s">
        <v>413</v>
      </c>
      <c r="B257" s="119" t="s">
        <v>8407</v>
      </c>
      <c r="C257" s="119" t="s">
        <v>66</v>
      </c>
      <c r="D257" t="s">
        <v>6759</v>
      </c>
      <c r="E257" s="117">
        <v>90</v>
      </c>
    </row>
    <row r="258" spans="1:5" x14ac:dyDescent="0.25">
      <c r="A258" s="119" t="s">
        <v>414</v>
      </c>
      <c r="B258" s="119" t="s">
        <v>8408</v>
      </c>
      <c r="C258" s="119" t="s">
        <v>66</v>
      </c>
      <c r="D258" t="s">
        <v>49</v>
      </c>
      <c r="E258" s="117">
        <v>95</v>
      </c>
    </row>
    <row r="259" spans="1:5" x14ac:dyDescent="0.25">
      <c r="A259" s="119" t="s">
        <v>6558</v>
      </c>
      <c r="B259" s="119" t="s">
        <v>8409</v>
      </c>
      <c r="C259" s="119" t="s">
        <v>66</v>
      </c>
      <c r="D259" t="s">
        <v>6759</v>
      </c>
      <c r="E259" s="117">
        <v>260</v>
      </c>
    </row>
    <row r="260" spans="1:5" x14ac:dyDescent="0.25">
      <c r="A260" s="119" t="s">
        <v>6559</v>
      </c>
      <c r="B260" s="119" t="s">
        <v>8410</v>
      </c>
      <c r="C260" s="119" t="s">
        <v>66</v>
      </c>
      <c r="D260" t="s">
        <v>6759</v>
      </c>
      <c r="E260" s="117">
        <v>85</v>
      </c>
    </row>
    <row r="261" spans="1:5" x14ac:dyDescent="0.25">
      <c r="A261" s="119" t="s">
        <v>6560</v>
      </c>
      <c r="B261" s="119" t="s">
        <v>8411</v>
      </c>
      <c r="C261" s="119" t="s">
        <v>66</v>
      </c>
      <c r="D261" t="s">
        <v>6759</v>
      </c>
      <c r="E261" s="117">
        <v>85</v>
      </c>
    </row>
    <row r="262" spans="1:5" x14ac:dyDescent="0.25">
      <c r="A262" s="119" t="s">
        <v>6561</v>
      </c>
      <c r="B262" s="119" t="s">
        <v>8412</v>
      </c>
      <c r="C262" s="119" t="s">
        <v>66</v>
      </c>
      <c r="D262" t="s">
        <v>6759</v>
      </c>
      <c r="E262" s="117">
        <v>90</v>
      </c>
    </row>
    <row r="263" spans="1:5" x14ac:dyDescent="0.25">
      <c r="A263" s="119" t="s">
        <v>6562</v>
      </c>
      <c r="B263" s="119" t="s">
        <v>8413</v>
      </c>
      <c r="C263" s="119" t="s">
        <v>66</v>
      </c>
      <c r="D263" t="s">
        <v>6759</v>
      </c>
      <c r="E263" s="117">
        <v>95</v>
      </c>
    </row>
    <row r="264" spans="1:5" x14ac:dyDescent="0.25">
      <c r="A264" s="119" t="s">
        <v>6563</v>
      </c>
      <c r="B264" s="119" t="s">
        <v>8414</v>
      </c>
      <c r="C264" s="119" t="s">
        <v>66</v>
      </c>
      <c r="D264" t="s">
        <v>6759</v>
      </c>
      <c r="E264" s="117">
        <v>95</v>
      </c>
    </row>
    <row r="265" spans="1:5" x14ac:dyDescent="0.25">
      <c r="A265" s="119" t="s">
        <v>6564</v>
      </c>
      <c r="B265" s="119" t="s">
        <v>8415</v>
      </c>
      <c r="C265" s="119" t="s">
        <v>66</v>
      </c>
      <c r="D265" t="s">
        <v>45</v>
      </c>
      <c r="E265" s="117">
        <v>200</v>
      </c>
    </row>
    <row r="266" spans="1:5" x14ac:dyDescent="0.25">
      <c r="A266" s="119" t="s">
        <v>6565</v>
      </c>
      <c r="B266" s="119" t="s">
        <v>8416</v>
      </c>
      <c r="C266" s="119" t="s">
        <v>66</v>
      </c>
      <c r="D266" t="s">
        <v>6759</v>
      </c>
      <c r="E266" s="117">
        <v>220</v>
      </c>
    </row>
    <row r="267" spans="1:5" x14ac:dyDescent="0.25">
      <c r="A267" s="119" t="s">
        <v>6566</v>
      </c>
      <c r="B267" s="119" t="s">
        <v>8417</v>
      </c>
      <c r="C267" s="119" t="s">
        <v>66</v>
      </c>
      <c r="D267" t="s">
        <v>45</v>
      </c>
      <c r="E267" s="117">
        <v>240</v>
      </c>
    </row>
    <row r="268" spans="1:5" x14ac:dyDescent="0.25">
      <c r="A268" s="119" t="s">
        <v>6567</v>
      </c>
      <c r="B268" s="119" t="s">
        <v>8418</v>
      </c>
      <c r="C268" s="119" t="s">
        <v>66</v>
      </c>
      <c r="D268" t="s">
        <v>45</v>
      </c>
      <c r="E268" s="117">
        <v>480</v>
      </c>
    </row>
    <row r="269" spans="1:5" x14ac:dyDescent="0.25">
      <c r="A269" s="119" t="s">
        <v>6341</v>
      </c>
      <c r="B269" s="119" t="s">
        <v>6766</v>
      </c>
      <c r="C269" s="119" t="s">
        <v>66</v>
      </c>
      <c r="D269" t="s">
        <v>6759</v>
      </c>
      <c r="E269" s="117">
        <v>2999</v>
      </c>
    </row>
    <row r="270" spans="1:5" x14ac:dyDescent="0.25">
      <c r="A270" s="119" t="s">
        <v>6310</v>
      </c>
      <c r="B270" s="119" t="s">
        <v>11781</v>
      </c>
      <c r="C270" s="119" t="s">
        <v>66</v>
      </c>
      <c r="D270" t="s">
        <v>49</v>
      </c>
      <c r="E270" s="117">
        <v>159.49</v>
      </c>
    </row>
    <row r="271" spans="1:5" x14ac:dyDescent="0.25">
      <c r="A271" s="119" t="s">
        <v>7383</v>
      </c>
      <c r="B271" s="119" t="s">
        <v>8419</v>
      </c>
      <c r="C271" s="119" t="s">
        <v>66</v>
      </c>
      <c r="D271" t="s">
        <v>49</v>
      </c>
      <c r="E271" s="117">
        <v>30</v>
      </c>
    </row>
    <row r="272" spans="1:5" x14ac:dyDescent="0.25">
      <c r="A272" s="119" t="s">
        <v>6596</v>
      </c>
      <c r="B272" s="119" t="s">
        <v>8420</v>
      </c>
      <c r="C272" s="119" t="s">
        <v>66</v>
      </c>
      <c r="D272" t="s">
        <v>6759</v>
      </c>
      <c r="E272" s="117">
        <v>250</v>
      </c>
    </row>
    <row r="273" spans="1:5" x14ac:dyDescent="0.25">
      <c r="A273" s="119" t="s">
        <v>6597</v>
      </c>
      <c r="B273" s="119" t="s">
        <v>8421</v>
      </c>
      <c r="C273" s="119" t="s">
        <v>66</v>
      </c>
      <c r="D273" t="s">
        <v>6759</v>
      </c>
      <c r="E273" s="117">
        <v>255</v>
      </c>
    </row>
    <row r="274" spans="1:5" x14ac:dyDescent="0.25">
      <c r="A274" s="119" t="s">
        <v>6333</v>
      </c>
      <c r="B274" s="119" t="s">
        <v>11782</v>
      </c>
      <c r="C274" s="119" t="s">
        <v>66</v>
      </c>
      <c r="D274" t="s">
        <v>6759</v>
      </c>
      <c r="E274" s="117">
        <v>2627.48</v>
      </c>
    </row>
    <row r="275" spans="1:5" x14ac:dyDescent="0.25">
      <c r="A275" s="119" t="s">
        <v>6718</v>
      </c>
      <c r="B275" s="119" t="s">
        <v>8422</v>
      </c>
      <c r="C275" s="119" t="s">
        <v>66</v>
      </c>
      <c r="D275" t="s">
        <v>49</v>
      </c>
      <c r="E275" s="117">
        <v>80</v>
      </c>
    </row>
    <row r="276" spans="1:5" x14ac:dyDescent="0.25">
      <c r="A276" s="119" t="s">
        <v>415</v>
      </c>
      <c r="B276" s="119" t="s">
        <v>8423</v>
      </c>
      <c r="C276" s="119" t="s">
        <v>66</v>
      </c>
      <c r="D276" t="s">
        <v>6759</v>
      </c>
      <c r="E276" s="117">
        <v>85</v>
      </c>
    </row>
    <row r="277" spans="1:5" x14ac:dyDescent="0.25">
      <c r="A277" s="119" t="s">
        <v>6275</v>
      </c>
      <c r="B277" s="119" t="s">
        <v>8424</v>
      </c>
      <c r="C277" s="119" t="s">
        <v>66</v>
      </c>
      <c r="D277" t="s">
        <v>6759</v>
      </c>
      <c r="E277" s="117">
        <v>75</v>
      </c>
    </row>
    <row r="278" spans="1:5" x14ac:dyDescent="0.25">
      <c r="A278" s="119" t="s">
        <v>6276</v>
      </c>
      <c r="B278" s="119" t="s">
        <v>8425</v>
      </c>
      <c r="C278" s="119" t="s">
        <v>66</v>
      </c>
      <c r="D278" t="s">
        <v>6759</v>
      </c>
      <c r="E278" s="117">
        <v>75</v>
      </c>
    </row>
    <row r="279" spans="1:5" x14ac:dyDescent="0.25">
      <c r="A279" s="119" t="s">
        <v>416</v>
      </c>
      <c r="B279" s="119" t="s">
        <v>7384</v>
      </c>
      <c r="C279" s="119" t="s">
        <v>66</v>
      </c>
      <c r="D279" t="s">
        <v>6759</v>
      </c>
      <c r="E279" s="117">
        <v>32.86</v>
      </c>
    </row>
    <row r="280" spans="1:5" x14ac:dyDescent="0.25">
      <c r="A280" s="119" t="s">
        <v>6288</v>
      </c>
      <c r="B280" s="119" t="s">
        <v>7385</v>
      </c>
      <c r="C280" s="119" t="s">
        <v>66</v>
      </c>
      <c r="D280" t="s">
        <v>6759</v>
      </c>
      <c r="E280" s="117">
        <v>64.77</v>
      </c>
    </row>
    <row r="281" spans="1:5" x14ac:dyDescent="0.25">
      <c r="A281" s="119" t="s">
        <v>7386</v>
      </c>
      <c r="B281" s="119" t="s">
        <v>8426</v>
      </c>
      <c r="C281" s="119" t="s">
        <v>66</v>
      </c>
      <c r="D281" t="s">
        <v>49</v>
      </c>
      <c r="E281" s="117">
        <v>102.32</v>
      </c>
    </row>
    <row r="282" spans="1:5" x14ac:dyDescent="0.25">
      <c r="A282" s="119" t="s">
        <v>6855</v>
      </c>
      <c r="B282" s="119" t="s">
        <v>7387</v>
      </c>
      <c r="C282" s="119" t="s">
        <v>66</v>
      </c>
      <c r="D282" t="s">
        <v>51</v>
      </c>
      <c r="E282" s="117">
        <v>244.07</v>
      </c>
    </row>
    <row r="283" spans="1:5" x14ac:dyDescent="0.25">
      <c r="A283" s="119" t="s">
        <v>8051</v>
      </c>
      <c r="B283" s="119" t="s">
        <v>8052</v>
      </c>
      <c r="C283" s="119" t="s">
        <v>66</v>
      </c>
      <c r="D283" t="s">
        <v>6759</v>
      </c>
      <c r="E283" s="117">
        <v>80</v>
      </c>
    </row>
    <row r="284" spans="1:5" x14ac:dyDescent="0.25">
      <c r="A284" s="119" t="s">
        <v>6815</v>
      </c>
      <c r="B284" s="119" t="s">
        <v>8427</v>
      </c>
      <c r="C284" s="119" t="s">
        <v>66</v>
      </c>
      <c r="D284" t="s">
        <v>6759</v>
      </c>
      <c r="E284" s="117">
        <v>280</v>
      </c>
    </row>
    <row r="285" spans="1:5" x14ac:dyDescent="0.25">
      <c r="A285" s="119" t="s">
        <v>6870</v>
      </c>
      <c r="B285" s="119" t="s">
        <v>8428</v>
      </c>
      <c r="C285" s="119" t="s">
        <v>66</v>
      </c>
      <c r="D285" t="s">
        <v>6760</v>
      </c>
      <c r="E285" s="117">
        <v>703.1</v>
      </c>
    </row>
    <row r="286" spans="1:5" x14ac:dyDescent="0.25">
      <c r="A286" s="119" t="s">
        <v>6871</v>
      </c>
      <c r="B286" s="119" t="s">
        <v>8429</v>
      </c>
      <c r="C286" s="119" t="s">
        <v>66</v>
      </c>
      <c r="D286" t="s">
        <v>6760</v>
      </c>
      <c r="E286" s="117">
        <v>853.3</v>
      </c>
    </row>
    <row r="287" spans="1:5" x14ac:dyDescent="0.25">
      <c r="A287" s="119" t="s">
        <v>6371</v>
      </c>
      <c r="B287" s="119" t="s">
        <v>8430</v>
      </c>
      <c r="C287" s="119" t="s">
        <v>66</v>
      </c>
      <c r="D287" t="s">
        <v>45</v>
      </c>
      <c r="E287" s="117">
        <v>0</v>
      </c>
    </row>
    <row r="288" spans="1:5" x14ac:dyDescent="0.25">
      <c r="A288" s="119" t="s">
        <v>6372</v>
      </c>
      <c r="B288" s="119" t="s">
        <v>8431</v>
      </c>
      <c r="C288" s="119" t="s">
        <v>66</v>
      </c>
      <c r="D288" t="s">
        <v>45</v>
      </c>
      <c r="E288" s="117">
        <v>0</v>
      </c>
    </row>
    <row r="289" spans="1:5" x14ac:dyDescent="0.25">
      <c r="A289" s="119" t="s">
        <v>6373</v>
      </c>
      <c r="B289" s="119" t="s">
        <v>11783</v>
      </c>
      <c r="C289" s="119" t="s">
        <v>66</v>
      </c>
      <c r="D289" t="s">
        <v>49</v>
      </c>
      <c r="E289" s="117">
        <v>37.46</v>
      </c>
    </row>
    <row r="290" spans="1:5" x14ac:dyDescent="0.25">
      <c r="A290" s="119" t="s">
        <v>7388</v>
      </c>
      <c r="B290" s="119" t="s">
        <v>8432</v>
      </c>
      <c r="C290" s="119" t="s">
        <v>66</v>
      </c>
      <c r="D290" t="s">
        <v>49</v>
      </c>
      <c r="E290" s="117">
        <v>450</v>
      </c>
    </row>
    <row r="291" spans="1:5" x14ac:dyDescent="0.25">
      <c r="A291" s="119" t="s">
        <v>6793</v>
      </c>
      <c r="B291" s="119" t="s">
        <v>11870</v>
      </c>
      <c r="C291" s="119" t="s">
        <v>66</v>
      </c>
      <c r="D291" t="s">
        <v>6760</v>
      </c>
      <c r="E291" s="117">
        <v>1164.02</v>
      </c>
    </row>
    <row r="292" spans="1:5" x14ac:dyDescent="0.25">
      <c r="A292" s="119" t="s">
        <v>6794</v>
      </c>
      <c r="B292" s="119" t="s">
        <v>6795</v>
      </c>
      <c r="C292" s="119" t="s">
        <v>66</v>
      </c>
      <c r="D292" t="s">
        <v>45</v>
      </c>
      <c r="E292" s="117">
        <v>9999</v>
      </c>
    </row>
    <row r="293" spans="1:5" x14ac:dyDescent="0.25">
      <c r="A293" s="119" t="s">
        <v>7389</v>
      </c>
      <c r="B293" s="119" t="s">
        <v>8433</v>
      </c>
      <c r="C293" s="119" t="s">
        <v>66</v>
      </c>
      <c r="D293" t="s">
        <v>49</v>
      </c>
      <c r="E293" s="117">
        <v>515.36</v>
      </c>
    </row>
    <row r="294" spans="1:5" x14ac:dyDescent="0.25">
      <c r="A294" s="119" t="s">
        <v>6374</v>
      </c>
      <c r="B294" s="119" t="s">
        <v>8434</v>
      </c>
      <c r="C294" s="119" t="s">
        <v>66</v>
      </c>
      <c r="D294" t="s">
        <v>49</v>
      </c>
      <c r="E294" s="117">
        <v>50</v>
      </c>
    </row>
    <row r="295" spans="1:5" x14ac:dyDescent="0.25">
      <c r="A295" s="119" t="s">
        <v>6375</v>
      </c>
      <c r="B295" s="119" t="s">
        <v>8435</v>
      </c>
      <c r="C295" s="119" t="s">
        <v>66</v>
      </c>
      <c r="D295" t="s">
        <v>49</v>
      </c>
      <c r="E295" s="117">
        <v>85</v>
      </c>
    </row>
    <row r="296" spans="1:5" x14ac:dyDescent="0.25">
      <c r="A296" s="119" t="s">
        <v>8053</v>
      </c>
      <c r="B296" s="119" t="s">
        <v>8436</v>
      </c>
      <c r="C296" s="119" t="s">
        <v>66</v>
      </c>
      <c r="D296" t="s">
        <v>6759</v>
      </c>
      <c r="E296" s="117">
        <v>75</v>
      </c>
    </row>
    <row r="297" spans="1:5" x14ac:dyDescent="0.25">
      <c r="A297" s="119" t="s">
        <v>8054</v>
      </c>
      <c r="B297" s="119" t="s">
        <v>8437</v>
      </c>
      <c r="C297" s="119" t="s">
        <v>66</v>
      </c>
      <c r="D297" t="s">
        <v>6759</v>
      </c>
      <c r="E297" s="117">
        <v>120</v>
      </c>
    </row>
    <row r="298" spans="1:5" x14ac:dyDescent="0.25">
      <c r="A298" s="119" t="s">
        <v>8055</v>
      </c>
      <c r="B298" s="119" t="s">
        <v>8438</v>
      </c>
      <c r="C298" s="119" t="s">
        <v>66</v>
      </c>
      <c r="D298" t="s">
        <v>6759</v>
      </c>
      <c r="E298" s="117">
        <v>280</v>
      </c>
    </row>
    <row r="299" spans="1:5" x14ac:dyDescent="0.25">
      <c r="A299" s="119" t="s">
        <v>6816</v>
      </c>
      <c r="B299" s="119" t="s">
        <v>11784</v>
      </c>
      <c r="C299" s="119" t="s">
        <v>66</v>
      </c>
      <c r="D299" t="s">
        <v>6759</v>
      </c>
      <c r="E299" s="117">
        <v>33.700000000000003</v>
      </c>
    </row>
    <row r="300" spans="1:5" x14ac:dyDescent="0.25">
      <c r="A300" s="119" t="s">
        <v>6817</v>
      </c>
      <c r="B300" s="119" t="s">
        <v>477</v>
      </c>
      <c r="C300" s="119" t="s">
        <v>66</v>
      </c>
      <c r="D300" t="s">
        <v>6759</v>
      </c>
      <c r="E300" s="117">
        <v>60</v>
      </c>
    </row>
    <row r="301" spans="1:5" x14ac:dyDescent="0.25">
      <c r="A301" s="119" t="s">
        <v>6818</v>
      </c>
      <c r="B301" s="119" t="s">
        <v>8439</v>
      </c>
      <c r="C301" s="119" t="s">
        <v>66</v>
      </c>
      <c r="D301" t="s">
        <v>6759</v>
      </c>
      <c r="E301" s="117">
        <v>60</v>
      </c>
    </row>
    <row r="302" spans="1:5" x14ac:dyDescent="0.25">
      <c r="A302" s="119" t="s">
        <v>8056</v>
      </c>
      <c r="B302" s="119" t="s">
        <v>11630</v>
      </c>
      <c r="C302" s="119" t="s">
        <v>66</v>
      </c>
      <c r="D302" t="s">
        <v>49</v>
      </c>
      <c r="E302" s="117">
        <v>356.71</v>
      </c>
    </row>
    <row r="303" spans="1:5" x14ac:dyDescent="0.25">
      <c r="A303" s="119" t="s">
        <v>8057</v>
      </c>
      <c r="B303" s="119" t="s">
        <v>8058</v>
      </c>
      <c r="C303" s="119" t="s">
        <v>66</v>
      </c>
      <c r="D303" t="s">
        <v>6759</v>
      </c>
      <c r="E303" s="117">
        <v>60</v>
      </c>
    </row>
    <row r="304" spans="1:5" x14ac:dyDescent="0.25">
      <c r="A304" s="119" t="s">
        <v>6873</v>
      </c>
      <c r="B304" s="119" t="s">
        <v>8441</v>
      </c>
      <c r="C304" s="119" t="s">
        <v>66</v>
      </c>
      <c r="D304" t="s">
        <v>49</v>
      </c>
      <c r="E304" s="117">
        <v>250</v>
      </c>
    </row>
    <row r="305" spans="1:5" x14ac:dyDescent="0.25">
      <c r="A305" s="119" t="s">
        <v>417</v>
      </c>
      <c r="B305" s="119" t="s">
        <v>8442</v>
      </c>
      <c r="C305" s="119" t="s">
        <v>66</v>
      </c>
      <c r="D305" t="s">
        <v>6759</v>
      </c>
      <c r="E305" s="117">
        <v>48.51</v>
      </c>
    </row>
    <row r="306" spans="1:5" x14ac:dyDescent="0.25">
      <c r="A306" s="119" t="s">
        <v>6875</v>
      </c>
      <c r="B306" s="119" t="s">
        <v>8443</v>
      </c>
      <c r="C306" s="119" t="s">
        <v>66</v>
      </c>
      <c r="D306" t="s">
        <v>49</v>
      </c>
      <c r="E306" s="117">
        <v>145</v>
      </c>
    </row>
    <row r="307" spans="1:5" x14ac:dyDescent="0.25">
      <c r="A307" s="119" t="s">
        <v>6877</v>
      </c>
      <c r="B307" s="119" t="s">
        <v>8444</v>
      </c>
      <c r="C307" s="119" t="s">
        <v>66</v>
      </c>
      <c r="D307" t="s">
        <v>49</v>
      </c>
      <c r="E307" s="117">
        <v>40</v>
      </c>
    </row>
    <row r="308" spans="1:5" x14ac:dyDescent="0.25">
      <c r="A308" s="119" t="s">
        <v>6832</v>
      </c>
      <c r="B308" s="119" t="s">
        <v>8445</v>
      </c>
      <c r="C308" s="119" t="s">
        <v>66</v>
      </c>
      <c r="D308" t="s">
        <v>6759</v>
      </c>
      <c r="E308" s="117">
        <v>550</v>
      </c>
    </row>
    <row r="309" spans="1:5" x14ac:dyDescent="0.25">
      <c r="A309" s="119" t="s">
        <v>7390</v>
      </c>
      <c r="B309" s="119" t="s">
        <v>11785</v>
      </c>
      <c r="C309" s="119" t="s">
        <v>66</v>
      </c>
      <c r="D309" t="s">
        <v>6759</v>
      </c>
      <c r="E309" s="117">
        <v>84.39</v>
      </c>
    </row>
    <row r="310" spans="1:5" x14ac:dyDescent="0.25">
      <c r="A310" s="119" t="s">
        <v>8059</v>
      </c>
      <c r="B310" s="119" t="s">
        <v>8060</v>
      </c>
      <c r="C310" s="119" t="s">
        <v>66</v>
      </c>
      <c r="D310" t="s">
        <v>49</v>
      </c>
      <c r="E310" s="117">
        <v>30</v>
      </c>
    </row>
    <row r="311" spans="1:5" x14ac:dyDescent="0.25">
      <c r="A311" s="119" t="s">
        <v>8061</v>
      </c>
      <c r="B311" s="119" t="s">
        <v>8062</v>
      </c>
      <c r="C311" s="119" t="s">
        <v>66</v>
      </c>
      <c r="D311" t="s">
        <v>49</v>
      </c>
      <c r="E311" s="117">
        <v>40</v>
      </c>
    </row>
    <row r="312" spans="1:5" x14ac:dyDescent="0.25">
      <c r="A312" s="119" t="s">
        <v>8063</v>
      </c>
      <c r="B312" s="119" t="s">
        <v>8064</v>
      </c>
      <c r="C312" s="119" t="s">
        <v>66</v>
      </c>
      <c r="D312" t="s">
        <v>49</v>
      </c>
      <c r="E312" s="117">
        <v>9999</v>
      </c>
    </row>
    <row r="313" spans="1:5" x14ac:dyDescent="0.25">
      <c r="A313" s="119" t="s">
        <v>11907</v>
      </c>
      <c r="B313" s="119" t="s">
        <v>11908</v>
      </c>
      <c r="C313" s="119" t="s">
        <v>66</v>
      </c>
      <c r="D313" t="s">
        <v>6759</v>
      </c>
      <c r="E313" s="117">
        <v>0</v>
      </c>
    </row>
    <row r="314" spans="1:5" x14ac:dyDescent="0.25">
      <c r="A314" s="119" t="s">
        <v>11909</v>
      </c>
      <c r="B314" s="119" t="s">
        <v>11910</v>
      </c>
      <c r="C314" s="119" t="s">
        <v>66</v>
      </c>
      <c r="D314" t="s">
        <v>45</v>
      </c>
      <c r="E314" s="117">
        <v>0</v>
      </c>
    </row>
    <row r="315" spans="1:5" x14ac:dyDescent="0.25">
      <c r="A315" s="119" t="s">
        <v>11911</v>
      </c>
      <c r="B315" s="119" t="s">
        <v>11912</v>
      </c>
      <c r="C315" s="119" t="s">
        <v>66</v>
      </c>
      <c r="D315" t="s">
        <v>45</v>
      </c>
      <c r="E315" s="117">
        <v>0</v>
      </c>
    </row>
    <row r="316" spans="1:5" x14ac:dyDescent="0.25">
      <c r="A316" s="119" t="s">
        <v>6878</v>
      </c>
      <c r="B316" s="119" t="s">
        <v>11786</v>
      </c>
      <c r="C316" s="119" t="s">
        <v>66</v>
      </c>
      <c r="D316" t="s">
        <v>6759</v>
      </c>
      <c r="E316" s="117">
        <v>103.17</v>
      </c>
    </row>
    <row r="317" spans="1:5" x14ac:dyDescent="0.25">
      <c r="A317" s="119" t="s">
        <v>7391</v>
      </c>
      <c r="B317" s="119" t="s">
        <v>8446</v>
      </c>
      <c r="C317" s="119" t="s">
        <v>66</v>
      </c>
      <c r="D317" t="s">
        <v>45</v>
      </c>
      <c r="E317" s="117">
        <v>999999</v>
      </c>
    </row>
    <row r="318" spans="1:5" x14ac:dyDescent="0.25">
      <c r="A318" s="119" t="s">
        <v>8065</v>
      </c>
      <c r="B318" s="119" t="s">
        <v>6874</v>
      </c>
      <c r="C318" s="119" t="s">
        <v>66</v>
      </c>
      <c r="D318" t="s">
        <v>6759</v>
      </c>
      <c r="E318" s="117">
        <v>450</v>
      </c>
    </row>
    <row r="319" spans="1:5" x14ac:dyDescent="0.25">
      <c r="A319" s="119" t="s">
        <v>7392</v>
      </c>
      <c r="B319" s="119" t="s">
        <v>6876</v>
      </c>
      <c r="C319" s="119" t="s">
        <v>66</v>
      </c>
      <c r="D319" t="s">
        <v>6759</v>
      </c>
      <c r="E319" s="117">
        <v>1200</v>
      </c>
    </row>
    <row r="320" spans="1:5" x14ac:dyDescent="0.25">
      <c r="A320" s="119" t="s">
        <v>6879</v>
      </c>
      <c r="B320" s="119" t="s">
        <v>6880</v>
      </c>
      <c r="C320" s="119" t="s">
        <v>66</v>
      </c>
      <c r="D320" t="s">
        <v>49</v>
      </c>
      <c r="E320" s="117">
        <v>100</v>
      </c>
    </row>
    <row r="321" spans="1:5" x14ac:dyDescent="0.25">
      <c r="A321" s="119" t="s">
        <v>7393</v>
      </c>
      <c r="B321" s="119" t="s">
        <v>8447</v>
      </c>
      <c r="C321" s="119" t="s">
        <v>66</v>
      </c>
      <c r="D321" t="s">
        <v>49</v>
      </c>
      <c r="E321" s="117">
        <v>20</v>
      </c>
    </row>
    <row r="322" spans="1:5" x14ac:dyDescent="0.25">
      <c r="A322" s="119" t="s">
        <v>7394</v>
      </c>
      <c r="B322" s="119" t="s">
        <v>8448</v>
      </c>
      <c r="C322" s="119" t="s">
        <v>66</v>
      </c>
      <c r="D322" t="s">
        <v>6759</v>
      </c>
      <c r="E322" s="117">
        <v>371</v>
      </c>
    </row>
    <row r="323" spans="1:5" x14ac:dyDescent="0.25">
      <c r="A323" s="119" t="s">
        <v>7395</v>
      </c>
      <c r="B323" s="119" t="s">
        <v>8448</v>
      </c>
      <c r="C323" s="119" t="s">
        <v>66</v>
      </c>
      <c r="D323" t="s">
        <v>6759</v>
      </c>
      <c r="E323" s="117">
        <v>9999</v>
      </c>
    </row>
    <row r="324" spans="1:5" x14ac:dyDescent="0.25">
      <c r="A324" s="119" t="s">
        <v>7396</v>
      </c>
      <c r="B324" s="119" t="s">
        <v>11787</v>
      </c>
      <c r="C324" s="119" t="s">
        <v>66</v>
      </c>
      <c r="D324" t="s">
        <v>6759</v>
      </c>
      <c r="E324" s="117">
        <v>215.44</v>
      </c>
    </row>
    <row r="325" spans="1:5" x14ac:dyDescent="0.25">
      <c r="A325" s="119" t="s">
        <v>7397</v>
      </c>
      <c r="B325" s="119" t="s">
        <v>8449</v>
      </c>
      <c r="C325" s="119" t="s">
        <v>66</v>
      </c>
      <c r="D325" t="s">
        <v>6759</v>
      </c>
      <c r="E325" s="117">
        <v>9999</v>
      </c>
    </row>
    <row r="326" spans="1:5" x14ac:dyDescent="0.25">
      <c r="A326" s="119" t="s">
        <v>7398</v>
      </c>
      <c r="B326" s="119" t="s">
        <v>8450</v>
      </c>
      <c r="C326" s="119" t="s">
        <v>66</v>
      </c>
      <c r="D326" t="s">
        <v>6759</v>
      </c>
      <c r="E326" s="117">
        <v>1800</v>
      </c>
    </row>
    <row r="327" spans="1:5" x14ac:dyDescent="0.25">
      <c r="A327" s="119" t="s">
        <v>7399</v>
      </c>
      <c r="B327" s="119" t="s">
        <v>8451</v>
      </c>
      <c r="C327" s="119" t="s">
        <v>66</v>
      </c>
      <c r="D327" t="s">
        <v>6759</v>
      </c>
      <c r="E327" s="117">
        <v>200</v>
      </c>
    </row>
    <row r="328" spans="1:5" x14ac:dyDescent="0.25">
      <c r="A328" s="119" t="s">
        <v>6881</v>
      </c>
      <c r="B328" s="119" t="s">
        <v>7400</v>
      </c>
      <c r="C328" s="119" t="s">
        <v>66</v>
      </c>
      <c r="D328" t="s">
        <v>6759</v>
      </c>
      <c r="E328" s="117">
        <v>111.71</v>
      </c>
    </row>
    <row r="329" spans="1:5" x14ac:dyDescent="0.25">
      <c r="A329" s="119" t="s">
        <v>8066</v>
      </c>
      <c r="B329" s="119" t="s">
        <v>8452</v>
      </c>
      <c r="C329" s="119" t="s">
        <v>66</v>
      </c>
      <c r="D329" t="s">
        <v>6759</v>
      </c>
      <c r="E329" s="117">
        <v>3251.68</v>
      </c>
    </row>
    <row r="330" spans="1:5" x14ac:dyDescent="0.25">
      <c r="A330" s="119" t="s">
        <v>6883</v>
      </c>
      <c r="B330" s="119" t="s">
        <v>6884</v>
      </c>
      <c r="C330" s="119" t="s">
        <v>66</v>
      </c>
      <c r="D330" t="s">
        <v>45</v>
      </c>
      <c r="E330" s="117">
        <v>9999</v>
      </c>
    </row>
    <row r="331" spans="1:5" x14ac:dyDescent="0.25">
      <c r="A331" s="119" t="s">
        <v>8067</v>
      </c>
      <c r="B331" s="119" t="s">
        <v>8068</v>
      </c>
      <c r="C331" s="119" t="s">
        <v>66</v>
      </c>
      <c r="D331" t="s">
        <v>6759</v>
      </c>
      <c r="E331" s="117">
        <v>9999</v>
      </c>
    </row>
    <row r="332" spans="1:5" x14ac:dyDescent="0.25">
      <c r="A332" s="119" t="s">
        <v>7401</v>
      </c>
      <c r="B332" s="119" t="s">
        <v>7402</v>
      </c>
      <c r="C332" s="119" t="s">
        <v>66</v>
      </c>
      <c r="D332" t="s">
        <v>6759</v>
      </c>
      <c r="E332" s="117">
        <v>0</v>
      </c>
    </row>
    <row r="333" spans="1:5" x14ac:dyDescent="0.25">
      <c r="A333" s="119" t="s">
        <v>418</v>
      </c>
      <c r="B333" s="119" t="s">
        <v>8453</v>
      </c>
      <c r="C333" s="119" t="s">
        <v>66</v>
      </c>
      <c r="D333" t="s">
        <v>6759</v>
      </c>
      <c r="E333" s="117">
        <v>37.6</v>
      </c>
    </row>
    <row r="334" spans="1:5" x14ac:dyDescent="0.25">
      <c r="A334" s="119" t="s">
        <v>419</v>
      </c>
      <c r="B334" s="119" t="s">
        <v>420</v>
      </c>
      <c r="C334" s="119" t="s">
        <v>66</v>
      </c>
      <c r="D334" t="s">
        <v>6759</v>
      </c>
      <c r="E334" s="117">
        <v>54.04</v>
      </c>
    </row>
    <row r="335" spans="1:5" x14ac:dyDescent="0.25">
      <c r="A335" s="119" t="s">
        <v>8069</v>
      </c>
      <c r="B335" s="119" t="s">
        <v>8070</v>
      </c>
      <c r="C335" s="119" t="s">
        <v>66</v>
      </c>
      <c r="D335" t="s">
        <v>6759</v>
      </c>
      <c r="E335" s="117">
        <v>408.34</v>
      </c>
    </row>
    <row r="336" spans="1:5" x14ac:dyDescent="0.25">
      <c r="A336" s="119" t="s">
        <v>8071</v>
      </c>
      <c r="B336" s="119" t="s">
        <v>8070</v>
      </c>
      <c r="C336" s="119" t="s">
        <v>66</v>
      </c>
      <c r="D336" t="s">
        <v>6759</v>
      </c>
      <c r="E336" s="117">
        <v>9999</v>
      </c>
    </row>
    <row r="337" spans="1:5" x14ac:dyDescent="0.25">
      <c r="A337" s="119" t="s">
        <v>8072</v>
      </c>
      <c r="B337" s="119" t="s">
        <v>8073</v>
      </c>
      <c r="C337" s="119" t="s">
        <v>66</v>
      </c>
      <c r="D337" t="s">
        <v>6759</v>
      </c>
      <c r="E337" s="117">
        <v>365.16</v>
      </c>
    </row>
    <row r="338" spans="1:5" x14ac:dyDescent="0.25">
      <c r="A338" s="119" t="s">
        <v>8074</v>
      </c>
      <c r="B338" s="119" t="s">
        <v>8073</v>
      </c>
      <c r="C338" s="119" t="s">
        <v>66</v>
      </c>
      <c r="D338" t="s">
        <v>6759</v>
      </c>
      <c r="E338" s="117">
        <v>0</v>
      </c>
    </row>
    <row r="339" spans="1:5" x14ac:dyDescent="0.25">
      <c r="A339" s="119" t="s">
        <v>8075</v>
      </c>
      <c r="B339" s="119" t="s">
        <v>8076</v>
      </c>
      <c r="C339" s="119" t="s">
        <v>66</v>
      </c>
      <c r="D339" t="s">
        <v>45</v>
      </c>
      <c r="E339" s="117">
        <v>305.08</v>
      </c>
    </row>
    <row r="340" spans="1:5" x14ac:dyDescent="0.25">
      <c r="A340" s="119" t="s">
        <v>8077</v>
      </c>
      <c r="B340" s="119" t="s">
        <v>8076</v>
      </c>
      <c r="C340" s="119" t="s">
        <v>66</v>
      </c>
      <c r="D340" t="s">
        <v>6759</v>
      </c>
      <c r="E340" s="117">
        <v>9999</v>
      </c>
    </row>
    <row r="341" spans="1:5" x14ac:dyDescent="0.25">
      <c r="A341" s="119" t="s">
        <v>8078</v>
      </c>
      <c r="B341" s="119" t="s">
        <v>8079</v>
      </c>
      <c r="C341" s="119" t="s">
        <v>66</v>
      </c>
      <c r="D341" t="s">
        <v>6759</v>
      </c>
      <c r="E341" s="117">
        <v>750.04</v>
      </c>
    </row>
    <row r="342" spans="1:5" x14ac:dyDescent="0.25">
      <c r="A342" s="119" t="s">
        <v>12234</v>
      </c>
      <c r="B342" s="119" t="s">
        <v>12235</v>
      </c>
      <c r="C342" s="119" t="s">
        <v>66</v>
      </c>
      <c r="D342" t="s">
        <v>45</v>
      </c>
      <c r="E342" s="117">
        <v>9999</v>
      </c>
    </row>
    <row r="343" spans="1:5" x14ac:dyDescent="0.25">
      <c r="A343" s="119" t="s">
        <v>8080</v>
      </c>
      <c r="B343" s="119" t="s">
        <v>8081</v>
      </c>
      <c r="C343" s="119" t="s">
        <v>66</v>
      </c>
      <c r="D343" t="s">
        <v>49</v>
      </c>
      <c r="E343" s="117">
        <v>9999</v>
      </c>
    </row>
    <row r="344" spans="1:5" x14ac:dyDescent="0.25">
      <c r="A344" s="119" t="s">
        <v>8082</v>
      </c>
      <c r="B344" s="119" t="s">
        <v>8083</v>
      </c>
      <c r="C344" s="119" t="s">
        <v>66</v>
      </c>
      <c r="D344" t="s">
        <v>6759</v>
      </c>
      <c r="E344" s="117">
        <v>9999</v>
      </c>
    </row>
    <row r="345" spans="1:5" x14ac:dyDescent="0.25">
      <c r="A345" s="119" t="s">
        <v>8084</v>
      </c>
      <c r="B345" s="119" t="s">
        <v>8085</v>
      </c>
      <c r="C345" s="119" t="s">
        <v>66</v>
      </c>
      <c r="D345" t="s">
        <v>6759</v>
      </c>
      <c r="E345" s="117">
        <v>9999</v>
      </c>
    </row>
    <row r="346" spans="1:5" x14ac:dyDescent="0.25">
      <c r="A346" s="119" t="s">
        <v>8199</v>
      </c>
      <c r="B346" s="119" t="s">
        <v>8200</v>
      </c>
      <c r="C346" s="119" t="s">
        <v>66</v>
      </c>
      <c r="D346" t="s">
        <v>45</v>
      </c>
      <c r="E346" s="117">
        <v>9999</v>
      </c>
    </row>
    <row r="347" spans="1:5" x14ac:dyDescent="0.25">
      <c r="A347" s="119" t="s">
        <v>8201</v>
      </c>
      <c r="B347" s="119" t="s">
        <v>8202</v>
      </c>
      <c r="C347" s="119" t="s">
        <v>66</v>
      </c>
      <c r="D347" t="s">
        <v>45</v>
      </c>
      <c r="E347" s="117">
        <v>9999</v>
      </c>
    </row>
    <row r="348" spans="1:5" x14ac:dyDescent="0.25">
      <c r="A348" s="119" t="s">
        <v>8086</v>
      </c>
      <c r="B348" s="119" t="s">
        <v>8454</v>
      </c>
      <c r="C348" s="119" t="s">
        <v>66</v>
      </c>
      <c r="D348" t="s">
        <v>45</v>
      </c>
      <c r="E348" s="117">
        <v>9999</v>
      </c>
    </row>
    <row r="349" spans="1:5" x14ac:dyDescent="0.25">
      <c r="A349" s="119" t="s">
        <v>8087</v>
      </c>
      <c r="B349" s="119" t="s">
        <v>8088</v>
      </c>
      <c r="C349" s="119" t="s">
        <v>66</v>
      </c>
      <c r="D349" t="s">
        <v>6759</v>
      </c>
      <c r="E349" s="117">
        <v>9999</v>
      </c>
    </row>
    <row r="350" spans="1:5" x14ac:dyDescent="0.25">
      <c r="A350" s="119" t="s">
        <v>8256</v>
      </c>
      <c r="B350" s="119" t="s">
        <v>8455</v>
      </c>
      <c r="C350" s="119" t="s">
        <v>66</v>
      </c>
      <c r="D350" t="s">
        <v>45</v>
      </c>
      <c r="E350" s="117">
        <v>9999</v>
      </c>
    </row>
    <row r="351" spans="1:5" x14ac:dyDescent="0.25">
      <c r="A351" s="119" t="s">
        <v>8257</v>
      </c>
      <c r="B351" s="119" t="s">
        <v>8456</v>
      </c>
      <c r="C351" s="119" t="s">
        <v>66</v>
      </c>
      <c r="D351" t="s">
        <v>45</v>
      </c>
      <c r="E351" s="117">
        <v>9999</v>
      </c>
    </row>
    <row r="352" spans="1:5" x14ac:dyDescent="0.25">
      <c r="A352" s="119" t="s">
        <v>8258</v>
      </c>
      <c r="B352" s="119" t="s">
        <v>8259</v>
      </c>
      <c r="C352" s="119" t="s">
        <v>66</v>
      </c>
      <c r="D352" t="s">
        <v>45</v>
      </c>
      <c r="E352" s="117">
        <v>9999</v>
      </c>
    </row>
    <row r="353" spans="1:5" x14ac:dyDescent="0.25">
      <c r="A353" s="119" t="s">
        <v>8089</v>
      </c>
      <c r="B353" s="119" t="s">
        <v>11635</v>
      </c>
      <c r="C353" s="119" t="s">
        <v>66</v>
      </c>
      <c r="D353" t="s">
        <v>45</v>
      </c>
      <c r="E353" s="117">
        <v>9999</v>
      </c>
    </row>
    <row r="354" spans="1:5" x14ac:dyDescent="0.25">
      <c r="A354" s="119" t="s">
        <v>8090</v>
      </c>
      <c r="B354" s="119" t="s">
        <v>8091</v>
      </c>
      <c r="C354" s="119" t="s">
        <v>66</v>
      </c>
      <c r="D354" t="s">
        <v>6759</v>
      </c>
      <c r="E354" s="117">
        <v>9999</v>
      </c>
    </row>
    <row r="355" spans="1:5" x14ac:dyDescent="0.25">
      <c r="A355" s="119" t="s">
        <v>8092</v>
      </c>
      <c r="B355" s="119" t="s">
        <v>8457</v>
      </c>
      <c r="C355" s="119" t="s">
        <v>66</v>
      </c>
      <c r="D355" t="s">
        <v>45</v>
      </c>
      <c r="E355" s="117">
        <v>9999</v>
      </c>
    </row>
    <row r="356" spans="1:5" x14ac:dyDescent="0.25">
      <c r="A356" s="119" t="s">
        <v>8093</v>
      </c>
      <c r="B356" s="119" t="s">
        <v>8458</v>
      </c>
      <c r="C356" s="119" t="s">
        <v>66</v>
      </c>
      <c r="D356" t="s">
        <v>45</v>
      </c>
      <c r="E356" s="117">
        <v>9999</v>
      </c>
    </row>
    <row r="357" spans="1:5" x14ac:dyDescent="0.25">
      <c r="A357" s="119" t="s">
        <v>8094</v>
      </c>
      <c r="B357" s="119" t="s">
        <v>8459</v>
      </c>
      <c r="C357" s="119" t="s">
        <v>66</v>
      </c>
      <c r="D357" t="s">
        <v>45</v>
      </c>
      <c r="E357" s="117">
        <v>9999</v>
      </c>
    </row>
    <row r="358" spans="1:5" x14ac:dyDescent="0.25">
      <c r="A358" s="119" t="s">
        <v>8095</v>
      </c>
      <c r="B358" s="119" t="s">
        <v>8096</v>
      </c>
      <c r="C358" s="119" t="s">
        <v>66</v>
      </c>
      <c r="D358" t="s">
        <v>45</v>
      </c>
      <c r="E358" s="117">
        <v>9999</v>
      </c>
    </row>
    <row r="359" spans="1:5" x14ac:dyDescent="0.25">
      <c r="A359" s="119" t="s">
        <v>11755</v>
      </c>
      <c r="B359" s="119" t="s">
        <v>11756</v>
      </c>
      <c r="C359" s="119" t="s">
        <v>66</v>
      </c>
      <c r="D359" t="s">
        <v>45</v>
      </c>
      <c r="E359" s="117">
        <v>9999</v>
      </c>
    </row>
    <row r="360" spans="1:5" x14ac:dyDescent="0.25">
      <c r="A360" s="119" t="s">
        <v>8097</v>
      </c>
      <c r="B360" s="119" t="s">
        <v>8460</v>
      </c>
      <c r="C360" s="119" t="s">
        <v>66</v>
      </c>
      <c r="D360" t="s">
        <v>51</v>
      </c>
      <c r="E360" s="117">
        <v>9999</v>
      </c>
    </row>
    <row r="361" spans="1:5" x14ac:dyDescent="0.25">
      <c r="A361" s="119" t="s">
        <v>8098</v>
      </c>
      <c r="B361" s="119" t="s">
        <v>8460</v>
      </c>
      <c r="C361" s="119" t="s">
        <v>66</v>
      </c>
      <c r="D361" t="s">
        <v>51</v>
      </c>
      <c r="E361" s="117">
        <v>9999</v>
      </c>
    </row>
    <row r="362" spans="1:5" x14ac:dyDescent="0.25">
      <c r="A362" s="119" t="s">
        <v>12019</v>
      </c>
      <c r="B362" s="119" t="s">
        <v>12020</v>
      </c>
      <c r="C362" s="119" t="s">
        <v>66</v>
      </c>
      <c r="D362" t="s">
        <v>45</v>
      </c>
      <c r="E362" s="117">
        <v>9999</v>
      </c>
    </row>
    <row r="363" spans="1:5" x14ac:dyDescent="0.25">
      <c r="A363" s="119" t="s">
        <v>11940</v>
      </c>
      <c r="B363" s="119" t="s">
        <v>11941</v>
      </c>
      <c r="C363" s="119" t="s">
        <v>66</v>
      </c>
      <c r="D363" t="s">
        <v>45</v>
      </c>
      <c r="E363" s="117">
        <v>9999</v>
      </c>
    </row>
    <row r="364" spans="1:5" x14ac:dyDescent="0.25">
      <c r="A364" s="119" t="s">
        <v>11942</v>
      </c>
      <c r="B364" s="119" t="s">
        <v>11943</v>
      </c>
      <c r="C364" s="119" t="s">
        <v>66</v>
      </c>
      <c r="D364" t="s">
        <v>45</v>
      </c>
      <c r="E364" s="117">
        <v>9999</v>
      </c>
    </row>
    <row r="365" spans="1:5" x14ac:dyDescent="0.25">
      <c r="A365" s="119" t="s">
        <v>11944</v>
      </c>
      <c r="B365" s="119" t="s">
        <v>11945</v>
      </c>
      <c r="C365" s="119" t="s">
        <v>66</v>
      </c>
      <c r="D365" t="s">
        <v>45</v>
      </c>
      <c r="E365" s="117">
        <v>9999</v>
      </c>
    </row>
    <row r="366" spans="1:5" x14ac:dyDescent="0.25">
      <c r="A366" s="119" t="s">
        <v>11662</v>
      </c>
      <c r="B366" s="119" t="s">
        <v>11663</v>
      </c>
      <c r="C366" s="119" t="s">
        <v>66</v>
      </c>
      <c r="D366" t="s">
        <v>45</v>
      </c>
      <c r="E366" s="117">
        <v>9999</v>
      </c>
    </row>
    <row r="367" spans="1:5" x14ac:dyDescent="0.25">
      <c r="A367" s="119" t="s">
        <v>11664</v>
      </c>
      <c r="B367" s="119" t="s">
        <v>11665</v>
      </c>
      <c r="C367" s="119" t="s">
        <v>66</v>
      </c>
      <c r="D367" t="s">
        <v>45</v>
      </c>
      <c r="E367" s="117">
        <v>9999</v>
      </c>
    </row>
    <row r="368" spans="1:5" x14ac:dyDescent="0.25">
      <c r="A368" s="119" t="s">
        <v>8099</v>
      </c>
      <c r="B368" s="119" t="s">
        <v>11749</v>
      </c>
      <c r="C368" s="119" t="s">
        <v>66</v>
      </c>
      <c r="D368" t="s">
        <v>45</v>
      </c>
      <c r="E368" s="117">
        <v>9999</v>
      </c>
    </row>
    <row r="369" spans="1:5" x14ac:dyDescent="0.25">
      <c r="A369" s="119" t="s">
        <v>12197</v>
      </c>
      <c r="B369" s="119" t="s">
        <v>12198</v>
      </c>
      <c r="C369" s="119" t="s">
        <v>66</v>
      </c>
      <c r="D369" t="s">
        <v>45</v>
      </c>
      <c r="E369" s="117">
        <v>9999</v>
      </c>
    </row>
    <row r="370" spans="1:5" x14ac:dyDescent="0.25">
      <c r="A370" s="119" t="s">
        <v>11757</v>
      </c>
      <c r="B370" s="119" t="s">
        <v>11758</v>
      </c>
      <c r="C370" s="119" t="s">
        <v>66</v>
      </c>
      <c r="D370" t="s">
        <v>45</v>
      </c>
      <c r="E370" s="117">
        <v>9999</v>
      </c>
    </row>
    <row r="371" spans="1:5" x14ac:dyDescent="0.25">
      <c r="A371" s="119" t="s">
        <v>11759</v>
      </c>
      <c r="B371" s="119" t="s">
        <v>11760</v>
      </c>
      <c r="C371" s="119" t="s">
        <v>66</v>
      </c>
      <c r="D371" t="s">
        <v>45</v>
      </c>
      <c r="E371" s="117">
        <v>9999</v>
      </c>
    </row>
    <row r="372" spans="1:5" x14ac:dyDescent="0.25">
      <c r="A372" s="119" t="s">
        <v>12412</v>
      </c>
      <c r="B372" s="119" t="s">
        <v>12413</v>
      </c>
      <c r="C372" s="119" t="s">
        <v>66</v>
      </c>
      <c r="D372" t="s">
        <v>45</v>
      </c>
      <c r="E372" s="117">
        <v>9999</v>
      </c>
    </row>
    <row r="373" spans="1:5" x14ac:dyDescent="0.25">
      <c r="A373" s="119" t="s">
        <v>11946</v>
      </c>
      <c r="B373" s="119" t="s">
        <v>11947</v>
      </c>
      <c r="C373" s="119" t="s">
        <v>66</v>
      </c>
      <c r="D373" t="s">
        <v>45</v>
      </c>
      <c r="E373" s="117">
        <v>9999</v>
      </c>
    </row>
    <row r="374" spans="1:5" x14ac:dyDescent="0.25">
      <c r="A374" s="119" t="s">
        <v>12021</v>
      </c>
      <c r="B374" s="119" t="s">
        <v>12022</v>
      </c>
      <c r="C374" s="119" t="s">
        <v>66</v>
      </c>
      <c r="D374" t="s">
        <v>45</v>
      </c>
      <c r="E374" s="117">
        <v>9999</v>
      </c>
    </row>
    <row r="375" spans="1:5" x14ac:dyDescent="0.25">
      <c r="A375" s="119" t="s">
        <v>12023</v>
      </c>
      <c r="B375" s="119" t="s">
        <v>12024</v>
      </c>
      <c r="C375" s="119" t="s">
        <v>66</v>
      </c>
      <c r="D375" t="s">
        <v>45</v>
      </c>
      <c r="E375" s="117">
        <v>9999</v>
      </c>
    </row>
    <row r="376" spans="1:5" x14ac:dyDescent="0.25">
      <c r="A376" s="119" t="s">
        <v>421</v>
      </c>
      <c r="B376" s="119" t="s">
        <v>8461</v>
      </c>
      <c r="C376" s="119" t="s">
        <v>66</v>
      </c>
      <c r="D376" t="s">
        <v>6759</v>
      </c>
      <c r="E376" s="117">
        <v>472.06</v>
      </c>
    </row>
    <row r="377" spans="1:5" x14ac:dyDescent="0.25">
      <c r="A377" s="119" t="s">
        <v>422</v>
      </c>
      <c r="B377" s="119" t="s">
        <v>8462</v>
      </c>
      <c r="C377" s="119" t="s">
        <v>66</v>
      </c>
      <c r="D377" t="s">
        <v>45</v>
      </c>
      <c r="E377" s="117">
        <v>600.26</v>
      </c>
    </row>
    <row r="378" spans="1:5" x14ac:dyDescent="0.25">
      <c r="A378" s="119" t="s">
        <v>423</v>
      </c>
      <c r="B378" s="119" t="s">
        <v>8463</v>
      </c>
      <c r="C378" s="119" t="s">
        <v>66</v>
      </c>
      <c r="D378" t="s">
        <v>6759</v>
      </c>
      <c r="E378" s="117">
        <v>718.55</v>
      </c>
    </row>
    <row r="379" spans="1:5" x14ac:dyDescent="0.25">
      <c r="A379" s="119" t="s">
        <v>424</v>
      </c>
      <c r="B379" s="119" t="s">
        <v>12007</v>
      </c>
      <c r="C379" s="119" t="s">
        <v>66</v>
      </c>
      <c r="D379" t="s">
        <v>45</v>
      </c>
      <c r="E379" s="117">
        <v>1233.96</v>
      </c>
    </row>
    <row r="380" spans="1:5" x14ac:dyDescent="0.25">
      <c r="A380" s="119" t="s">
        <v>425</v>
      </c>
      <c r="B380" s="119" t="s">
        <v>426</v>
      </c>
      <c r="C380" s="119" t="s">
        <v>66</v>
      </c>
      <c r="D380" t="s">
        <v>6759</v>
      </c>
      <c r="E380" s="117">
        <v>3305.89</v>
      </c>
    </row>
    <row r="381" spans="1:5" x14ac:dyDescent="0.25">
      <c r="A381" s="119" t="s">
        <v>427</v>
      </c>
      <c r="B381" s="119" t="s">
        <v>8464</v>
      </c>
      <c r="C381" s="119" t="s">
        <v>66</v>
      </c>
      <c r="D381" t="s">
        <v>49</v>
      </c>
      <c r="E381" s="117">
        <v>2862.35</v>
      </c>
    </row>
    <row r="382" spans="1:5" x14ac:dyDescent="0.25">
      <c r="A382" s="119" t="s">
        <v>428</v>
      </c>
      <c r="B382" s="119" t="s">
        <v>429</v>
      </c>
      <c r="C382" s="119" t="s">
        <v>66</v>
      </c>
      <c r="D382" t="s">
        <v>6759</v>
      </c>
      <c r="E382" s="117">
        <v>637.02</v>
      </c>
    </row>
    <row r="383" spans="1:5" x14ac:dyDescent="0.25">
      <c r="A383" s="119" t="s">
        <v>430</v>
      </c>
      <c r="B383" s="119" t="s">
        <v>431</v>
      </c>
      <c r="C383" s="119" t="s">
        <v>66</v>
      </c>
      <c r="D383" t="s">
        <v>6759</v>
      </c>
      <c r="E383" s="117">
        <v>309.26</v>
      </c>
    </row>
    <row r="384" spans="1:5" x14ac:dyDescent="0.25">
      <c r="A384" s="119" t="s">
        <v>432</v>
      </c>
      <c r="B384" s="119" t="s">
        <v>433</v>
      </c>
      <c r="C384" s="119" t="s">
        <v>66</v>
      </c>
      <c r="D384" t="s">
        <v>6759</v>
      </c>
      <c r="E384" s="117">
        <v>235.94</v>
      </c>
    </row>
    <row r="385" spans="1:5" x14ac:dyDescent="0.25">
      <c r="A385" s="119" t="s">
        <v>434</v>
      </c>
      <c r="B385" s="119" t="s">
        <v>435</v>
      </c>
      <c r="C385" s="119" t="s">
        <v>66</v>
      </c>
      <c r="D385" t="s">
        <v>45</v>
      </c>
      <c r="E385" s="117">
        <v>371.7</v>
      </c>
    </row>
    <row r="386" spans="1:5" x14ac:dyDescent="0.25">
      <c r="A386" s="119" t="s">
        <v>436</v>
      </c>
      <c r="B386" s="119" t="s">
        <v>437</v>
      </c>
      <c r="C386" s="119" t="s">
        <v>66</v>
      </c>
      <c r="D386" t="s">
        <v>45</v>
      </c>
      <c r="E386" s="117">
        <v>271.43</v>
      </c>
    </row>
    <row r="387" spans="1:5" x14ac:dyDescent="0.25">
      <c r="A387" s="119" t="s">
        <v>438</v>
      </c>
      <c r="B387" s="119" t="s">
        <v>8465</v>
      </c>
      <c r="C387" s="119" t="s">
        <v>66</v>
      </c>
      <c r="D387" t="s">
        <v>49</v>
      </c>
      <c r="E387" s="117">
        <v>373.29</v>
      </c>
    </row>
    <row r="388" spans="1:5" x14ac:dyDescent="0.25">
      <c r="A388" s="119" t="s">
        <v>439</v>
      </c>
      <c r="B388" s="119" t="s">
        <v>8466</v>
      </c>
      <c r="C388" s="119" t="s">
        <v>66</v>
      </c>
      <c r="D388" t="s">
        <v>45</v>
      </c>
      <c r="E388" s="117">
        <v>257.25</v>
      </c>
    </row>
    <row r="389" spans="1:5" x14ac:dyDescent="0.25">
      <c r="A389" s="119" t="s">
        <v>440</v>
      </c>
      <c r="B389" s="119" t="s">
        <v>441</v>
      </c>
      <c r="C389" s="119" t="s">
        <v>66</v>
      </c>
      <c r="D389" t="s">
        <v>49</v>
      </c>
      <c r="E389" s="117">
        <v>17.97</v>
      </c>
    </row>
    <row r="390" spans="1:5" x14ac:dyDescent="0.25">
      <c r="A390" s="119" t="s">
        <v>442</v>
      </c>
      <c r="B390" s="119" t="s">
        <v>8467</v>
      </c>
      <c r="C390" s="119" t="s">
        <v>66</v>
      </c>
      <c r="D390" t="s">
        <v>45</v>
      </c>
      <c r="E390" s="117">
        <v>866.4</v>
      </c>
    </row>
    <row r="391" spans="1:5" x14ac:dyDescent="0.25">
      <c r="A391" s="119" t="s">
        <v>443</v>
      </c>
      <c r="B391" s="119" t="s">
        <v>444</v>
      </c>
      <c r="C391" s="119" t="s">
        <v>66</v>
      </c>
      <c r="D391" t="s">
        <v>45</v>
      </c>
      <c r="E391" s="117">
        <v>866.4</v>
      </c>
    </row>
    <row r="392" spans="1:5" x14ac:dyDescent="0.25">
      <c r="A392" s="119" t="s">
        <v>445</v>
      </c>
      <c r="B392" s="119" t="s">
        <v>8468</v>
      </c>
      <c r="C392" s="119" t="s">
        <v>66</v>
      </c>
      <c r="D392" t="s">
        <v>45</v>
      </c>
      <c r="E392" s="117">
        <v>669.26</v>
      </c>
    </row>
    <row r="393" spans="1:5" x14ac:dyDescent="0.25">
      <c r="A393" s="119" t="s">
        <v>446</v>
      </c>
      <c r="B393" s="119" t="s">
        <v>447</v>
      </c>
      <c r="C393" s="119" t="s">
        <v>66</v>
      </c>
      <c r="D393" t="s">
        <v>45</v>
      </c>
      <c r="E393" s="117">
        <v>669.26</v>
      </c>
    </row>
    <row r="394" spans="1:5" x14ac:dyDescent="0.25">
      <c r="A394" s="119" t="s">
        <v>448</v>
      </c>
      <c r="B394" s="119" t="s">
        <v>8469</v>
      </c>
      <c r="C394" s="119" t="s">
        <v>66</v>
      </c>
      <c r="D394" t="s">
        <v>6759</v>
      </c>
      <c r="E394" s="117">
        <v>66.209999999999994</v>
      </c>
    </row>
    <row r="395" spans="1:5" x14ac:dyDescent="0.25">
      <c r="A395" s="119" t="s">
        <v>449</v>
      </c>
      <c r="B395" s="119" t="s">
        <v>8470</v>
      </c>
      <c r="C395" s="119" t="s">
        <v>66</v>
      </c>
      <c r="D395" t="s">
        <v>6759</v>
      </c>
      <c r="E395" s="117">
        <v>3599</v>
      </c>
    </row>
    <row r="396" spans="1:5" x14ac:dyDescent="0.25">
      <c r="A396" s="119" t="s">
        <v>450</v>
      </c>
      <c r="B396" s="119" t="s">
        <v>8471</v>
      </c>
      <c r="C396" s="119" t="s">
        <v>66</v>
      </c>
      <c r="D396" t="s">
        <v>6759</v>
      </c>
      <c r="E396" s="117">
        <v>2699</v>
      </c>
    </row>
    <row r="397" spans="1:5" x14ac:dyDescent="0.25">
      <c r="A397" s="119" t="s">
        <v>451</v>
      </c>
      <c r="B397" s="119" t="s">
        <v>8472</v>
      </c>
      <c r="C397" s="119" t="s">
        <v>66</v>
      </c>
      <c r="D397" t="s">
        <v>6759</v>
      </c>
      <c r="E397" s="117">
        <v>3999</v>
      </c>
    </row>
    <row r="398" spans="1:5" x14ac:dyDescent="0.25">
      <c r="A398" s="119" t="s">
        <v>8100</v>
      </c>
      <c r="B398" s="119" t="s">
        <v>8101</v>
      </c>
      <c r="C398" s="119" t="s">
        <v>66</v>
      </c>
      <c r="D398" t="s">
        <v>45</v>
      </c>
      <c r="E398" s="117">
        <v>9999</v>
      </c>
    </row>
    <row r="399" spans="1:5" x14ac:dyDescent="0.25">
      <c r="A399" s="119" t="s">
        <v>452</v>
      </c>
      <c r="B399" s="119" t="s">
        <v>453</v>
      </c>
      <c r="C399" s="119" t="s">
        <v>66</v>
      </c>
      <c r="D399" t="s">
        <v>6759</v>
      </c>
      <c r="E399" s="117">
        <v>29.49</v>
      </c>
    </row>
    <row r="400" spans="1:5" x14ac:dyDescent="0.25">
      <c r="A400" s="119" t="s">
        <v>454</v>
      </c>
      <c r="B400" s="119" t="s">
        <v>8473</v>
      </c>
      <c r="C400" s="119" t="s">
        <v>66</v>
      </c>
      <c r="D400" t="s">
        <v>6759</v>
      </c>
      <c r="E400" s="117">
        <v>215.86</v>
      </c>
    </row>
    <row r="401" spans="1:5" x14ac:dyDescent="0.25">
      <c r="A401" s="119" t="s">
        <v>455</v>
      </c>
      <c r="B401" s="119" t="s">
        <v>8474</v>
      </c>
      <c r="C401" s="119" t="s">
        <v>66</v>
      </c>
      <c r="D401" t="s">
        <v>6759</v>
      </c>
      <c r="E401" s="117">
        <v>443.58</v>
      </c>
    </row>
    <row r="402" spans="1:5" x14ac:dyDescent="0.25">
      <c r="A402" s="119" t="s">
        <v>456</v>
      </c>
      <c r="B402" s="119" t="s">
        <v>8475</v>
      </c>
      <c r="C402" s="119" t="s">
        <v>66</v>
      </c>
      <c r="D402" t="s">
        <v>6759</v>
      </c>
      <c r="E402" s="117">
        <v>28</v>
      </c>
    </row>
    <row r="403" spans="1:5" x14ac:dyDescent="0.25">
      <c r="A403" s="119" t="s">
        <v>457</v>
      </c>
      <c r="B403" s="119" t="s">
        <v>8476</v>
      </c>
      <c r="C403" s="119" t="s">
        <v>66</v>
      </c>
      <c r="D403" t="s">
        <v>51</v>
      </c>
      <c r="E403" s="117">
        <v>52.15</v>
      </c>
    </row>
    <row r="404" spans="1:5" x14ac:dyDescent="0.25">
      <c r="A404" s="119" t="s">
        <v>458</v>
      </c>
      <c r="B404" s="119" t="s">
        <v>8477</v>
      </c>
      <c r="C404" s="119" t="s">
        <v>66</v>
      </c>
      <c r="D404" t="s">
        <v>6760</v>
      </c>
      <c r="E404" s="117">
        <v>52.5</v>
      </c>
    </row>
    <row r="405" spans="1:5" x14ac:dyDescent="0.25">
      <c r="A405" s="119" t="s">
        <v>459</v>
      </c>
      <c r="B405" s="119" t="s">
        <v>8478</v>
      </c>
      <c r="C405" s="119" t="s">
        <v>66</v>
      </c>
      <c r="D405" t="s">
        <v>6759</v>
      </c>
      <c r="E405" s="117">
        <v>5489.13</v>
      </c>
    </row>
    <row r="406" spans="1:5" x14ac:dyDescent="0.25">
      <c r="A406" s="119" t="s">
        <v>460</v>
      </c>
      <c r="B406" s="119" t="s">
        <v>8479</v>
      </c>
      <c r="C406" s="119" t="s">
        <v>66</v>
      </c>
      <c r="D406" t="s">
        <v>6759</v>
      </c>
      <c r="E406" s="117">
        <v>5006.16</v>
      </c>
    </row>
    <row r="407" spans="1:5" x14ac:dyDescent="0.25">
      <c r="A407" s="119" t="s">
        <v>461</v>
      </c>
      <c r="B407" s="119" t="s">
        <v>462</v>
      </c>
      <c r="C407" s="119" t="s">
        <v>66</v>
      </c>
      <c r="D407" t="s">
        <v>6759</v>
      </c>
      <c r="E407" s="117">
        <v>114.72</v>
      </c>
    </row>
    <row r="408" spans="1:5" x14ac:dyDescent="0.25">
      <c r="A408" s="119" t="s">
        <v>463</v>
      </c>
      <c r="B408" s="119" t="s">
        <v>464</v>
      </c>
      <c r="C408" s="119" t="s">
        <v>66</v>
      </c>
      <c r="D408" t="s">
        <v>6759</v>
      </c>
      <c r="E408" s="117">
        <v>149.97999999999999</v>
      </c>
    </row>
    <row r="409" spans="1:5" x14ac:dyDescent="0.25">
      <c r="A409" s="119" t="s">
        <v>465</v>
      </c>
      <c r="B409" s="119" t="s">
        <v>466</v>
      </c>
      <c r="C409" s="119" t="s">
        <v>66</v>
      </c>
      <c r="D409" t="s">
        <v>6759</v>
      </c>
      <c r="E409" s="117">
        <v>630</v>
      </c>
    </row>
    <row r="410" spans="1:5" x14ac:dyDescent="0.25">
      <c r="A410" s="119" t="s">
        <v>467</v>
      </c>
      <c r="B410" s="119" t="s">
        <v>468</v>
      </c>
      <c r="C410" s="119" t="s">
        <v>66</v>
      </c>
      <c r="D410" t="s">
        <v>6759</v>
      </c>
      <c r="E410" s="117">
        <v>682.5</v>
      </c>
    </row>
    <row r="411" spans="1:5" x14ac:dyDescent="0.25">
      <c r="A411" s="119" t="s">
        <v>469</v>
      </c>
      <c r="B411" s="119" t="s">
        <v>470</v>
      </c>
      <c r="C411" s="119" t="s">
        <v>66</v>
      </c>
      <c r="D411" t="s">
        <v>6759</v>
      </c>
      <c r="E411" s="117">
        <v>54.58</v>
      </c>
    </row>
    <row r="412" spans="1:5" x14ac:dyDescent="0.25">
      <c r="A412" s="119" t="s">
        <v>471</v>
      </c>
      <c r="B412" s="119" t="s">
        <v>388</v>
      </c>
      <c r="C412" s="119" t="s">
        <v>66</v>
      </c>
      <c r="D412" t="s">
        <v>45</v>
      </c>
      <c r="E412" s="117">
        <v>60.64</v>
      </c>
    </row>
    <row r="413" spans="1:5" x14ac:dyDescent="0.25">
      <c r="A413" s="119" t="s">
        <v>472</v>
      </c>
      <c r="B413" s="119" t="s">
        <v>473</v>
      </c>
      <c r="C413" s="119" t="s">
        <v>66</v>
      </c>
      <c r="D413" t="s">
        <v>6759</v>
      </c>
      <c r="E413" s="117">
        <v>97.02</v>
      </c>
    </row>
    <row r="414" spans="1:5" x14ac:dyDescent="0.25">
      <c r="A414" s="119" t="s">
        <v>474</v>
      </c>
      <c r="B414" s="119" t="s">
        <v>475</v>
      </c>
      <c r="C414" s="119" t="s">
        <v>66</v>
      </c>
      <c r="D414" t="s">
        <v>6759</v>
      </c>
      <c r="E414" s="117">
        <v>109.15</v>
      </c>
    </row>
    <row r="415" spans="1:5" x14ac:dyDescent="0.25">
      <c r="A415" s="119" t="s">
        <v>476</v>
      </c>
      <c r="B415" s="119" t="s">
        <v>8480</v>
      </c>
      <c r="C415" s="119" t="s">
        <v>66</v>
      </c>
      <c r="D415" t="s">
        <v>6759</v>
      </c>
      <c r="E415" s="117">
        <v>78.86</v>
      </c>
    </row>
    <row r="416" spans="1:5" x14ac:dyDescent="0.25">
      <c r="A416" s="119" t="s">
        <v>478</v>
      </c>
      <c r="B416" s="119" t="s">
        <v>8481</v>
      </c>
      <c r="C416" s="119" t="s">
        <v>66</v>
      </c>
      <c r="D416" t="s">
        <v>6759</v>
      </c>
      <c r="E416" s="117">
        <v>15.09</v>
      </c>
    </row>
    <row r="417" spans="1:5" x14ac:dyDescent="0.25">
      <c r="A417" s="119" t="s">
        <v>479</v>
      </c>
      <c r="B417" s="119" t="s">
        <v>8482</v>
      </c>
      <c r="C417" s="119" t="s">
        <v>66</v>
      </c>
      <c r="D417" t="s">
        <v>6759</v>
      </c>
      <c r="E417" s="117">
        <v>23.4</v>
      </c>
    </row>
    <row r="418" spans="1:5" x14ac:dyDescent="0.25">
      <c r="A418" s="119" t="s">
        <v>480</v>
      </c>
      <c r="B418" s="119" t="s">
        <v>8483</v>
      </c>
      <c r="C418" s="119" t="s">
        <v>66</v>
      </c>
      <c r="D418" t="s">
        <v>6759</v>
      </c>
      <c r="E418" s="117">
        <v>147</v>
      </c>
    </row>
    <row r="419" spans="1:5" x14ac:dyDescent="0.25">
      <c r="A419" s="119" t="s">
        <v>481</v>
      </c>
      <c r="B419" s="119" t="s">
        <v>8484</v>
      </c>
      <c r="C419" s="119" t="s">
        <v>66</v>
      </c>
      <c r="D419" t="s">
        <v>6759</v>
      </c>
      <c r="E419" s="117">
        <v>147</v>
      </c>
    </row>
    <row r="420" spans="1:5" x14ac:dyDescent="0.25">
      <c r="A420" s="119" t="s">
        <v>482</v>
      </c>
      <c r="B420" s="119" t="s">
        <v>8485</v>
      </c>
      <c r="C420" s="119" t="s">
        <v>66</v>
      </c>
      <c r="D420" t="s">
        <v>6759</v>
      </c>
      <c r="E420" s="117">
        <v>144.38</v>
      </c>
    </row>
    <row r="421" spans="1:5" x14ac:dyDescent="0.25">
      <c r="A421" s="119" t="s">
        <v>483</v>
      </c>
      <c r="B421" s="119" t="s">
        <v>8486</v>
      </c>
      <c r="C421" s="119" t="s">
        <v>66</v>
      </c>
      <c r="D421" t="s">
        <v>6759</v>
      </c>
      <c r="E421" s="117">
        <v>28.35</v>
      </c>
    </row>
    <row r="422" spans="1:5" x14ac:dyDescent="0.25">
      <c r="A422" s="119" t="s">
        <v>484</v>
      </c>
      <c r="B422" s="119" t="s">
        <v>8487</v>
      </c>
      <c r="C422" s="119" t="s">
        <v>66</v>
      </c>
      <c r="D422" t="s">
        <v>6759</v>
      </c>
      <c r="E422" s="117">
        <v>28.35</v>
      </c>
    </row>
    <row r="423" spans="1:5" x14ac:dyDescent="0.25">
      <c r="A423" s="119" t="s">
        <v>485</v>
      </c>
      <c r="B423" s="119" t="s">
        <v>8488</v>
      </c>
      <c r="C423" s="119" t="s">
        <v>66</v>
      </c>
      <c r="D423" t="s">
        <v>6759</v>
      </c>
      <c r="E423" s="117">
        <v>15.75</v>
      </c>
    </row>
    <row r="424" spans="1:5" x14ac:dyDescent="0.25">
      <c r="A424" s="119" t="s">
        <v>486</v>
      </c>
      <c r="B424" s="119" t="s">
        <v>8489</v>
      </c>
      <c r="C424" s="119" t="s">
        <v>66</v>
      </c>
      <c r="D424" t="s">
        <v>6759</v>
      </c>
      <c r="E424" s="117">
        <v>15</v>
      </c>
    </row>
    <row r="425" spans="1:5" x14ac:dyDescent="0.25">
      <c r="A425" s="119" t="s">
        <v>487</v>
      </c>
      <c r="B425" s="119" t="s">
        <v>8490</v>
      </c>
      <c r="C425" s="119" t="s">
        <v>66</v>
      </c>
      <c r="D425" t="s">
        <v>49</v>
      </c>
      <c r="E425" s="117">
        <v>70.069999999999993</v>
      </c>
    </row>
    <row r="426" spans="1:5" x14ac:dyDescent="0.25">
      <c r="A426" s="119" t="s">
        <v>488</v>
      </c>
      <c r="B426" s="119" t="s">
        <v>8491</v>
      </c>
      <c r="C426" s="119" t="s">
        <v>66</v>
      </c>
      <c r="D426" t="s">
        <v>49</v>
      </c>
      <c r="E426" s="117">
        <v>70.069999999999993</v>
      </c>
    </row>
    <row r="427" spans="1:5" x14ac:dyDescent="0.25">
      <c r="A427" s="119" t="s">
        <v>489</v>
      </c>
      <c r="B427" s="119" t="s">
        <v>8492</v>
      </c>
      <c r="C427" s="119" t="s">
        <v>66</v>
      </c>
      <c r="D427" t="s">
        <v>45</v>
      </c>
      <c r="E427" s="117">
        <v>481.99</v>
      </c>
    </row>
    <row r="428" spans="1:5" x14ac:dyDescent="0.25">
      <c r="A428" s="119" t="s">
        <v>490</v>
      </c>
      <c r="B428" s="119" t="s">
        <v>8493</v>
      </c>
      <c r="C428" s="119" t="s">
        <v>66</v>
      </c>
      <c r="D428" t="s">
        <v>45</v>
      </c>
      <c r="E428" s="117">
        <v>481.99</v>
      </c>
    </row>
    <row r="429" spans="1:5" x14ac:dyDescent="0.25">
      <c r="A429" s="119" t="s">
        <v>491</v>
      </c>
      <c r="B429" s="119" t="s">
        <v>8494</v>
      </c>
      <c r="C429" s="119" t="s">
        <v>66</v>
      </c>
      <c r="D429" t="s">
        <v>6759</v>
      </c>
      <c r="E429" s="117">
        <v>261.38</v>
      </c>
    </row>
    <row r="430" spans="1:5" x14ac:dyDescent="0.25">
      <c r="A430" s="119" t="s">
        <v>492</v>
      </c>
      <c r="B430" s="119" t="s">
        <v>8495</v>
      </c>
      <c r="C430" s="119" t="s">
        <v>66</v>
      </c>
      <c r="D430" t="s">
        <v>49</v>
      </c>
      <c r="E430" s="117">
        <v>339</v>
      </c>
    </row>
    <row r="431" spans="1:5" x14ac:dyDescent="0.25">
      <c r="A431" s="119" t="s">
        <v>493</v>
      </c>
      <c r="B431" s="119" t="s">
        <v>494</v>
      </c>
      <c r="C431" s="119" t="s">
        <v>66</v>
      </c>
      <c r="D431" t="s">
        <v>45</v>
      </c>
      <c r="E431" s="117">
        <v>0</v>
      </c>
    </row>
    <row r="432" spans="1:5" x14ac:dyDescent="0.25">
      <c r="A432" s="119" t="s">
        <v>495</v>
      </c>
      <c r="B432" s="119" t="s">
        <v>8496</v>
      </c>
      <c r="C432" s="119" t="s">
        <v>66</v>
      </c>
      <c r="D432" t="s">
        <v>6759</v>
      </c>
      <c r="E432" s="117">
        <v>61.95</v>
      </c>
    </row>
    <row r="433" spans="1:5" x14ac:dyDescent="0.25">
      <c r="A433" s="119" t="s">
        <v>496</v>
      </c>
      <c r="B433" s="119" t="s">
        <v>8497</v>
      </c>
      <c r="C433" s="119" t="s">
        <v>66</v>
      </c>
      <c r="D433" t="s">
        <v>49</v>
      </c>
      <c r="E433" s="117">
        <v>44.1</v>
      </c>
    </row>
    <row r="434" spans="1:5" x14ac:dyDescent="0.25">
      <c r="A434" s="119" t="s">
        <v>497</v>
      </c>
      <c r="B434" s="119" t="s">
        <v>498</v>
      </c>
      <c r="C434" s="119" t="s">
        <v>66</v>
      </c>
      <c r="D434" t="s">
        <v>45</v>
      </c>
      <c r="E434" s="117">
        <v>567</v>
      </c>
    </row>
    <row r="435" spans="1:5" x14ac:dyDescent="0.25">
      <c r="A435" s="119" t="s">
        <v>499</v>
      </c>
      <c r="B435" s="119" t="s">
        <v>500</v>
      </c>
      <c r="C435" s="119" t="s">
        <v>66</v>
      </c>
      <c r="D435" t="s">
        <v>45</v>
      </c>
      <c r="E435" s="117">
        <v>541.13</v>
      </c>
    </row>
    <row r="436" spans="1:5" x14ac:dyDescent="0.25">
      <c r="A436" s="119" t="s">
        <v>501</v>
      </c>
      <c r="B436" s="119" t="s">
        <v>8498</v>
      </c>
      <c r="C436" s="119" t="s">
        <v>66</v>
      </c>
      <c r="D436" t="s">
        <v>6759</v>
      </c>
      <c r="E436" s="117">
        <v>304.5</v>
      </c>
    </row>
    <row r="437" spans="1:5" x14ac:dyDescent="0.25">
      <c r="A437" s="119" t="s">
        <v>502</v>
      </c>
      <c r="B437" s="119" t="s">
        <v>503</v>
      </c>
      <c r="C437" s="119" t="s">
        <v>66</v>
      </c>
      <c r="D437" t="s">
        <v>6759</v>
      </c>
      <c r="E437" s="117">
        <v>336.21</v>
      </c>
    </row>
    <row r="438" spans="1:5" x14ac:dyDescent="0.25">
      <c r="A438" s="119" t="s">
        <v>504</v>
      </c>
      <c r="B438" s="119" t="s">
        <v>8499</v>
      </c>
      <c r="C438" s="119" t="s">
        <v>66</v>
      </c>
      <c r="D438" t="s">
        <v>49</v>
      </c>
      <c r="E438" s="117">
        <v>812.54</v>
      </c>
    </row>
    <row r="439" spans="1:5" x14ac:dyDescent="0.25">
      <c r="A439" s="119" t="s">
        <v>505</v>
      </c>
      <c r="B439" s="119" t="s">
        <v>506</v>
      </c>
      <c r="C439" s="119" t="s">
        <v>66</v>
      </c>
      <c r="D439" t="s">
        <v>45</v>
      </c>
      <c r="E439" s="117">
        <v>179.76</v>
      </c>
    </row>
    <row r="440" spans="1:5" x14ac:dyDescent="0.25">
      <c r="A440" s="119" t="s">
        <v>507</v>
      </c>
      <c r="B440" s="119" t="s">
        <v>8500</v>
      </c>
      <c r="C440" s="119" t="s">
        <v>66</v>
      </c>
      <c r="D440" t="s">
        <v>49</v>
      </c>
      <c r="E440" s="117">
        <v>169.04</v>
      </c>
    </row>
    <row r="441" spans="1:5" x14ac:dyDescent="0.25">
      <c r="A441" s="119" t="s">
        <v>508</v>
      </c>
      <c r="B441" s="119" t="s">
        <v>8501</v>
      </c>
      <c r="C441" s="119" t="s">
        <v>66</v>
      </c>
      <c r="D441" t="s">
        <v>6759</v>
      </c>
      <c r="E441" s="117">
        <v>504</v>
      </c>
    </row>
    <row r="442" spans="1:5" x14ac:dyDescent="0.25">
      <c r="A442" s="119" t="s">
        <v>509</v>
      </c>
      <c r="B442" s="119" t="s">
        <v>510</v>
      </c>
      <c r="C442" s="119" t="s">
        <v>66</v>
      </c>
      <c r="D442" t="s">
        <v>6759</v>
      </c>
      <c r="E442" s="117">
        <v>389.3</v>
      </c>
    </row>
    <row r="443" spans="1:5" x14ac:dyDescent="0.25">
      <c r="A443" s="119" t="s">
        <v>511</v>
      </c>
      <c r="B443" s="119" t="s">
        <v>512</v>
      </c>
      <c r="C443" s="119" t="s">
        <v>66</v>
      </c>
      <c r="D443" t="s">
        <v>49</v>
      </c>
      <c r="E443" s="117">
        <v>23.1</v>
      </c>
    </row>
    <row r="444" spans="1:5" x14ac:dyDescent="0.25">
      <c r="A444" s="119" t="s">
        <v>513</v>
      </c>
      <c r="B444" s="119" t="s">
        <v>8330</v>
      </c>
      <c r="C444" s="119" t="s">
        <v>66</v>
      </c>
      <c r="D444" t="s">
        <v>6759</v>
      </c>
      <c r="E444" s="117">
        <v>90</v>
      </c>
    </row>
    <row r="445" spans="1:5" x14ac:dyDescent="0.25">
      <c r="A445" s="119" t="s">
        <v>514</v>
      </c>
      <c r="B445" s="119" t="s">
        <v>8502</v>
      </c>
      <c r="C445" s="119" t="s">
        <v>66</v>
      </c>
      <c r="D445" t="s">
        <v>49</v>
      </c>
      <c r="E445" s="117">
        <v>73.5</v>
      </c>
    </row>
    <row r="446" spans="1:5" x14ac:dyDescent="0.25">
      <c r="A446" s="119" t="s">
        <v>515</v>
      </c>
      <c r="B446" s="119" t="s">
        <v>273</v>
      </c>
      <c r="C446" s="119" t="s">
        <v>66</v>
      </c>
      <c r="D446" t="s">
        <v>45</v>
      </c>
      <c r="E446" s="117">
        <v>999999</v>
      </c>
    </row>
    <row r="447" spans="1:5" x14ac:dyDescent="0.25">
      <c r="A447" s="119" t="s">
        <v>516</v>
      </c>
      <c r="B447" s="119" t="s">
        <v>8503</v>
      </c>
      <c r="C447" s="119" t="s">
        <v>66</v>
      </c>
      <c r="D447" t="s">
        <v>45</v>
      </c>
      <c r="E447" s="117">
        <v>94.5</v>
      </c>
    </row>
    <row r="448" spans="1:5" x14ac:dyDescent="0.25">
      <c r="A448" s="119" t="s">
        <v>517</v>
      </c>
      <c r="B448" s="119" t="s">
        <v>8504</v>
      </c>
      <c r="C448" s="119" t="s">
        <v>66</v>
      </c>
      <c r="D448" t="s">
        <v>49</v>
      </c>
      <c r="E448" s="117">
        <v>64</v>
      </c>
    </row>
    <row r="449" spans="1:5" x14ac:dyDescent="0.25">
      <c r="A449" s="119" t="s">
        <v>518</v>
      </c>
      <c r="B449" s="119" t="s">
        <v>8505</v>
      </c>
      <c r="C449" s="119" t="s">
        <v>66</v>
      </c>
      <c r="D449" t="s">
        <v>45</v>
      </c>
      <c r="E449" s="117">
        <v>119</v>
      </c>
    </row>
    <row r="450" spans="1:5" x14ac:dyDescent="0.25">
      <c r="A450" s="119" t="s">
        <v>519</v>
      </c>
      <c r="B450" s="119" t="s">
        <v>520</v>
      </c>
      <c r="C450" s="119" t="s">
        <v>66</v>
      </c>
      <c r="D450" t="s">
        <v>6759</v>
      </c>
      <c r="E450" s="117">
        <v>589.89</v>
      </c>
    </row>
    <row r="451" spans="1:5" x14ac:dyDescent="0.25">
      <c r="A451" s="119" t="s">
        <v>521</v>
      </c>
      <c r="B451" s="119" t="s">
        <v>8506</v>
      </c>
      <c r="C451" s="119" t="s">
        <v>66</v>
      </c>
      <c r="D451" t="s">
        <v>49</v>
      </c>
      <c r="E451" s="117">
        <v>397.03</v>
      </c>
    </row>
    <row r="452" spans="1:5" x14ac:dyDescent="0.25">
      <c r="A452" s="119" t="s">
        <v>522</v>
      </c>
      <c r="B452" s="119" t="s">
        <v>8507</v>
      </c>
      <c r="C452" s="119" t="s">
        <v>66</v>
      </c>
      <c r="D452" t="s">
        <v>6759</v>
      </c>
      <c r="E452" s="117">
        <v>122.58</v>
      </c>
    </row>
    <row r="453" spans="1:5" x14ac:dyDescent="0.25">
      <c r="A453" s="119" t="s">
        <v>523</v>
      </c>
      <c r="B453" s="119" t="s">
        <v>8508</v>
      </c>
      <c r="C453" s="119" t="s">
        <v>66</v>
      </c>
      <c r="D453" t="s">
        <v>6759</v>
      </c>
      <c r="E453" s="117">
        <v>122.58</v>
      </c>
    </row>
    <row r="454" spans="1:5" x14ac:dyDescent="0.25">
      <c r="A454" s="119" t="s">
        <v>524</v>
      </c>
      <c r="B454" s="119" t="s">
        <v>8509</v>
      </c>
      <c r="C454" s="119" t="s">
        <v>66</v>
      </c>
      <c r="D454" t="s">
        <v>6759</v>
      </c>
      <c r="E454" s="117">
        <v>67.62</v>
      </c>
    </row>
    <row r="455" spans="1:5" x14ac:dyDescent="0.25">
      <c r="A455" s="119" t="s">
        <v>525</v>
      </c>
      <c r="B455" s="119" t="s">
        <v>8510</v>
      </c>
      <c r="C455" s="119" t="s">
        <v>66</v>
      </c>
      <c r="D455" t="s">
        <v>6759</v>
      </c>
      <c r="E455" s="117">
        <v>167.87</v>
      </c>
    </row>
    <row r="456" spans="1:5" x14ac:dyDescent="0.25">
      <c r="A456" s="119" t="s">
        <v>526</v>
      </c>
      <c r="B456" s="119" t="s">
        <v>6388</v>
      </c>
      <c r="C456" s="119" t="s">
        <v>66</v>
      </c>
      <c r="D456" t="s">
        <v>49</v>
      </c>
      <c r="E456" s="117">
        <v>99.75</v>
      </c>
    </row>
    <row r="457" spans="1:5" x14ac:dyDescent="0.25">
      <c r="A457" s="119" t="s">
        <v>527</v>
      </c>
      <c r="B457" s="119" t="s">
        <v>8511</v>
      </c>
      <c r="C457" s="119" t="s">
        <v>66</v>
      </c>
      <c r="D457" t="s">
        <v>45</v>
      </c>
      <c r="E457" s="117">
        <v>71.400000000000006</v>
      </c>
    </row>
    <row r="458" spans="1:5" x14ac:dyDescent="0.25">
      <c r="A458" s="119" t="s">
        <v>528</v>
      </c>
      <c r="B458" s="119" t="s">
        <v>8512</v>
      </c>
      <c r="C458" s="119" t="s">
        <v>66</v>
      </c>
      <c r="D458" t="s">
        <v>49</v>
      </c>
      <c r="E458" s="117">
        <v>85</v>
      </c>
    </row>
    <row r="459" spans="1:5" x14ac:dyDescent="0.25">
      <c r="A459" s="119" t="s">
        <v>530</v>
      </c>
      <c r="B459" s="119" t="s">
        <v>8513</v>
      </c>
      <c r="C459" s="119" t="s">
        <v>66</v>
      </c>
      <c r="D459" t="s">
        <v>51</v>
      </c>
      <c r="E459" s="117">
        <v>84</v>
      </c>
    </row>
    <row r="460" spans="1:5" x14ac:dyDescent="0.25">
      <c r="A460" s="119" t="s">
        <v>531</v>
      </c>
      <c r="B460" s="119" t="s">
        <v>529</v>
      </c>
      <c r="C460" s="119" t="s">
        <v>66</v>
      </c>
      <c r="D460" t="s">
        <v>45</v>
      </c>
      <c r="E460" s="117">
        <v>999999</v>
      </c>
    </row>
    <row r="461" spans="1:5" x14ac:dyDescent="0.25">
      <c r="A461" s="119" t="s">
        <v>532</v>
      </c>
      <c r="B461" s="119" t="s">
        <v>8514</v>
      </c>
      <c r="C461" s="119" t="s">
        <v>66</v>
      </c>
      <c r="D461" t="s">
        <v>45</v>
      </c>
      <c r="E461" s="117">
        <v>77</v>
      </c>
    </row>
    <row r="462" spans="1:5" x14ac:dyDescent="0.25">
      <c r="A462" s="119" t="s">
        <v>533</v>
      </c>
      <c r="B462" s="119" t="s">
        <v>8515</v>
      </c>
      <c r="C462" s="119" t="s">
        <v>66</v>
      </c>
      <c r="D462" t="s">
        <v>6760</v>
      </c>
      <c r="E462" s="117">
        <v>85</v>
      </c>
    </row>
    <row r="463" spans="1:5" x14ac:dyDescent="0.25">
      <c r="A463" s="119" t="s">
        <v>534</v>
      </c>
      <c r="B463" s="119" t="s">
        <v>529</v>
      </c>
      <c r="C463" s="119" t="s">
        <v>66</v>
      </c>
      <c r="D463" t="s">
        <v>45</v>
      </c>
      <c r="E463" s="117">
        <v>999999</v>
      </c>
    </row>
    <row r="464" spans="1:5" x14ac:dyDescent="0.25">
      <c r="A464" s="119" t="s">
        <v>535</v>
      </c>
      <c r="B464" s="119" t="s">
        <v>8516</v>
      </c>
      <c r="C464" s="119" t="s">
        <v>66</v>
      </c>
      <c r="D464" t="s">
        <v>49</v>
      </c>
      <c r="E464" s="117">
        <v>99</v>
      </c>
    </row>
    <row r="465" spans="1:5" x14ac:dyDescent="0.25">
      <c r="A465" s="119" t="s">
        <v>536</v>
      </c>
      <c r="B465" s="119" t="s">
        <v>8517</v>
      </c>
      <c r="C465" s="119" t="s">
        <v>66</v>
      </c>
      <c r="D465" t="s">
        <v>45</v>
      </c>
      <c r="E465" s="117">
        <v>999999</v>
      </c>
    </row>
    <row r="466" spans="1:5" x14ac:dyDescent="0.25">
      <c r="A466" s="119" t="s">
        <v>537</v>
      </c>
      <c r="B466" s="119" t="s">
        <v>8518</v>
      </c>
      <c r="C466" s="119" t="s">
        <v>66</v>
      </c>
      <c r="D466" t="s">
        <v>6759</v>
      </c>
      <c r="E466" s="117">
        <v>46</v>
      </c>
    </row>
    <row r="467" spans="1:5" x14ac:dyDescent="0.25">
      <c r="A467" s="119" t="s">
        <v>538</v>
      </c>
      <c r="B467" s="119" t="s">
        <v>11788</v>
      </c>
      <c r="C467" s="119" t="s">
        <v>66</v>
      </c>
      <c r="D467" t="s">
        <v>6759</v>
      </c>
      <c r="E467" s="117">
        <v>206.43</v>
      </c>
    </row>
    <row r="468" spans="1:5" x14ac:dyDescent="0.25">
      <c r="A468" s="119" t="s">
        <v>539</v>
      </c>
      <c r="B468" s="119" t="s">
        <v>433</v>
      </c>
      <c r="C468" s="119" t="s">
        <v>66</v>
      </c>
      <c r="D468" t="s">
        <v>49</v>
      </c>
      <c r="E468" s="117">
        <v>496.78</v>
      </c>
    </row>
    <row r="469" spans="1:5" x14ac:dyDescent="0.25">
      <c r="A469" s="119" t="s">
        <v>540</v>
      </c>
      <c r="B469" s="119" t="s">
        <v>8519</v>
      </c>
      <c r="C469" s="119" t="s">
        <v>66</v>
      </c>
      <c r="D469" t="s">
        <v>6759</v>
      </c>
      <c r="E469" s="117">
        <v>609.15</v>
      </c>
    </row>
    <row r="470" spans="1:5" x14ac:dyDescent="0.25">
      <c r="A470" s="119" t="s">
        <v>541</v>
      </c>
      <c r="B470" s="119" t="s">
        <v>12008</v>
      </c>
      <c r="C470" s="119" t="s">
        <v>66</v>
      </c>
      <c r="D470" t="s">
        <v>49</v>
      </c>
      <c r="E470" s="117">
        <v>1535.94</v>
      </c>
    </row>
    <row r="471" spans="1:5" x14ac:dyDescent="0.25">
      <c r="A471" s="119" t="s">
        <v>542</v>
      </c>
      <c r="B471" s="119" t="s">
        <v>8520</v>
      </c>
      <c r="C471" s="119" t="s">
        <v>66</v>
      </c>
      <c r="D471" t="s">
        <v>49</v>
      </c>
      <c r="E471" s="117">
        <v>1871.76</v>
      </c>
    </row>
    <row r="472" spans="1:5" x14ac:dyDescent="0.25">
      <c r="A472" s="119" t="s">
        <v>543</v>
      </c>
      <c r="B472" s="119" t="s">
        <v>8521</v>
      </c>
      <c r="C472" s="119" t="s">
        <v>66</v>
      </c>
      <c r="D472" t="s">
        <v>45</v>
      </c>
      <c r="E472" s="117">
        <v>2216.75</v>
      </c>
    </row>
    <row r="473" spans="1:5" x14ac:dyDescent="0.25">
      <c r="A473" s="119" t="s">
        <v>544</v>
      </c>
      <c r="B473" s="119" t="s">
        <v>545</v>
      </c>
      <c r="C473" s="119" t="s">
        <v>66</v>
      </c>
      <c r="D473" t="s">
        <v>6759</v>
      </c>
      <c r="E473" s="117">
        <v>420</v>
      </c>
    </row>
    <row r="474" spans="1:5" x14ac:dyDescent="0.25">
      <c r="A474" s="119" t="s">
        <v>546</v>
      </c>
      <c r="B474" s="119" t="s">
        <v>11789</v>
      </c>
      <c r="C474" s="119" t="s">
        <v>66</v>
      </c>
      <c r="D474" t="s">
        <v>6759</v>
      </c>
      <c r="E474" s="117">
        <v>2345.87</v>
      </c>
    </row>
    <row r="475" spans="1:5" x14ac:dyDescent="0.25">
      <c r="A475" s="119" t="s">
        <v>547</v>
      </c>
      <c r="B475" s="119" t="s">
        <v>8522</v>
      </c>
      <c r="C475" s="119" t="s">
        <v>66</v>
      </c>
      <c r="D475" t="s">
        <v>6759</v>
      </c>
      <c r="E475" s="117">
        <v>900</v>
      </c>
    </row>
    <row r="476" spans="1:5" x14ac:dyDescent="0.25">
      <c r="A476" s="119" t="s">
        <v>548</v>
      </c>
      <c r="B476" s="119" t="s">
        <v>12009</v>
      </c>
      <c r="C476" s="119" t="s">
        <v>66</v>
      </c>
      <c r="D476" t="s">
        <v>51</v>
      </c>
      <c r="E476" s="117">
        <v>871.5</v>
      </c>
    </row>
    <row r="477" spans="1:5" x14ac:dyDescent="0.25">
      <c r="A477" s="119" t="s">
        <v>549</v>
      </c>
      <c r="B477" s="119" t="s">
        <v>550</v>
      </c>
      <c r="C477" s="119" t="s">
        <v>66</v>
      </c>
      <c r="D477" t="s">
        <v>6759</v>
      </c>
      <c r="E477" s="117">
        <v>139.9</v>
      </c>
    </row>
    <row r="478" spans="1:5" x14ac:dyDescent="0.25">
      <c r="A478" s="119" t="s">
        <v>551</v>
      </c>
      <c r="B478" s="119" t="s">
        <v>550</v>
      </c>
      <c r="C478" s="119" t="s">
        <v>66</v>
      </c>
      <c r="D478" t="s">
        <v>6759</v>
      </c>
      <c r="E478" s="117">
        <v>139.9</v>
      </c>
    </row>
    <row r="479" spans="1:5" x14ac:dyDescent="0.25">
      <c r="A479" s="119" t="s">
        <v>552</v>
      </c>
      <c r="B479" s="119" t="s">
        <v>550</v>
      </c>
      <c r="C479" s="119" t="s">
        <v>66</v>
      </c>
      <c r="D479" t="s">
        <v>6759</v>
      </c>
      <c r="E479" s="117">
        <v>139.9</v>
      </c>
    </row>
    <row r="480" spans="1:5" x14ac:dyDescent="0.25">
      <c r="A480" s="119" t="s">
        <v>553</v>
      </c>
      <c r="B480" s="119" t="s">
        <v>554</v>
      </c>
      <c r="C480" s="119" t="s">
        <v>66</v>
      </c>
      <c r="D480" t="s">
        <v>45</v>
      </c>
      <c r="E480" s="117">
        <v>511.56</v>
      </c>
    </row>
    <row r="481" spans="1:5" x14ac:dyDescent="0.25">
      <c r="A481" s="119" t="s">
        <v>555</v>
      </c>
      <c r="B481" s="119" t="s">
        <v>8454</v>
      </c>
      <c r="C481" s="119" t="s">
        <v>66</v>
      </c>
      <c r="D481" t="s">
        <v>45</v>
      </c>
      <c r="E481" s="117">
        <v>1063.52</v>
      </c>
    </row>
    <row r="482" spans="1:5" x14ac:dyDescent="0.25">
      <c r="A482" s="119" t="s">
        <v>556</v>
      </c>
      <c r="B482" s="119" t="s">
        <v>8523</v>
      </c>
      <c r="C482" s="119" t="s">
        <v>66</v>
      </c>
      <c r="D482" t="s">
        <v>49</v>
      </c>
      <c r="E482" s="117">
        <v>90</v>
      </c>
    </row>
    <row r="483" spans="1:5" x14ac:dyDescent="0.25">
      <c r="A483" s="119" t="s">
        <v>557</v>
      </c>
      <c r="B483" s="119" t="s">
        <v>8524</v>
      </c>
      <c r="C483" s="119" t="s">
        <v>66</v>
      </c>
      <c r="D483" t="s">
        <v>6759</v>
      </c>
      <c r="E483" s="117">
        <v>50</v>
      </c>
    </row>
    <row r="484" spans="1:5" x14ac:dyDescent="0.25">
      <c r="A484" s="119" t="s">
        <v>558</v>
      </c>
      <c r="B484" s="119" t="s">
        <v>559</v>
      </c>
      <c r="C484" s="119" t="s">
        <v>66</v>
      </c>
      <c r="D484" t="s">
        <v>6759</v>
      </c>
      <c r="E484" s="117">
        <v>2396.36</v>
      </c>
    </row>
    <row r="485" spans="1:5" x14ac:dyDescent="0.25">
      <c r="A485" s="119" t="s">
        <v>560</v>
      </c>
      <c r="B485" s="119" t="s">
        <v>561</v>
      </c>
      <c r="C485" s="119" t="s">
        <v>66</v>
      </c>
      <c r="D485" t="s">
        <v>6759</v>
      </c>
      <c r="E485" s="117">
        <v>674.1</v>
      </c>
    </row>
    <row r="486" spans="1:5" x14ac:dyDescent="0.25">
      <c r="A486" s="119" t="s">
        <v>562</v>
      </c>
      <c r="B486" s="119" t="s">
        <v>8525</v>
      </c>
      <c r="C486" s="119" t="s">
        <v>66</v>
      </c>
      <c r="D486" t="s">
        <v>6759</v>
      </c>
      <c r="E486" s="117">
        <v>45</v>
      </c>
    </row>
    <row r="487" spans="1:5" x14ac:dyDescent="0.25">
      <c r="A487" s="119" t="s">
        <v>563</v>
      </c>
      <c r="B487" s="119" t="s">
        <v>8526</v>
      </c>
      <c r="C487" s="119" t="s">
        <v>66</v>
      </c>
      <c r="D487" t="s">
        <v>6759</v>
      </c>
      <c r="E487" s="117">
        <v>49</v>
      </c>
    </row>
    <row r="488" spans="1:5" x14ac:dyDescent="0.25">
      <c r="A488" s="119" t="s">
        <v>564</v>
      </c>
      <c r="B488" s="119" t="s">
        <v>8527</v>
      </c>
      <c r="C488" s="119" t="s">
        <v>66</v>
      </c>
      <c r="D488" t="s">
        <v>6759</v>
      </c>
      <c r="E488" s="117">
        <v>56.97</v>
      </c>
    </row>
    <row r="489" spans="1:5" x14ac:dyDescent="0.25">
      <c r="A489" s="119" t="s">
        <v>565</v>
      </c>
      <c r="B489" s="119" t="s">
        <v>8528</v>
      </c>
      <c r="C489" s="119" t="s">
        <v>66</v>
      </c>
      <c r="D489" t="s">
        <v>6759</v>
      </c>
      <c r="E489" s="117">
        <v>90</v>
      </c>
    </row>
    <row r="490" spans="1:5" x14ac:dyDescent="0.25">
      <c r="A490" s="119" t="s">
        <v>566</v>
      </c>
      <c r="B490" s="119" t="s">
        <v>567</v>
      </c>
      <c r="C490" s="119" t="s">
        <v>66</v>
      </c>
      <c r="D490" t="s">
        <v>6759</v>
      </c>
      <c r="E490" s="117">
        <v>2762.37</v>
      </c>
    </row>
    <row r="491" spans="1:5" x14ac:dyDescent="0.25">
      <c r="A491" s="119" t="s">
        <v>568</v>
      </c>
      <c r="B491" s="119" t="s">
        <v>8529</v>
      </c>
      <c r="C491" s="119" t="s">
        <v>66</v>
      </c>
      <c r="D491" t="s">
        <v>45</v>
      </c>
      <c r="E491" s="117">
        <v>213.5</v>
      </c>
    </row>
    <row r="492" spans="1:5" x14ac:dyDescent="0.25">
      <c r="A492" s="119" t="s">
        <v>569</v>
      </c>
      <c r="B492" s="119" t="s">
        <v>8530</v>
      </c>
      <c r="C492" s="119" t="s">
        <v>66</v>
      </c>
      <c r="D492" t="s">
        <v>6759</v>
      </c>
      <c r="E492" s="117">
        <v>114.84</v>
      </c>
    </row>
    <row r="493" spans="1:5" x14ac:dyDescent="0.25">
      <c r="A493" s="119" t="s">
        <v>570</v>
      </c>
      <c r="B493" s="119" t="s">
        <v>8531</v>
      </c>
      <c r="C493" s="119" t="s">
        <v>66</v>
      </c>
      <c r="D493" t="s">
        <v>6759</v>
      </c>
      <c r="E493" s="117">
        <v>2934.28</v>
      </c>
    </row>
    <row r="494" spans="1:5" x14ac:dyDescent="0.25">
      <c r="A494" s="119" t="s">
        <v>571</v>
      </c>
      <c r="B494" s="119" t="s">
        <v>8532</v>
      </c>
      <c r="C494" s="119" t="s">
        <v>66</v>
      </c>
      <c r="D494" t="s">
        <v>6759</v>
      </c>
      <c r="E494" s="117">
        <v>2664.94</v>
      </c>
    </row>
    <row r="495" spans="1:5" x14ac:dyDescent="0.25">
      <c r="A495" s="119" t="s">
        <v>572</v>
      </c>
      <c r="B495" s="119" t="s">
        <v>573</v>
      </c>
      <c r="C495" s="119" t="s">
        <v>66</v>
      </c>
      <c r="D495" t="s">
        <v>45</v>
      </c>
      <c r="E495" s="117">
        <v>294.70999999999998</v>
      </c>
    </row>
    <row r="496" spans="1:5" x14ac:dyDescent="0.25">
      <c r="A496" s="119" t="s">
        <v>574</v>
      </c>
      <c r="B496" s="119" t="s">
        <v>575</v>
      </c>
      <c r="C496" s="119" t="s">
        <v>66</v>
      </c>
      <c r="D496" t="s">
        <v>45</v>
      </c>
      <c r="E496" s="117">
        <v>0</v>
      </c>
    </row>
    <row r="497" spans="1:5" x14ac:dyDescent="0.25">
      <c r="A497" s="119" t="s">
        <v>576</v>
      </c>
      <c r="B497" s="119" t="s">
        <v>8533</v>
      </c>
      <c r="C497" s="119" t="s">
        <v>66</v>
      </c>
      <c r="D497" t="s">
        <v>6759</v>
      </c>
      <c r="E497" s="117">
        <v>114.45</v>
      </c>
    </row>
    <row r="498" spans="1:5" x14ac:dyDescent="0.25">
      <c r="A498" s="119" t="s">
        <v>577</v>
      </c>
      <c r="B498" s="119" t="s">
        <v>8534</v>
      </c>
      <c r="C498" s="119" t="s">
        <v>66</v>
      </c>
      <c r="D498" t="s">
        <v>6759</v>
      </c>
      <c r="E498" s="117">
        <v>93.45</v>
      </c>
    </row>
    <row r="499" spans="1:5" x14ac:dyDescent="0.25">
      <c r="A499" s="119" t="s">
        <v>578</v>
      </c>
      <c r="B499" s="119" t="s">
        <v>8535</v>
      </c>
      <c r="C499" s="119" t="s">
        <v>66</v>
      </c>
      <c r="D499" t="s">
        <v>6759</v>
      </c>
      <c r="E499" s="117">
        <v>412.34</v>
      </c>
    </row>
    <row r="500" spans="1:5" x14ac:dyDescent="0.25">
      <c r="A500" s="119" t="s">
        <v>579</v>
      </c>
      <c r="B500" s="119" t="s">
        <v>580</v>
      </c>
      <c r="C500" s="119" t="s">
        <v>66</v>
      </c>
      <c r="D500" t="s">
        <v>6759</v>
      </c>
      <c r="E500" s="117">
        <v>410.08</v>
      </c>
    </row>
    <row r="501" spans="1:5" x14ac:dyDescent="0.25">
      <c r="A501" s="119" t="s">
        <v>581</v>
      </c>
      <c r="B501" s="119" t="s">
        <v>582</v>
      </c>
      <c r="C501" s="119" t="s">
        <v>66</v>
      </c>
      <c r="D501" t="s">
        <v>6759</v>
      </c>
      <c r="E501" s="117">
        <v>669.26</v>
      </c>
    </row>
    <row r="502" spans="1:5" x14ac:dyDescent="0.25">
      <c r="A502" s="119" t="s">
        <v>583</v>
      </c>
      <c r="B502" s="119" t="s">
        <v>8536</v>
      </c>
      <c r="C502" s="119" t="s">
        <v>66</v>
      </c>
      <c r="D502" t="s">
        <v>45</v>
      </c>
      <c r="E502" s="117">
        <v>265.14999999999998</v>
      </c>
    </row>
    <row r="503" spans="1:5" x14ac:dyDescent="0.25">
      <c r="A503" s="119" t="s">
        <v>584</v>
      </c>
      <c r="B503" s="119" t="s">
        <v>585</v>
      </c>
      <c r="C503" s="119" t="s">
        <v>66</v>
      </c>
      <c r="D503" t="s">
        <v>6759</v>
      </c>
      <c r="E503" s="117">
        <v>44.82</v>
      </c>
    </row>
    <row r="504" spans="1:5" x14ac:dyDescent="0.25">
      <c r="A504" s="119" t="s">
        <v>586</v>
      </c>
      <c r="B504" s="119" t="s">
        <v>587</v>
      </c>
      <c r="C504" s="119" t="s">
        <v>66</v>
      </c>
      <c r="D504" t="s">
        <v>6759</v>
      </c>
      <c r="E504" s="117">
        <v>56.63</v>
      </c>
    </row>
    <row r="505" spans="1:5" x14ac:dyDescent="0.25">
      <c r="A505" s="119" t="s">
        <v>588</v>
      </c>
      <c r="B505" s="119" t="s">
        <v>589</v>
      </c>
      <c r="C505" s="119" t="s">
        <v>66</v>
      </c>
      <c r="D505" t="s">
        <v>6759</v>
      </c>
      <c r="E505" s="117">
        <v>56.63</v>
      </c>
    </row>
    <row r="506" spans="1:5" x14ac:dyDescent="0.25">
      <c r="A506" s="119" t="s">
        <v>590</v>
      </c>
      <c r="B506" s="119" t="s">
        <v>8537</v>
      </c>
      <c r="C506" s="119" t="s">
        <v>66</v>
      </c>
      <c r="D506" t="s">
        <v>49</v>
      </c>
      <c r="E506" s="117">
        <v>157.5</v>
      </c>
    </row>
    <row r="507" spans="1:5" x14ac:dyDescent="0.25">
      <c r="A507" s="119" t="s">
        <v>591</v>
      </c>
      <c r="B507" s="119" t="s">
        <v>8538</v>
      </c>
      <c r="C507" s="119" t="s">
        <v>66</v>
      </c>
      <c r="D507" t="s">
        <v>6759</v>
      </c>
      <c r="E507" s="117">
        <v>129</v>
      </c>
    </row>
    <row r="508" spans="1:5" x14ac:dyDescent="0.25">
      <c r="A508" s="119" t="s">
        <v>592</v>
      </c>
      <c r="B508" s="119" t="s">
        <v>8539</v>
      </c>
      <c r="C508" s="119" t="s">
        <v>66</v>
      </c>
      <c r="D508" t="s">
        <v>6759</v>
      </c>
      <c r="E508" s="117">
        <v>129</v>
      </c>
    </row>
    <row r="509" spans="1:5" x14ac:dyDescent="0.25">
      <c r="A509" s="119" t="s">
        <v>593</v>
      </c>
      <c r="B509" s="119" t="s">
        <v>8540</v>
      </c>
      <c r="C509" s="119" t="s">
        <v>66</v>
      </c>
      <c r="D509" t="s">
        <v>6759</v>
      </c>
      <c r="E509" s="117">
        <v>99</v>
      </c>
    </row>
    <row r="510" spans="1:5" x14ac:dyDescent="0.25">
      <c r="A510" s="119" t="s">
        <v>594</v>
      </c>
      <c r="B510" s="119" t="s">
        <v>8541</v>
      </c>
      <c r="C510" s="119" t="s">
        <v>66</v>
      </c>
      <c r="D510" t="s">
        <v>6759</v>
      </c>
      <c r="E510" s="117">
        <v>55</v>
      </c>
    </row>
    <row r="511" spans="1:5" x14ac:dyDescent="0.25">
      <c r="A511" s="119" t="s">
        <v>595</v>
      </c>
      <c r="B511" s="119" t="s">
        <v>8542</v>
      </c>
      <c r="C511" s="119" t="s">
        <v>66</v>
      </c>
      <c r="D511" t="s">
        <v>6759</v>
      </c>
      <c r="E511" s="117">
        <v>943.95</v>
      </c>
    </row>
    <row r="512" spans="1:5" x14ac:dyDescent="0.25">
      <c r="A512" s="119" t="s">
        <v>596</v>
      </c>
      <c r="B512" s="119" t="s">
        <v>597</v>
      </c>
      <c r="C512" s="119" t="s">
        <v>66</v>
      </c>
      <c r="D512" t="s">
        <v>45</v>
      </c>
      <c r="E512" s="117">
        <v>0</v>
      </c>
    </row>
    <row r="513" spans="1:5" x14ac:dyDescent="0.25">
      <c r="A513" s="119" t="s">
        <v>598</v>
      </c>
      <c r="B513" s="119" t="s">
        <v>8543</v>
      </c>
      <c r="C513" s="119" t="s">
        <v>66</v>
      </c>
      <c r="D513" t="s">
        <v>6759</v>
      </c>
      <c r="E513" s="117">
        <v>393.23</v>
      </c>
    </row>
    <row r="514" spans="1:5" x14ac:dyDescent="0.25">
      <c r="A514" s="119" t="s">
        <v>599</v>
      </c>
      <c r="B514" s="119" t="s">
        <v>8544</v>
      </c>
      <c r="C514" s="119" t="s">
        <v>66</v>
      </c>
      <c r="D514" t="s">
        <v>6759</v>
      </c>
      <c r="E514" s="117">
        <v>25</v>
      </c>
    </row>
    <row r="515" spans="1:5" x14ac:dyDescent="0.25">
      <c r="A515" s="119" t="s">
        <v>600</v>
      </c>
      <c r="B515" s="119" t="s">
        <v>8545</v>
      </c>
      <c r="C515" s="119" t="s">
        <v>66</v>
      </c>
      <c r="D515" t="s">
        <v>45</v>
      </c>
      <c r="E515" s="117">
        <v>1477.5</v>
      </c>
    </row>
    <row r="516" spans="1:5" x14ac:dyDescent="0.25">
      <c r="A516" s="119" t="s">
        <v>601</v>
      </c>
      <c r="B516" s="119" t="s">
        <v>8546</v>
      </c>
      <c r="C516" s="119" t="s">
        <v>66</v>
      </c>
      <c r="D516" t="s">
        <v>6759</v>
      </c>
      <c r="E516" s="117">
        <v>309</v>
      </c>
    </row>
    <row r="517" spans="1:5" x14ac:dyDescent="0.25">
      <c r="A517" s="119" t="s">
        <v>602</v>
      </c>
      <c r="B517" s="119" t="s">
        <v>8547</v>
      </c>
      <c r="C517" s="119" t="s">
        <v>66</v>
      </c>
      <c r="D517" t="s">
        <v>49</v>
      </c>
      <c r="E517" s="117">
        <v>380</v>
      </c>
    </row>
    <row r="518" spans="1:5" x14ac:dyDescent="0.25">
      <c r="A518" s="119" t="s">
        <v>603</v>
      </c>
      <c r="B518" s="119" t="s">
        <v>8548</v>
      </c>
      <c r="C518" s="119" t="s">
        <v>66</v>
      </c>
      <c r="D518" t="s">
        <v>49</v>
      </c>
      <c r="E518" s="117">
        <v>802.07</v>
      </c>
    </row>
    <row r="519" spans="1:5" x14ac:dyDescent="0.25">
      <c r="A519" s="119" t="s">
        <v>604</v>
      </c>
      <c r="B519" s="119" t="s">
        <v>605</v>
      </c>
      <c r="C519" s="119" t="s">
        <v>66</v>
      </c>
      <c r="D519" t="s">
        <v>45</v>
      </c>
      <c r="E519" s="117">
        <v>0</v>
      </c>
    </row>
    <row r="520" spans="1:5" x14ac:dyDescent="0.25">
      <c r="A520" s="119" t="s">
        <v>606</v>
      </c>
      <c r="B520" s="119" t="s">
        <v>8549</v>
      </c>
      <c r="C520" s="119" t="s">
        <v>66</v>
      </c>
      <c r="D520" t="s">
        <v>6759</v>
      </c>
      <c r="E520" s="117">
        <v>68.760000000000005</v>
      </c>
    </row>
    <row r="521" spans="1:5" x14ac:dyDescent="0.25">
      <c r="A521" s="119" t="s">
        <v>11651</v>
      </c>
      <c r="B521" s="119" t="s">
        <v>11652</v>
      </c>
      <c r="C521" s="119" t="s">
        <v>66</v>
      </c>
      <c r="D521" t="s">
        <v>49</v>
      </c>
      <c r="E521" s="117">
        <v>9999</v>
      </c>
    </row>
    <row r="522" spans="1:5" x14ac:dyDescent="0.25">
      <c r="A522" s="119" t="s">
        <v>6719</v>
      </c>
      <c r="B522" s="119" t="s">
        <v>8550</v>
      </c>
      <c r="C522" s="119" t="s">
        <v>66</v>
      </c>
      <c r="D522" t="s">
        <v>49</v>
      </c>
      <c r="E522" s="117">
        <v>120</v>
      </c>
    </row>
    <row r="523" spans="1:5" x14ac:dyDescent="0.25">
      <c r="A523" s="119" t="s">
        <v>11653</v>
      </c>
      <c r="B523" s="119" t="s">
        <v>11654</v>
      </c>
      <c r="C523" s="119" t="s">
        <v>66</v>
      </c>
      <c r="D523" t="s">
        <v>45</v>
      </c>
      <c r="E523" s="117">
        <v>9999</v>
      </c>
    </row>
    <row r="524" spans="1:5" x14ac:dyDescent="0.25">
      <c r="A524" s="119" t="s">
        <v>6720</v>
      </c>
      <c r="B524" s="119" t="s">
        <v>8551</v>
      </c>
      <c r="C524" s="119" t="s">
        <v>66</v>
      </c>
      <c r="D524" t="s">
        <v>49</v>
      </c>
      <c r="E524" s="117">
        <v>109</v>
      </c>
    </row>
    <row r="525" spans="1:5" x14ac:dyDescent="0.25">
      <c r="A525" s="119" t="s">
        <v>607</v>
      </c>
      <c r="B525" s="119" t="s">
        <v>8552</v>
      </c>
      <c r="C525" s="119" t="s">
        <v>66</v>
      </c>
      <c r="D525" t="s">
        <v>45</v>
      </c>
      <c r="E525" s="117">
        <v>3251.68</v>
      </c>
    </row>
    <row r="526" spans="1:5" x14ac:dyDescent="0.25">
      <c r="A526" s="119" t="s">
        <v>608</v>
      </c>
      <c r="B526" s="119" t="s">
        <v>8553</v>
      </c>
      <c r="C526" s="119" t="s">
        <v>66</v>
      </c>
      <c r="D526" t="s">
        <v>6759</v>
      </c>
      <c r="E526" s="117">
        <v>110.85</v>
      </c>
    </row>
    <row r="527" spans="1:5" x14ac:dyDescent="0.25">
      <c r="A527" s="119" t="s">
        <v>609</v>
      </c>
      <c r="B527" s="119" t="s">
        <v>8554</v>
      </c>
      <c r="C527" s="119" t="s">
        <v>66</v>
      </c>
      <c r="D527" t="s">
        <v>6759</v>
      </c>
      <c r="E527" s="117">
        <v>156.06</v>
      </c>
    </row>
    <row r="528" spans="1:5" x14ac:dyDescent="0.25">
      <c r="A528" s="119" t="s">
        <v>610</v>
      </c>
      <c r="B528" s="119" t="s">
        <v>8555</v>
      </c>
      <c r="C528" s="119" t="s">
        <v>66</v>
      </c>
      <c r="D528" t="s">
        <v>6759</v>
      </c>
      <c r="E528" s="117">
        <v>73.5</v>
      </c>
    </row>
    <row r="529" spans="1:5" x14ac:dyDescent="0.25">
      <c r="A529" s="119" t="s">
        <v>611</v>
      </c>
      <c r="B529" s="119" t="s">
        <v>8556</v>
      </c>
      <c r="C529" s="119" t="s">
        <v>66</v>
      </c>
      <c r="D529" t="s">
        <v>49</v>
      </c>
      <c r="E529" s="117">
        <v>84</v>
      </c>
    </row>
    <row r="530" spans="1:5" x14ac:dyDescent="0.25">
      <c r="A530" s="119" t="s">
        <v>612</v>
      </c>
      <c r="B530" s="119" t="s">
        <v>8557</v>
      </c>
      <c r="C530" s="119" t="s">
        <v>66</v>
      </c>
      <c r="D530" t="s">
        <v>6759</v>
      </c>
      <c r="E530" s="117">
        <v>120.75</v>
      </c>
    </row>
    <row r="531" spans="1:5" x14ac:dyDescent="0.25">
      <c r="A531" s="119" t="s">
        <v>613</v>
      </c>
      <c r="B531" s="119" t="s">
        <v>8558</v>
      </c>
      <c r="C531" s="119" t="s">
        <v>66</v>
      </c>
      <c r="D531" t="s">
        <v>49</v>
      </c>
      <c r="E531" s="117">
        <v>153.30000000000001</v>
      </c>
    </row>
    <row r="532" spans="1:5" x14ac:dyDescent="0.25">
      <c r="A532" s="119" t="s">
        <v>614</v>
      </c>
      <c r="B532" s="119" t="s">
        <v>615</v>
      </c>
      <c r="C532" s="119" t="s">
        <v>66</v>
      </c>
      <c r="D532" t="s">
        <v>45</v>
      </c>
      <c r="E532" s="117">
        <v>1477.5</v>
      </c>
    </row>
    <row r="533" spans="1:5" x14ac:dyDescent="0.25">
      <c r="A533" s="119" t="s">
        <v>616</v>
      </c>
      <c r="B533" s="119" t="s">
        <v>8559</v>
      </c>
      <c r="C533" s="119" t="s">
        <v>66</v>
      </c>
      <c r="D533" t="s">
        <v>45</v>
      </c>
      <c r="E533" s="117">
        <v>1684.49</v>
      </c>
    </row>
    <row r="534" spans="1:5" x14ac:dyDescent="0.25">
      <c r="A534" s="119" t="s">
        <v>617</v>
      </c>
      <c r="B534" s="119" t="s">
        <v>8560</v>
      </c>
      <c r="C534" s="119" t="s">
        <v>66</v>
      </c>
      <c r="D534" t="s">
        <v>6759</v>
      </c>
      <c r="E534" s="117">
        <v>34.32</v>
      </c>
    </row>
    <row r="535" spans="1:5" x14ac:dyDescent="0.25">
      <c r="A535" s="119" t="s">
        <v>618</v>
      </c>
      <c r="B535" s="119" t="s">
        <v>8561</v>
      </c>
      <c r="C535" s="119" t="s">
        <v>66</v>
      </c>
      <c r="D535" t="s">
        <v>49</v>
      </c>
      <c r="E535" s="117">
        <v>108.1</v>
      </c>
    </row>
    <row r="536" spans="1:5" x14ac:dyDescent="0.25">
      <c r="A536" s="119" t="s">
        <v>8102</v>
      </c>
      <c r="B536" s="119" t="s">
        <v>11790</v>
      </c>
      <c r="C536" s="119" t="s">
        <v>66</v>
      </c>
      <c r="D536" t="s">
        <v>51</v>
      </c>
      <c r="E536" s="117">
        <v>221.49</v>
      </c>
    </row>
    <row r="537" spans="1:5" x14ac:dyDescent="0.25">
      <c r="A537" s="119" t="s">
        <v>8103</v>
      </c>
      <c r="B537" s="119" t="s">
        <v>11791</v>
      </c>
      <c r="C537" s="119" t="s">
        <v>66</v>
      </c>
      <c r="D537" t="s">
        <v>51</v>
      </c>
      <c r="E537" s="117">
        <v>219.36</v>
      </c>
    </row>
    <row r="538" spans="1:5" x14ac:dyDescent="0.25">
      <c r="A538" s="119" t="s">
        <v>619</v>
      </c>
      <c r="B538" s="119" t="s">
        <v>620</v>
      </c>
      <c r="C538" s="119" t="s">
        <v>66</v>
      </c>
      <c r="D538" t="s">
        <v>6759</v>
      </c>
      <c r="E538" s="117">
        <v>560</v>
      </c>
    </row>
    <row r="539" spans="1:5" x14ac:dyDescent="0.25">
      <c r="A539" s="119" t="s">
        <v>621</v>
      </c>
      <c r="B539" s="119" t="s">
        <v>8562</v>
      </c>
      <c r="C539" s="119" t="s">
        <v>66</v>
      </c>
      <c r="D539" t="s">
        <v>49</v>
      </c>
      <c r="E539" s="117">
        <v>107.44</v>
      </c>
    </row>
    <row r="540" spans="1:5" x14ac:dyDescent="0.25">
      <c r="A540" s="119" t="s">
        <v>622</v>
      </c>
      <c r="B540" s="119" t="s">
        <v>7873</v>
      </c>
      <c r="C540" s="119" t="s">
        <v>66</v>
      </c>
      <c r="D540" t="s">
        <v>6759</v>
      </c>
      <c r="E540" s="117">
        <v>112.55</v>
      </c>
    </row>
    <row r="541" spans="1:5" x14ac:dyDescent="0.25">
      <c r="A541" s="119" t="s">
        <v>623</v>
      </c>
      <c r="B541" s="119" t="s">
        <v>624</v>
      </c>
      <c r="C541" s="119" t="s">
        <v>66</v>
      </c>
      <c r="D541" t="s">
        <v>49</v>
      </c>
      <c r="E541" s="117">
        <v>220.5</v>
      </c>
    </row>
    <row r="542" spans="1:5" x14ac:dyDescent="0.25">
      <c r="A542" s="119" t="s">
        <v>625</v>
      </c>
      <c r="B542" s="119" t="s">
        <v>626</v>
      </c>
      <c r="C542" s="119" t="s">
        <v>66</v>
      </c>
      <c r="D542" t="s">
        <v>6759</v>
      </c>
      <c r="E542" s="117">
        <v>8.66</v>
      </c>
    </row>
    <row r="543" spans="1:5" x14ac:dyDescent="0.25">
      <c r="A543" s="119" t="s">
        <v>627</v>
      </c>
      <c r="B543" s="119" t="s">
        <v>628</v>
      </c>
      <c r="C543" s="119" t="s">
        <v>66</v>
      </c>
      <c r="D543" t="s">
        <v>6759</v>
      </c>
      <c r="E543" s="117">
        <v>8.5399999999999991</v>
      </c>
    </row>
    <row r="544" spans="1:5" x14ac:dyDescent="0.25">
      <c r="A544" s="119" t="s">
        <v>629</v>
      </c>
      <c r="B544" s="119" t="s">
        <v>630</v>
      </c>
      <c r="C544" s="119" t="s">
        <v>66</v>
      </c>
      <c r="D544" t="s">
        <v>6759</v>
      </c>
      <c r="E544" s="117">
        <v>8.5399999999999991</v>
      </c>
    </row>
    <row r="545" spans="1:5" x14ac:dyDescent="0.25">
      <c r="A545" s="119" t="s">
        <v>631</v>
      </c>
      <c r="B545" s="119" t="s">
        <v>632</v>
      </c>
      <c r="C545" s="119" t="s">
        <v>66</v>
      </c>
      <c r="D545" t="s">
        <v>6759</v>
      </c>
      <c r="E545" s="117">
        <v>10.92</v>
      </c>
    </row>
    <row r="546" spans="1:5" x14ac:dyDescent="0.25">
      <c r="A546" s="119" t="s">
        <v>633</v>
      </c>
      <c r="B546" s="119" t="s">
        <v>634</v>
      </c>
      <c r="C546" s="119" t="s">
        <v>66</v>
      </c>
      <c r="D546" t="s">
        <v>6759</v>
      </c>
      <c r="E546" s="117">
        <v>19.34</v>
      </c>
    </row>
    <row r="547" spans="1:5" x14ac:dyDescent="0.25">
      <c r="A547" s="119" t="s">
        <v>635</v>
      </c>
      <c r="B547" s="119" t="s">
        <v>636</v>
      </c>
      <c r="C547" s="119" t="s">
        <v>66</v>
      </c>
      <c r="D547" t="s">
        <v>6759</v>
      </c>
      <c r="E547" s="117">
        <v>54.62</v>
      </c>
    </row>
    <row r="548" spans="1:5" x14ac:dyDescent="0.25">
      <c r="A548" s="119" t="s">
        <v>637</v>
      </c>
      <c r="B548" s="119" t="s">
        <v>638</v>
      </c>
      <c r="C548" s="119" t="s">
        <v>66</v>
      </c>
      <c r="D548" t="s">
        <v>6759</v>
      </c>
      <c r="E548" s="117">
        <v>9.9</v>
      </c>
    </row>
    <row r="549" spans="1:5" x14ac:dyDescent="0.25">
      <c r="A549" s="119" t="s">
        <v>639</v>
      </c>
      <c r="B549" s="119" t="s">
        <v>640</v>
      </c>
      <c r="C549" s="119" t="s">
        <v>66</v>
      </c>
      <c r="D549" t="s">
        <v>6759</v>
      </c>
      <c r="E549" s="117">
        <v>472.5</v>
      </c>
    </row>
    <row r="550" spans="1:5" x14ac:dyDescent="0.25">
      <c r="A550" s="119" t="s">
        <v>8104</v>
      </c>
      <c r="B550" s="119" t="s">
        <v>11792</v>
      </c>
      <c r="C550" s="119" t="s">
        <v>66</v>
      </c>
      <c r="D550" t="s">
        <v>51</v>
      </c>
      <c r="E550" s="117">
        <v>201.53</v>
      </c>
    </row>
    <row r="551" spans="1:5" x14ac:dyDescent="0.25">
      <c r="A551" s="119" t="s">
        <v>641</v>
      </c>
      <c r="B551" s="119" t="s">
        <v>642</v>
      </c>
      <c r="C551" s="119" t="s">
        <v>66</v>
      </c>
      <c r="D551" t="s">
        <v>6759</v>
      </c>
      <c r="E551" s="117">
        <v>35.78</v>
      </c>
    </row>
    <row r="552" spans="1:5" x14ac:dyDescent="0.25">
      <c r="A552" s="119" t="s">
        <v>643</v>
      </c>
      <c r="B552" s="119" t="s">
        <v>644</v>
      </c>
      <c r="C552" s="119" t="s">
        <v>66</v>
      </c>
      <c r="D552" t="s">
        <v>6760</v>
      </c>
      <c r="E552" s="117">
        <v>233.74</v>
      </c>
    </row>
    <row r="553" spans="1:5" x14ac:dyDescent="0.25">
      <c r="A553" s="119" t="s">
        <v>645</v>
      </c>
      <c r="B553" s="119" t="s">
        <v>646</v>
      </c>
      <c r="C553" s="119" t="s">
        <v>66</v>
      </c>
      <c r="D553" t="s">
        <v>6759</v>
      </c>
      <c r="E553" s="117">
        <v>32.549999999999997</v>
      </c>
    </row>
    <row r="554" spans="1:5" x14ac:dyDescent="0.25">
      <c r="A554" s="119" t="s">
        <v>647</v>
      </c>
      <c r="B554" s="119" t="s">
        <v>648</v>
      </c>
      <c r="C554" s="119" t="s">
        <v>66</v>
      </c>
      <c r="D554" t="s">
        <v>6759</v>
      </c>
      <c r="E554" s="117">
        <v>27.3</v>
      </c>
    </row>
    <row r="555" spans="1:5" x14ac:dyDescent="0.25">
      <c r="A555" s="119" t="s">
        <v>649</v>
      </c>
      <c r="B555" s="119" t="s">
        <v>650</v>
      </c>
      <c r="C555" s="119" t="s">
        <v>66</v>
      </c>
      <c r="D555" t="s">
        <v>6759</v>
      </c>
      <c r="E555" s="117">
        <v>23.1</v>
      </c>
    </row>
    <row r="556" spans="1:5" x14ac:dyDescent="0.25">
      <c r="A556" s="119" t="s">
        <v>651</v>
      </c>
      <c r="B556" s="119" t="s">
        <v>652</v>
      </c>
      <c r="C556" s="119" t="s">
        <v>66</v>
      </c>
      <c r="D556" t="s">
        <v>6759</v>
      </c>
      <c r="E556" s="117">
        <v>21</v>
      </c>
    </row>
    <row r="557" spans="1:5" x14ac:dyDescent="0.25">
      <c r="A557" s="119" t="s">
        <v>653</v>
      </c>
      <c r="B557" s="119" t="s">
        <v>8563</v>
      </c>
      <c r="C557" s="119" t="s">
        <v>66</v>
      </c>
      <c r="D557" t="s">
        <v>6759</v>
      </c>
      <c r="E557" s="117">
        <v>55</v>
      </c>
    </row>
    <row r="558" spans="1:5" x14ac:dyDescent="0.25">
      <c r="A558" s="119" t="s">
        <v>654</v>
      </c>
      <c r="B558" s="119" t="s">
        <v>8564</v>
      </c>
      <c r="C558" s="119" t="s">
        <v>66</v>
      </c>
      <c r="D558" t="s">
        <v>49</v>
      </c>
      <c r="E558" s="117">
        <v>150</v>
      </c>
    </row>
    <row r="559" spans="1:5" x14ac:dyDescent="0.25">
      <c r="A559" s="119" t="s">
        <v>655</v>
      </c>
      <c r="B559" s="119" t="s">
        <v>8565</v>
      </c>
      <c r="C559" s="119" t="s">
        <v>66</v>
      </c>
      <c r="D559" t="s">
        <v>6760</v>
      </c>
      <c r="E559" s="117">
        <v>4147.5</v>
      </c>
    </row>
    <row r="560" spans="1:5" x14ac:dyDescent="0.25">
      <c r="A560" s="119" t="s">
        <v>6745</v>
      </c>
      <c r="B560" s="119" t="s">
        <v>8566</v>
      </c>
      <c r="C560" s="119" t="s">
        <v>66</v>
      </c>
      <c r="D560" t="s">
        <v>45</v>
      </c>
      <c r="E560" s="117">
        <v>80</v>
      </c>
    </row>
    <row r="561" spans="1:5" x14ac:dyDescent="0.25">
      <c r="A561" s="119" t="s">
        <v>656</v>
      </c>
      <c r="B561" s="119" t="s">
        <v>8567</v>
      </c>
      <c r="C561" s="119" t="s">
        <v>66</v>
      </c>
      <c r="D561" t="s">
        <v>45</v>
      </c>
      <c r="E561" s="117">
        <v>34.65</v>
      </c>
    </row>
    <row r="562" spans="1:5" x14ac:dyDescent="0.25">
      <c r="A562" s="119" t="s">
        <v>657</v>
      </c>
      <c r="B562" s="119" t="s">
        <v>658</v>
      </c>
      <c r="C562" s="119" t="s">
        <v>66</v>
      </c>
      <c r="D562" t="s">
        <v>6759</v>
      </c>
      <c r="E562" s="117">
        <v>20.059999999999999</v>
      </c>
    </row>
    <row r="563" spans="1:5" x14ac:dyDescent="0.25">
      <c r="A563" s="119" t="s">
        <v>659</v>
      </c>
      <c r="B563" s="119" t="s">
        <v>660</v>
      </c>
      <c r="C563" s="119" t="s">
        <v>66</v>
      </c>
      <c r="D563" t="s">
        <v>6759</v>
      </c>
      <c r="E563" s="117">
        <v>8.99</v>
      </c>
    </row>
    <row r="564" spans="1:5" x14ac:dyDescent="0.25">
      <c r="A564" s="119" t="s">
        <v>661</v>
      </c>
      <c r="B564" s="119" t="s">
        <v>8568</v>
      </c>
      <c r="C564" s="119" t="s">
        <v>66</v>
      </c>
      <c r="D564" t="s">
        <v>45</v>
      </c>
      <c r="E564" s="117">
        <v>30.45</v>
      </c>
    </row>
    <row r="565" spans="1:5" x14ac:dyDescent="0.25">
      <c r="A565" s="119" t="s">
        <v>662</v>
      </c>
      <c r="B565" s="119" t="s">
        <v>8569</v>
      </c>
      <c r="C565" s="119" t="s">
        <v>66</v>
      </c>
      <c r="D565" t="s">
        <v>45</v>
      </c>
      <c r="E565" s="117">
        <v>121.28</v>
      </c>
    </row>
    <row r="566" spans="1:5" x14ac:dyDescent="0.25">
      <c r="A566" s="119" t="s">
        <v>663</v>
      </c>
      <c r="B566" s="119" t="s">
        <v>664</v>
      </c>
      <c r="C566" s="119" t="s">
        <v>66</v>
      </c>
      <c r="D566" t="s">
        <v>6759</v>
      </c>
      <c r="E566" s="117">
        <v>197.7</v>
      </c>
    </row>
    <row r="567" spans="1:5" x14ac:dyDescent="0.25">
      <c r="A567" s="119" t="s">
        <v>665</v>
      </c>
      <c r="B567" s="119" t="s">
        <v>666</v>
      </c>
      <c r="C567" s="119" t="s">
        <v>66</v>
      </c>
      <c r="D567" t="s">
        <v>6759</v>
      </c>
      <c r="E567" s="117">
        <v>65.709999999999994</v>
      </c>
    </row>
    <row r="568" spans="1:5" x14ac:dyDescent="0.25">
      <c r="A568" s="119" t="s">
        <v>667</v>
      </c>
      <c r="B568" s="119" t="s">
        <v>8570</v>
      </c>
      <c r="C568" s="119" t="s">
        <v>66</v>
      </c>
      <c r="D568" t="s">
        <v>45</v>
      </c>
      <c r="E568" s="117">
        <v>0</v>
      </c>
    </row>
    <row r="569" spans="1:5" x14ac:dyDescent="0.25">
      <c r="A569" s="119" t="s">
        <v>668</v>
      </c>
      <c r="B569" s="119" t="s">
        <v>669</v>
      </c>
      <c r="C569" s="119" t="s">
        <v>66</v>
      </c>
      <c r="D569" t="s">
        <v>6759</v>
      </c>
      <c r="E569" s="117">
        <v>63.83</v>
      </c>
    </row>
    <row r="570" spans="1:5" x14ac:dyDescent="0.25">
      <c r="A570" s="119" t="s">
        <v>670</v>
      </c>
      <c r="B570" s="119" t="s">
        <v>671</v>
      </c>
      <c r="C570" s="119" t="s">
        <v>66</v>
      </c>
      <c r="D570" t="s">
        <v>49</v>
      </c>
      <c r="E570" s="117">
        <v>28.09</v>
      </c>
    </row>
    <row r="571" spans="1:5" x14ac:dyDescent="0.25">
      <c r="A571" s="119" t="s">
        <v>672</v>
      </c>
      <c r="B571" s="119" t="s">
        <v>8571</v>
      </c>
      <c r="C571" s="119" t="s">
        <v>66</v>
      </c>
      <c r="D571" t="s">
        <v>49</v>
      </c>
      <c r="E571" s="117">
        <v>89.9</v>
      </c>
    </row>
    <row r="572" spans="1:5" x14ac:dyDescent="0.25">
      <c r="A572" s="119" t="s">
        <v>673</v>
      </c>
      <c r="B572" s="119" t="s">
        <v>674</v>
      </c>
      <c r="C572" s="119" t="s">
        <v>66</v>
      </c>
      <c r="D572" t="s">
        <v>6759</v>
      </c>
      <c r="E572" s="117">
        <v>1531.01</v>
      </c>
    </row>
    <row r="573" spans="1:5" x14ac:dyDescent="0.25">
      <c r="A573" s="119" t="s">
        <v>675</v>
      </c>
      <c r="B573" s="119" t="s">
        <v>676</v>
      </c>
      <c r="C573" s="119" t="s">
        <v>66</v>
      </c>
      <c r="D573" t="s">
        <v>6759</v>
      </c>
      <c r="E573" s="117">
        <v>1530.98</v>
      </c>
    </row>
    <row r="574" spans="1:5" x14ac:dyDescent="0.25">
      <c r="A574" s="119" t="s">
        <v>677</v>
      </c>
      <c r="B574" s="119" t="s">
        <v>678</v>
      </c>
      <c r="C574" s="119" t="s">
        <v>66</v>
      </c>
      <c r="D574" t="s">
        <v>45</v>
      </c>
      <c r="E574" s="117">
        <v>18.059999999999999</v>
      </c>
    </row>
    <row r="575" spans="1:5" x14ac:dyDescent="0.25">
      <c r="A575" s="119" t="s">
        <v>679</v>
      </c>
      <c r="B575" s="119" t="s">
        <v>680</v>
      </c>
      <c r="C575" s="119" t="s">
        <v>66</v>
      </c>
      <c r="D575" t="s">
        <v>6759</v>
      </c>
      <c r="E575" s="117">
        <v>373.57</v>
      </c>
    </row>
    <row r="576" spans="1:5" x14ac:dyDescent="0.25">
      <c r="A576" s="119" t="s">
        <v>681</v>
      </c>
      <c r="B576" s="119" t="s">
        <v>682</v>
      </c>
      <c r="C576" s="119" t="s">
        <v>66</v>
      </c>
      <c r="D576" t="s">
        <v>6759</v>
      </c>
      <c r="E576" s="117">
        <v>14.9</v>
      </c>
    </row>
    <row r="577" spans="1:5" x14ac:dyDescent="0.25">
      <c r="A577" s="119" t="s">
        <v>683</v>
      </c>
      <c r="B577" s="119" t="s">
        <v>11793</v>
      </c>
      <c r="C577" s="119" t="s">
        <v>66</v>
      </c>
      <c r="D577" t="s">
        <v>6759</v>
      </c>
      <c r="E577" s="117">
        <v>197.13</v>
      </c>
    </row>
    <row r="578" spans="1:5" x14ac:dyDescent="0.25">
      <c r="A578" s="119" t="s">
        <v>684</v>
      </c>
      <c r="B578" s="119" t="s">
        <v>6389</v>
      </c>
      <c r="C578" s="119" t="s">
        <v>66</v>
      </c>
      <c r="D578" t="s">
        <v>6759</v>
      </c>
      <c r="E578" s="117">
        <v>101.12</v>
      </c>
    </row>
    <row r="579" spans="1:5" x14ac:dyDescent="0.25">
      <c r="A579" s="119" t="s">
        <v>685</v>
      </c>
      <c r="B579" s="119" t="s">
        <v>686</v>
      </c>
      <c r="C579" s="119" t="s">
        <v>66</v>
      </c>
      <c r="D579" t="s">
        <v>6759</v>
      </c>
      <c r="E579" s="117">
        <v>32.76</v>
      </c>
    </row>
    <row r="580" spans="1:5" x14ac:dyDescent="0.25">
      <c r="A580" s="119" t="s">
        <v>687</v>
      </c>
      <c r="B580" s="119" t="s">
        <v>688</v>
      </c>
      <c r="C580" s="119" t="s">
        <v>66</v>
      </c>
      <c r="D580" t="s">
        <v>49</v>
      </c>
      <c r="E580" s="117">
        <v>27.2</v>
      </c>
    </row>
    <row r="581" spans="1:5" x14ac:dyDescent="0.25">
      <c r="A581" s="119" t="s">
        <v>689</v>
      </c>
      <c r="B581" s="119" t="s">
        <v>690</v>
      </c>
      <c r="C581" s="119" t="s">
        <v>66</v>
      </c>
      <c r="D581" t="s">
        <v>6759</v>
      </c>
      <c r="E581" s="117">
        <v>500.78</v>
      </c>
    </row>
    <row r="582" spans="1:5" x14ac:dyDescent="0.25">
      <c r="A582" s="119" t="s">
        <v>691</v>
      </c>
      <c r="B582" s="119" t="s">
        <v>692</v>
      </c>
      <c r="C582" s="119" t="s">
        <v>66</v>
      </c>
      <c r="D582" t="s">
        <v>49</v>
      </c>
      <c r="E582" s="117">
        <v>44.94</v>
      </c>
    </row>
    <row r="583" spans="1:5" x14ac:dyDescent="0.25">
      <c r="A583" s="119" t="s">
        <v>693</v>
      </c>
      <c r="B583" s="119" t="s">
        <v>694</v>
      </c>
      <c r="C583" s="119" t="s">
        <v>66</v>
      </c>
      <c r="D583" t="s">
        <v>6759</v>
      </c>
      <c r="E583" s="117">
        <v>95.55</v>
      </c>
    </row>
    <row r="584" spans="1:5" x14ac:dyDescent="0.25">
      <c r="A584" s="119" t="s">
        <v>695</v>
      </c>
      <c r="B584" s="119" t="s">
        <v>696</v>
      </c>
      <c r="C584" s="119" t="s">
        <v>66</v>
      </c>
      <c r="D584" t="s">
        <v>6759</v>
      </c>
      <c r="E584" s="117">
        <v>212.42</v>
      </c>
    </row>
    <row r="585" spans="1:5" x14ac:dyDescent="0.25">
      <c r="A585" s="119" t="s">
        <v>697</v>
      </c>
      <c r="B585" s="119" t="s">
        <v>8572</v>
      </c>
      <c r="C585" s="119" t="s">
        <v>66</v>
      </c>
      <c r="D585" t="s">
        <v>6759</v>
      </c>
      <c r="E585" s="117">
        <v>817.11</v>
      </c>
    </row>
    <row r="586" spans="1:5" x14ac:dyDescent="0.25">
      <c r="A586" s="119" t="s">
        <v>698</v>
      </c>
      <c r="B586" s="119" t="s">
        <v>8573</v>
      </c>
      <c r="C586" s="119" t="s">
        <v>66</v>
      </c>
      <c r="D586" t="s">
        <v>6759</v>
      </c>
      <c r="E586" s="117">
        <v>836.83</v>
      </c>
    </row>
    <row r="587" spans="1:5" x14ac:dyDescent="0.25">
      <c r="A587" s="119" t="s">
        <v>699</v>
      </c>
      <c r="B587" s="119" t="s">
        <v>8574</v>
      </c>
      <c r="C587" s="119" t="s">
        <v>66</v>
      </c>
      <c r="D587" t="s">
        <v>49</v>
      </c>
      <c r="E587" s="117">
        <v>588.09</v>
      </c>
    </row>
    <row r="588" spans="1:5" x14ac:dyDescent="0.25">
      <c r="A588" s="119" t="s">
        <v>700</v>
      </c>
      <c r="B588" s="119" t="s">
        <v>701</v>
      </c>
      <c r="C588" s="119" t="s">
        <v>66</v>
      </c>
      <c r="D588" t="s">
        <v>49</v>
      </c>
      <c r="E588" s="117">
        <v>127.16</v>
      </c>
    </row>
    <row r="589" spans="1:5" x14ac:dyDescent="0.25">
      <c r="A589" s="119" t="s">
        <v>702</v>
      </c>
      <c r="B589" s="119" t="s">
        <v>703</v>
      </c>
      <c r="C589" s="119" t="s">
        <v>66</v>
      </c>
      <c r="D589" t="s">
        <v>6759</v>
      </c>
      <c r="E589" s="117">
        <v>11.34</v>
      </c>
    </row>
    <row r="590" spans="1:5" x14ac:dyDescent="0.25">
      <c r="A590" s="119" t="s">
        <v>704</v>
      </c>
      <c r="B590" s="119" t="s">
        <v>8575</v>
      </c>
      <c r="C590" s="119" t="s">
        <v>66</v>
      </c>
      <c r="D590" t="s">
        <v>6759</v>
      </c>
      <c r="E590" s="117">
        <v>275</v>
      </c>
    </row>
    <row r="591" spans="1:5" x14ac:dyDescent="0.25">
      <c r="A591" s="119" t="s">
        <v>705</v>
      </c>
      <c r="B591" s="119" t="s">
        <v>6390</v>
      </c>
      <c r="C591" s="119" t="s">
        <v>66</v>
      </c>
      <c r="D591" t="s">
        <v>6759</v>
      </c>
      <c r="E591" s="117">
        <v>503.72</v>
      </c>
    </row>
    <row r="592" spans="1:5" x14ac:dyDescent="0.25">
      <c r="A592" s="119" t="s">
        <v>706</v>
      </c>
      <c r="B592" s="119" t="s">
        <v>707</v>
      </c>
      <c r="C592" s="119" t="s">
        <v>66</v>
      </c>
      <c r="D592" t="s">
        <v>51</v>
      </c>
      <c r="E592" s="117">
        <v>60.38</v>
      </c>
    </row>
    <row r="593" spans="1:5" x14ac:dyDescent="0.25">
      <c r="A593" s="119" t="s">
        <v>708</v>
      </c>
      <c r="B593" s="119" t="s">
        <v>8576</v>
      </c>
      <c r="C593" s="119" t="s">
        <v>66</v>
      </c>
      <c r="D593" t="s">
        <v>6759</v>
      </c>
      <c r="E593" s="117">
        <v>931.35</v>
      </c>
    </row>
    <row r="594" spans="1:5" x14ac:dyDescent="0.25">
      <c r="A594" s="119" t="s">
        <v>709</v>
      </c>
      <c r="B594" s="119" t="s">
        <v>8577</v>
      </c>
      <c r="C594" s="119" t="s">
        <v>66</v>
      </c>
      <c r="D594" t="s">
        <v>49</v>
      </c>
      <c r="E594" s="117">
        <v>300.51</v>
      </c>
    </row>
    <row r="595" spans="1:5" x14ac:dyDescent="0.25">
      <c r="A595" s="119" t="s">
        <v>710</v>
      </c>
      <c r="B595" s="119" t="s">
        <v>711</v>
      </c>
      <c r="C595" s="119" t="s">
        <v>66</v>
      </c>
      <c r="D595" t="s">
        <v>49</v>
      </c>
      <c r="E595" s="117">
        <v>147.53</v>
      </c>
    </row>
    <row r="596" spans="1:5" x14ac:dyDescent="0.25">
      <c r="A596" s="119" t="s">
        <v>712</v>
      </c>
      <c r="B596" s="119" t="s">
        <v>6391</v>
      </c>
      <c r="C596" s="119" t="s">
        <v>66</v>
      </c>
      <c r="D596" t="s">
        <v>6759</v>
      </c>
      <c r="E596" s="117">
        <v>483</v>
      </c>
    </row>
    <row r="597" spans="1:5" x14ac:dyDescent="0.25">
      <c r="A597" s="119" t="s">
        <v>713</v>
      </c>
      <c r="B597" s="119" t="s">
        <v>6392</v>
      </c>
      <c r="C597" s="119" t="s">
        <v>66</v>
      </c>
      <c r="D597" t="s">
        <v>49</v>
      </c>
      <c r="E597" s="117">
        <v>86.63</v>
      </c>
    </row>
    <row r="598" spans="1:5" x14ac:dyDescent="0.25">
      <c r="A598" s="119" t="s">
        <v>714</v>
      </c>
      <c r="B598" s="119" t="s">
        <v>715</v>
      </c>
      <c r="C598" s="119" t="s">
        <v>66</v>
      </c>
      <c r="D598" t="s">
        <v>45</v>
      </c>
      <c r="E598" s="117">
        <v>279.93</v>
      </c>
    </row>
    <row r="599" spans="1:5" x14ac:dyDescent="0.25">
      <c r="A599" s="119" t="s">
        <v>716</v>
      </c>
      <c r="B599" s="119" t="s">
        <v>11794</v>
      </c>
      <c r="C599" s="119" t="s">
        <v>66</v>
      </c>
      <c r="D599" t="s">
        <v>6759</v>
      </c>
      <c r="E599" s="117">
        <v>239.37</v>
      </c>
    </row>
    <row r="600" spans="1:5" x14ac:dyDescent="0.25">
      <c r="A600" s="119" t="s">
        <v>717</v>
      </c>
      <c r="B600" s="119" t="s">
        <v>718</v>
      </c>
      <c r="C600" s="119" t="s">
        <v>66</v>
      </c>
      <c r="D600" t="s">
        <v>6759</v>
      </c>
      <c r="E600" s="117">
        <v>71.849999999999994</v>
      </c>
    </row>
    <row r="601" spans="1:5" x14ac:dyDescent="0.25">
      <c r="A601" s="119" t="s">
        <v>719</v>
      </c>
      <c r="B601" s="119" t="s">
        <v>720</v>
      </c>
      <c r="C601" s="119" t="s">
        <v>66</v>
      </c>
      <c r="D601" t="s">
        <v>45</v>
      </c>
      <c r="E601" s="117">
        <v>59.01</v>
      </c>
    </row>
    <row r="602" spans="1:5" x14ac:dyDescent="0.25">
      <c r="A602" s="119" t="s">
        <v>721</v>
      </c>
      <c r="B602" s="119" t="s">
        <v>722</v>
      </c>
      <c r="C602" s="119" t="s">
        <v>66</v>
      </c>
      <c r="D602" t="s">
        <v>6760</v>
      </c>
      <c r="E602" s="117">
        <v>11.24</v>
      </c>
    </row>
    <row r="603" spans="1:5" x14ac:dyDescent="0.25">
      <c r="A603" s="119" t="s">
        <v>723</v>
      </c>
      <c r="B603" s="119" t="s">
        <v>6393</v>
      </c>
      <c r="C603" s="119" t="s">
        <v>66</v>
      </c>
      <c r="D603" t="s">
        <v>6759</v>
      </c>
      <c r="E603" s="117">
        <v>630</v>
      </c>
    </row>
    <row r="604" spans="1:5" x14ac:dyDescent="0.25">
      <c r="A604" s="119" t="s">
        <v>724</v>
      </c>
      <c r="B604" s="119" t="s">
        <v>6394</v>
      </c>
      <c r="C604" s="119" t="s">
        <v>66</v>
      </c>
      <c r="D604" t="s">
        <v>6759</v>
      </c>
      <c r="E604" s="117">
        <v>891.84</v>
      </c>
    </row>
    <row r="605" spans="1:5" x14ac:dyDescent="0.25">
      <c r="A605" s="119" t="s">
        <v>725</v>
      </c>
      <c r="B605" s="119" t="s">
        <v>726</v>
      </c>
      <c r="C605" s="119" t="s">
        <v>66</v>
      </c>
      <c r="D605" t="s">
        <v>45</v>
      </c>
      <c r="E605" s="117">
        <v>876.33</v>
      </c>
    </row>
    <row r="606" spans="1:5" x14ac:dyDescent="0.25">
      <c r="A606" s="119" t="s">
        <v>727</v>
      </c>
      <c r="B606" s="119" t="s">
        <v>728</v>
      </c>
      <c r="C606" s="119" t="s">
        <v>66</v>
      </c>
      <c r="D606" t="s">
        <v>45</v>
      </c>
      <c r="E606" s="117">
        <v>342.4</v>
      </c>
    </row>
    <row r="607" spans="1:5" x14ac:dyDescent="0.25">
      <c r="A607" s="119" t="s">
        <v>729</v>
      </c>
      <c r="B607" s="119" t="s">
        <v>8195</v>
      </c>
      <c r="C607" s="119" t="s">
        <v>66</v>
      </c>
      <c r="D607" t="s">
        <v>45</v>
      </c>
      <c r="E607" s="117">
        <v>122.85</v>
      </c>
    </row>
    <row r="608" spans="1:5" x14ac:dyDescent="0.25">
      <c r="A608" s="119" t="s">
        <v>730</v>
      </c>
      <c r="B608" s="119" t="s">
        <v>8578</v>
      </c>
      <c r="C608" s="119" t="s">
        <v>66</v>
      </c>
      <c r="D608" t="s">
        <v>49</v>
      </c>
      <c r="E608" s="117">
        <v>136.5</v>
      </c>
    </row>
    <row r="609" spans="1:5" x14ac:dyDescent="0.25">
      <c r="A609" s="119" t="s">
        <v>731</v>
      </c>
      <c r="B609" s="119" t="s">
        <v>8579</v>
      </c>
      <c r="C609" s="119" t="s">
        <v>66</v>
      </c>
      <c r="D609" t="s">
        <v>49</v>
      </c>
      <c r="E609" s="117">
        <v>189</v>
      </c>
    </row>
    <row r="610" spans="1:5" x14ac:dyDescent="0.25">
      <c r="A610" s="119" t="s">
        <v>732</v>
      </c>
      <c r="B610" s="119" t="s">
        <v>8580</v>
      </c>
      <c r="C610" s="119" t="s">
        <v>66</v>
      </c>
      <c r="D610" t="s">
        <v>45</v>
      </c>
      <c r="E610" s="117">
        <v>385</v>
      </c>
    </row>
    <row r="611" spans="1:5" x14ac:dyDescent="0.25">
      <c r="A611" s="119" t="s">
        <v>733</v>
      </c>
      <c r="B611" s="119" t="s">
        <v>6322</v>
      </c>
      <c r="C611" s="119" t="s">
        <v>66</v>
      </c>
      <c r="D611" t="s">
        <v>49</v>
      </c>
      <c r="E611" s="117">
        <v>62.9</v>
      </c>
    </row>
    <row r="612" spans="1:5" x14ac:dyDescent="0.25">
      <c r="A612" s="119" t="s">
        <v>734</v>
      </c>
      <c r="B612" s="119" t="s">
        <v>8581</v>
      </c>
      <c r="C612" s="119" t="s">
        <v>66</v>
      </c>
      <c r="D612" t="s">
        <v>45</v>
      </c>
      <c r="E612" s="117">
        <v>0</v>
      </c>
    </row>
    <row r="613" spans="1:5" x14ac:dyDescent="0.25">
      <c r="A613" s="119" t="s">
        <v>735</v>
      </c>
      <c r="B613" s="119" t="s">
        <v>8582</v>
      </c>
      <c r="C613" s="119" t="s">
        <v>66</v>
      </c>
      <c r="D613" t="s">
        <v>6759</v>
      </c>
      <c r="E613" s="117">
        <v>29.11</v>
      </c>
    </row>
    <row r="614" spans="1:5" x14ac:dyDescent="0.25">
      <c r="A614" s="119" t="s">
        <v>736</v>
      </c>
      <c r="B614" s="119" t="s">
        <v>737</v>
      </c>
      <c r="C614" s="119" t="s">
        <v>66</v>
      </c>
      <c r="D614" t="s">
        <v>6759</v>
      </c>
      <c r="E614" s="117">
        <v>166.32</v>
      </c>
    </row>
    <row r="615" spans="1:5" x14ac:dyDescent="0.25">
      <c r="A615" s="119" t="s">
        <v>738</v>
      </c>
      <c r="B615" s="119" t="s">
        <v>8583</v>
      </c>
      <c r="C615" s="119" t="s">
        <v>66</v>
      </c>
      <c r="D615" t="s">
        <v>45</v>
      </c>
      <c r="E615" s="117">
        <v>0</v>
      </c>
    </row>
    <row r="616" spans="1:5" x14ac:dyDescent="0.25">
      <c r="A616" s="119" t="s">
        <v>739</v>
      </c>
      <c r="B616" s="119" t="s">
        <v>8584</v>
      </c>
      <c r="C616" s="119" t="s">
        <v>66</v>
      </c>
      <c r="D616" t="s">
        <v>45</v>
      </c>
      <c r="E616" s="117">
        <v>393.28</v>
      </c>
    </row>
    <row r="617" spans="1:5" x14ac:dyDescent="0.25">
      <c r="A617" s="119" t="s">
        <v>740</v>
      </c>
      <c r="B617" s="119" t="s">
        <v>741</v>
      </c>
      <c r="C617" s="119" t="s">
        <v>66</v>
      </c>
      <c r="D617" t="s">
        <v>6759</v>
      </c>
      <c r="E617" s="117">
        <v>6.79</v>
      </c>
    </row>
    <row r="618" spans="1:5" x14ac:dyDescent="0.25">
      <c r="A618" s="119" t="s">
        <v>742</v>
      </c>
      <c r="B618" s="119" t="s">
        <v>743</v>
      </c>
      <c r="C618" s="119" t="s">
        <v>66</v>
      </c>
      <c r="D618" t="s">
        <v>6759</v>
      </c>
      <c r="E618" s="117">
        <v>20.12</v>
      </c>
    </row>
    <row r="619" spans="1:5" x14ac:dyDescent="0.25">
      <c r="A619" s="119" t="s">
        <v>744</v>
      </c>
      <c r="B619" s="119" t="s">
        <v>745</v>
      </c>
      <c r="C619" s="119" t="s">
        <v>66</v>
      </c>
      <c r="D619" t="s">
        <v>51</v>
      </c>
      <c r="E619" s="117">
        <v>30.14</v>
      </c>
    </row>
    <row r="620" spans="1:5" x14ac:dyDescent="0.25">
      <c r="A620" s="119" t="s">
        <v>746</v>
      </c>
      <c r="B620" s="119" t="s">
        <v>747</v>
      </c>
      <c r="C620" s="119" t="s">
        <v>66</v>
      </c>
      <c r="D620" t="s">
        <v>51</v>
      </c>
      <c r="E620" s="117">
        <v>101.96</v>
      </c>
    </row>
    <row r="621" spans="1:5" x14ac:dyDescent="0.25">
      <c r="A621" s="119" t="s">
        <v>748</v>
      </c>
      <c r="B621" s="119" t="s">
        <v>8585</v>
      </c>
      <c r="C621" s="119" t="s">
        <v>66</v>
      </c>
      <c r="D621" t="s">
        <v>45</v>
      </c>
      <c r="E621" s="117">
        <v>1654.92</v>
      </c>
    </row>
    <row r="622" spans="1:5" x14ac:dyDescent="0.25">
      <c r="A622" s="119" t="s">
        <v>749</v>
      </c>
      <c r="B622" s="119" t="s">
        <v>750</v>
      </c>
      <c r="C622" s="119" t="s">
        <v>66</v>
      </c>
      <c r="D622" t="s">
        <v>49</v>
      </c>
      <c r="E622" s="117">
        <v>22.9</v>
      </c>
    </row>
    <row r="623" spans="1:5" x14ac:dyDescent="0.25">
      <c r="A623" s="119" t="s">
        <v>751</v>
      </c>
      <c r="B623" s="119" t="s">
        <v>752</v>
      </c>
      <c r="C623" s="119" t="s">
        <v>66</v>
      </c>
      <c r="D623" t="s">
        <v>45</v>
      </c>
      <c r="E623" s="117">
        <v>505.58</v>
      </c>
    </row>
    <row r="624" spans="1:5" x14ac:dyDescent="0.25">
      <c r="A624" s="119" t="s">
        <v>753</v>
      </c>
      <c r="B624" s="119" t="s">
        <v>754</v>
      </c>
      <c r="C624" s="119" t="s">
        <v>66</v>
      </c>
      <c r="D624" t="s">
        <v>6759</v>
      </c>
      <c r="E624" s="117">
        <v>53.92</v>
      </c>
    </row>
    <row r="625" spans="1:5" x14ac:dyDescent="0.25">
      <c r="A625" s="119" t="s">
        <v>755</v>
      </c>
      <c r="B625" s="119" t="s">
        <v>756</v>
      </c>
      <c r="C625" s="119" t="s">
        <v>66</v>
      </c>
      <c r="D625" t="s">
        <v>45</v>
      </c>
      <c r="E625" s="117">
        <v>0</v>
      </c>
    </row>
    <row r="626" spans="1:5" x14ac:dyDescent="0.25">
      <c r="A626" s="119" t="s">
        <v>757</v>
      </c>
      <c r="B626" s="119" t="s">
        <v>758</v>
      </c>
      <c r="C626" s="119" t="s">
        <v>66</v>
      </c>
      <c r="D626" t="s">
        <v>6759</v>
      </c>
      <c r="E626" s="117">
        <v>194.25</v>
      </c>
    </row>
    <row r="627" spans="1:5" x14ac:dyDescent="0.25">
      <c r="A627" s="119" t="s">
        <v>759</v>
      </c>
      <c r="B627" s="119" t="s">
        <v>760</v>
      </c>
      <c r="C627" s="119" t="s">
        <v>66</v>
      </c>
      <c r="D627" t="s">
        <v>45</v>
      </c>
      <c r="E627" s="117">
        <v>0</v>
      </c>
    </row>
    <row r="628" spans="1:5" x14ac:dyDescent="0.25">
      <c r="A628" s="119" t="s">
        <v>761</v>
      </c>
      <c r="B628" s="119" t="s">
        <v>762</v>
      </c>
      <c r="C628" s="119" t="s">
        <v>66</v>
      </c>
      <c r="D628" t="s">
        <v>51</v>
      </c>
      <c r="E628" s="117">
        <v>206.85</v>
      </c>
    </row>
    <row r="629" spans="1:5" x14ac:dyDescent="0.25">
      <c r="A629" s="119" t="s">
        <v>763</v>
      </c>
      <c r="B629" s="119" t="s">
        <v>8586</v>
      </c>
      <c r="C629" s="119" t="s">
        <v>66</v>
      </c>
      <c r="D629" t="s">
        <v>6759</v>
      </c>
      <c r="E629" s="117">
        <v>214.71</v>
      </c>
    </row>
    <row r="630" spans="1:5" x14ac:dyDescent="0.25">
      <c r="A630" s="119" t="s">
        <v>764</v>
      </c>
      <c r="B630" s="119" t="s">
        <v>8587</v>
      </c>
      <c r="C630" s="119" t="s">
        <v>66</v>
      </c>
      <c r="D630" t="s">
        <v>45</v>
      </c>
      <c r="E630" s="117">
        <v>41.53</v>
      </c>
    </row>
    <row r="631" spans="1:5" x14ac:dyDescent="0.25">
      <c r="A631" s="119" t="s">
        <v>765</v>
      </c>
      <c r="B631" s="119" t="s">
        <v>8588</v>
      </c>
      <c r="C631" s="119" t="s">
        <v>66</v>
      </c>
      <c r="D631" t="s">
        <v>49</v>
      </c>
      <c r="E631" s="117">
        <v>83.69</v>
      </c>
    </row>
    <row r="632" spans="1:5" x14ac:dyDescent="0.25">
      <c r="A632" s="119" t="s">
        <v>766</v>
      </c>
      <c r="B632" s="119" t="s">
        <v>767</v>
      </c>
      <c r="C632" s="119" t="s">
        <v>66</v>
      </c>
      <c r="D632" t="s">
        <v>6759</v>
      </c>
      <c r="E632" s="117">
        <v>242.85</v>
      </c>
    </row>
    <row r="633" spans="1:5" x14ac:dyDescent="0.25">
      <c r="A633" s="119" t="s">
        <v>768</v>
      </c>
      <c r="B633" s="119" t="s">
        <v>6324</v>
      </c>
      <c r="C633" s="119" t="s">
        <v>66</v>
      </c>
      <c r="D633" t="s">
        <v>6760</v>
      </c>
      <c r="E633" s="117">
        <v>279.74</v>
      </c>
    </row>
    <row r="634" spans="1:5" x14ac:dyDescent="0.25">
      <c r="A634" s="119" t="s">
        <v>770</v>
      </c>
      <c r="B634" s="119" t="s">
        <v>769</v>
      </c>
      <c r="C634" s="119" t="s">
        <v>66</v>
      </c>
      <c r="D634" t="s">
        <v>45</v>
      </c>
      <c r="E634" s="117">
        <v>291.89999999999998</v>
      </c>
    </row>
    <row r="635" spans="1:5" x14ac:dyDescent="0.25">
      <c r="A635" s="119" t="s">
        <v>771</v>
      </c>
      <c r="B635" s="119" t="s">
        <v>8589</v>
      </c>
      <c r="C635" s="119" t="s">
        <v>66</v>
      </c>
      <c r="D635" t="s">
        <v>45</v>
      </c>
      <c r="E635" s="117">
        <v>1126.47</v>
      </c>
    </row>
    <row r="636" spans="1:5" x14ac:dyDescent="0.25">
      <c r="A636" s="119" t="s">
        <v>772</v>
      </c>
      <c r="B636" s="119" t="s">
        <v>773</v>
      </c>
      <c r="C636" s="119" t="s">
        <v>66</v>
      </c>
      <c r="D636" t="s">
        <v>49</v>
      </c>
      <c r="E636" s="117">
        <v>134.05000000000001</v>
      </c>
    </row>
    <row r="637" spans="1:5" x14ac:dyDescent="0.25">
      <c r="A637" s="119" t="s">
        <v>774</v>
      </c>
      <c r="B637" s="119" t="s">
        <v>7403</v>
      </c>
      <c r="C637" s="119" t="s">
        <v>66</v>
      </c>
      <c r="D637" t="s">
        <v>6760</v>
      </c>
      <c r="E637" s="117">
        <v>33.61</v>
      </c>
    </row>
    <row r="638" spans="1:5" x14ac:dyDescent="0.25">
      <c r="A638" s="119" t="s">
        <v>775</v>
      </c>
      <c r="B638" s="119" t="s">
        <v>8590</v>
      </c>
      <c r="C638" s="119" t="s">
        <v>66</v>
      </c>
      <c r="D638" t="s">
        <v>49</v>
      </c>
      <c r="E638" s="117">
        <v>33.119999999999997</v>
      </c>
    </row>
    <row r="639" spans="1:5" x14ac:dyDescent="0.25">
      <c r="A639" s="119" t="s">
        <v>776</v>
      </c>
      <c r="B639" s="119" t="s">
        <v>8591</v>
      </c>
      <c r="C639" s="119" t="s">
        <v>66</v>
      </c>
      <c r="D639" t="s">
        <v>45</v>
      </c>
      <c r="E639" s="117">
        <v>429.31</v>
      </c>
    </row>
    <row r="640" spans="1:5" x14ac:dyDescent="0.25">
      <c r="A640" s="119" t="s">
        <v>777</v>
      </c>
      <c r="B640" s="119" t="s">
        <v>8592</v>
      </c>
      <c r="C640" s="119" t="s">
        <v>66</v>
      </c>
      <c r="D640" t="s">
        <v>49</v>
      </c>
      <c r="E640" s="117">
        <v>271.95</v>
      </c>
    </row>
    <row r="641" spans="1:5" x14ac:dyDescent="0.25">
      <c r="A641" s="119" t="s">
        <v>778</v>
      </c>
      <c r="B641" s="119" t="s">
        <v>8593</v>
      </c>
      <c r="C641" s="119" t="s">
        <v>66</v>
      </c>
      <c r="D641" t="s">
        <v>6759</v>
      </c>
      <c r="E641" s="117">
        <v>492.45</v>
      </c>
    </row>
    <row r="642" spans="1:5" x14ac:dyDescent="0.25">
      <c r="A642" s="119" t="s">
        <v>779</v>
      </c>
      <c r="B642" s="119" t="s">
        <v>8594</v>
      </c>
      <c r="C642" s="119" t="s">
        <v>66</v>
      </c>
      <c r="D642" t="s">
        <v>45</v>
      </c>
      <c r="E642" s="117">
        <v>327.83</v>
      </c>
    </row>
    <row r="643" spans="1:5" x14ac:dyDescent="0.25">
      <c r="A643" s="119" t="s">
        <v>780</v>
      </c>
      <c r="B643" s="119" t="s">
        <v>8595</v>
      </c>
      <c r="C643" s="119" t="s">
        <v>66</v>
      </c>
      <c r="D643" t="s">
        <v>45</v>
      </c>
      <c r="E643" s="117">
        <v>242.55</v>
      </c>
    </row>
    <row r="644" spans="1:5" x14ac:dyDescent="0.25">
      <c r="A644" s="119" t="s">
        <v>781</v>
      </c>
      <c r="B644" s="119" t="s">
        <v>8596</v>
      </c>
      <c r="C644" s="119" t="s">
        <v>66</v>
      </c>
      <c r="D644" t="s">
        <v>6759</v>
      </c>
      <c r="E644" s="117">
        <v>200.11</v>
      </c>
    </row>
    <row r="645" spans="1:5" x14ac:dyDescent="0.25">
      <c r="A645" s="119" t="s">
        <v>782</v>
      </c>
      <c r="B645" s="119" t="s">
        <v>8597</v>
      </c>
      <c r="C645" s="119" t="s">
        <v>66</v>
      </c>
      <c r="D645" t="s">
        <v>45</v>
      </c>
      <c r="E645" s="117">
        <v>430.53</v>
      </c>
    </row>
    <row r="646" spans="1:5" x14ac:dyDescent="0.25">
      <c r="A646" s="119" t="s">
        <v>783</v>
      </c>
      <c r="B646" s="119" t="s">
        <v>8598</v>
      </c>
      <c r="C646" s="119" t="s">
        <v>66</v>
      </c>
      <c r="D646" t="s">
        <v>6759</v>
      </c>
      <c r="E646" s="117">
        <v>34.270000000000003</v>
      </c>
    </row>
    <row r="647" spans="1:5" x14ac:dyDescent="0.25">
      <c r="A647" s="119" t="s">
        <v>784</v>
      </c>
      <c r="B647" s="119" t="s">
        <v>8599</v>
      </c>
      <c r="C647" s="119" t="s">
        <v>66</v>
      </c>
      <c r="D647" t="s">
        <v>6759</v>
      </c>
      <c r="E647" s="117">
        <v>246.19</v>
      </c>
    </row>
    <row r="648" spans="1:5" x14ac:dyDescent="0.25">
      <c r="A648" s="119" t="s">
        <v>785</v>
      </c>
      <c r="B648" s="119" t="s">
        <v>8600</v>
      </c>
      <c r="C648" s="119" t="s">
        <v>66</v>
      </c>
      <c r="D648" t="s">
        <v>45</v>
      </c>
      <c r="E648" s="117">
        <v>134.05000000000001</v>
      </c>
    </row>
    <row r="649" spans="1:5" x14ac:dyDescent="0.25">
      <c r="A649" s="119" t="s">
        <v>786</v>
      </c>
      <c r="B649" s="119" t="s">
        <v>787</v>
      </c>
      <c r="C649" s="119" t="s">
        <v>66</v>
      </c>
      <c r="D649" t="s">
        <v>49</v>
      </c>
      <c r="E649" s="117">
        <v>43.58</v>
      </c>
    </row>
    <row r="650" spans="1:5" x14ac:dyDescent="0.25">
      <c r="A650" s="119" t="s">
        <v>788</v>
      </c>
      <c r="B650" s="119" t="s">
        <v>789</v>
      </c>
      <c r="C650" s="119" t="s">
        <v>66</v>
      </c>
      <c r="D650" t="s">
        <v>45</v>
      </c>
      <c r="E650" s="117">
        <v>141.93</v>
      </c>
    </row>
    <row r="651" spans="1:5" x14ac:dyDescent="0.25">
      <c r="A651" s="119" t="s">
        <v>790</v>
      </c>
      <c r="B651" s="119" t="s">
        <v>8601</v>
      </c>
      <c r="C651" s="119" t="s">
        <v>66</v>
      </c>
      <c r="D651" t="s">
        <v>6759</v>
      </c>
      <c r="E651" s="117">
        <v>3.39</v>
      </c>
    </row>
    <row r="652" spans="1:5" x14ac:dyDescent="0.25">
      <c r="A652" s="119" t="s">
        <v>791</v>
      </c>
      <c r="B652" s="119" t="s">
        <v>8602</v>
      </c>
      <c r="C652" s="119" t="s">
        <v>66</v>
      </c>
      <c r="D652" t="s">
        <v>6759</v>
      </c>
      <c r="E652" s="117">
        <v>24.26</v>
      </c>
    </row>
    <row r="653" spans="1:5" x14ac:dyDescent="0.25">
      <c r="A653" s="119" t="s">
        <v>792</v>
      </c>
      <c r="B653" s="119" t="s">
        <v>8603</v>
      </c>
      <c r="C653" s="119" t="s">
        <v>66</v>
      </c>
      <c r="D653" t="s">
        <v>6759</v>
      </c>
      <c r="E653" s="117">
        <v>18.2</v>
      </c>
    </row>
    <row r="654" spans="1:5" x14ac:dyDescent="0.25">
      <c r="A654" s="119" t="s">
        <v>793</v>
      </c>
      <c r="B654" s="119" t="s">
        <v>8604</v>
      </c>
      <c r="C654" s="119" t="s">
        <v>66</v>
      </c>
      <c r="D654" t="s">
        <v>45</v>
      </c>
      <c r="E654" s="117">
        <v>11.55</v>
      </c>
    </row>
    <row r="655" spans="1:5" x14ac:dyDescent="0.25">
      <c r="A655" s="119" t="s">
        <v>794</v>
      </c>
      <c r="B655" s="119" t="s">
        <v>8605</v>
      </c>
      <c r="C655" s="119" t="s">
        <v>66</v>
      </c>
      <c r="D655" t="s">
        <v>49</v>
      </c>
      <c r="E655" s="117">
        <v>30.32</v>
      </c>
    </row>
    <row r="656" spans="1:5" x14ac:dyDescent="0.25">
      <c r="A656" s="119" t="s">
        <v>795</v>
      </c>
      <c r="B656" s="119" t="s">
        <v>8606</v>
      </c>
      <c r="C656" s="119" t="s">
        <v>66</v>
      </c>
      <c r="D656" t="s">
        <v>6759</v>
      </c>
      <c r="E656" s="117">
        <v>81.2</v>
      </c>
    </row>
    <row r="657" spans="1:5" x14ac:dyDescent="0.25">
      <c r="A657" s="119" t="s">
        <v>796</v>
      </c>
      <c r="B657" s="119" t="s">
        <v>8607</v>
      </c>
      <c r="C657" s="119" t="s">
        <v>66</v>
      </c>
      <c r="D657" t="s">
        <v>45</v>
      </c>
      <c r="E657" s="117">
        <v>0</v>
      </c>
    </row>
    <row r="658" spans="1:5" x14ac:dyDescent="0.25">
      <c r="A658" s="119" t="s">
        <v>797</v>
      </c>
      <c r="B658" s="119" t="s">
        <v>8608</v>
      </c>
      <c r="C658" s="119" t="s">
        <v>66</v>
      </c>
      <c r="D658" t="s">
        <v>45</v>
      </c>
      <c r="E658" s="117">
        <v>37.21</v>
      </c>
    </row>
    <row r="659" spans="1:5" x14ac:dyDescent="0.25">
      <c r="A659" s="119" t="s">
        <v>798</v>
      </c>
      <c r="B659" s="119" t="s">
        <v>8609</v>
      </c>
      <c r="C659" s="119" t="s">
        <v>66</v>
      </c>
      <c r="D659" t="s">
        <v>6759</v>
      </c>
      <c r="E659" s="117">
        <v>78.5</v>
      </c>
    </row>
    <row r="660" spans="1:5" x14ac:dyDescent="0.25">
      <c r="A660" s="119" t="s">
        <v>799</v>
      </c>
      <c r="B660" s="119" t="s">
        <v>8610</v>
      </c>
      <c r="C660" s="119" t="s">
        <v>66</v>
      </c>
      <c r="D660" t="s">
        <v>6759</v>
      </c>
      <c r="E660" s="117">
        <v>109.02</v>
      </c>
    </row>
    <row r="661" spans="1:5" x14ac:dyDescent="0.25">
      <c r="A661" s="119" t="s">
        <v>800</v>
      </c>
      <c r="B661" s="119" t="s">
        <v>8611</v>
      </c>
      <c r="C661" s="119" t="s">
        <v>66</v>
      </c>
      <c r="D661" t="s">
        <v>6759</v>
      </c>
      <c r="E661" s="117">
        <v>166.56</v>
      </c>
    </row>
    <row r="662" spans="1:5" x14ac:dyDescent="0.25">
      <c r="A662" s="119" t="s">
        <v>801</v>
      </c>
      <c r="B662" s="119" t="s">
        <v>8612</v>
      </c>
      <c r="C662" s="119" t="s">
        <v>66</v>
      </c>
      <c r="D662" t="s">
        <v>6759</v>
      </c>
      <c r="E662" s="117">
        <v>178.84</v>
      </c>
    </row>
    <row r="663" spans="1:5" x14ac:dyDescent="0.25">
      <c r="A663" s="119" t="s">
        <v>802</v>
      </c>
      <c r="B663" s="119" t="s">
        <v>8613</v>
      </c>
      <c r="C663" s="119" t="s">
        <v>66</v>
      </c>
      <c r="D663" t="s">
        <v>6759</v>
      </c>
      <c r="E663" s="117">
        <v>85.26</v>
      </c>
    </row>
    <row r="664" spans="1:5" x14ac:dyDescent="0.25">
      <c r="A664" s="119" t="s">
        <v>803</v>
      </c>
      <c r="B664" s="119" t="s">
        <v>8614</v>
      </c>
      <c r="C664" s="119" t="s">
        <v>66</v>
      </c>
      <c r="D664" t="s">
        <v>6760</v>
      </c>
      <c r="E664" s="117">
        <v>194.04</v>
      </c>
    </row>
    <row r="665" spans="1:5" x14ac:dyDescent="0.25">
      <c r="A665" s="119" t="s">
        <v>804</v>
      </c>
      <c r="B665" s="119" t="s">
        <v>805</v>
      </c>
      <c r="C665" s="119" t="s">
        <v>66</v>
      </c>
      <c r="D665" t="s">
        <v>45</v>
      </c>
      <c r="E665" s="117">
        <v>414.12</v>
      </c>
    </row>
    <row r="666" spans="1:5" x14ac:dyDescent="0.25">
      <c r="A666" s="119" t="s">
        <v>806</v>
      </c>
      <c r="B666" s="119" t="s">
        <v>8615</v>
      </c>
      <c r="C666" s="119" t="s">
        <v>66</v>
      </c>
      <c r="D666" t="s">
        <v>45</v>
      </c>
      <c r="E666" s="117">
        <v>294.70999999999998</v>
      </c>
    </row>
    <row r="667" spans="1:5" x14ac:dyDescent="0.25">
      <c r="A667" s="119" t="s">
        <v>807</v>
      </c>
      <c r="B667" s="119" t="s">
        <v>8616</v>
      </c>
      <c r="C667" s="119" t="s">
        <v>66</v>
      </c>
      <c r="D667" t="s">
        <v>49</v>
      </c>
      <c r="E667" s="117">
        <v>187.22</v>
      </c>
    </row>
    <row r="668" spans="1:5" x14ac:dyDescent="0.25">
      <c r="A668" s="119" t="s">
        <v>808</v>
      </c>
      <c r="B668" s="119" t="s">
        <v>8617</v>
      </c>
      <c r="C668" s="119" t="s">
        <v>66</v>
      </c>
      <c r="D668" t="s">
        <v>49</v>
      </c>
      <c r="E668" s="117">
        <v>115.5</v>
      </c>
    </row>
    <row r="669" spans="1:5" x14ac:dyDescent="0.25">
      <c r="A669" s="119" t="s">
        <v>809</v>
      </c>
      <c r="B669" s="119" t="s">
        <v>8618</v>
      </c>
      <c r="C669" s="119" t="s">
        <v>66</v>
      </c>
      <c r="D669" t="s">
        <v>6760</v>
      </c>
      <c r="E669" s="117">
        <v>46.2</v>
      </c>
    </row>
    <row r="670" spans="1:5" x14ac:dyDescent="0.25">
      <c r="A670" s="119" t="s">
        <v>810</v>
      </c>
      <c r="B670" s="119" t="s">
        <v>8619</v>
      </c>
      <c r="C670" s="119" t="s">
        <v>66</v>
      </c>
      <c r="D670" t="s">
        <v>6759</v>
      </c>
      <c r="E670" s="117">
        <v>649</v>
      </c>
    </row>
    <row r="671" spans="1:5" x14ac:dyDescent="0.25">
      <c r="A671" s="119" t="s">
        <v>811</v>
      </c>
      <c r="B671" s="119" t="s">
        <v>8620</v>
      </c>
      <c r="C671" s="119" t="s">
        <v>66</v>
      </c>
      <c r="D671" t="s">
        <v>6759</v>
      </c>
      <c r="E671" s="117">
        <v>1438.39</v>
      </c>
    </row>
    <row r="672" spans="1:5" x14ac:dyDescent="0.25">
      <c r="A672" s="119" t="s">
        <v>812</v>
      </c>
      <c r="B672" s="119" t="s">
        <v>8621</v>
      </c>
      <c r="C672" s="119" t="s">
        <v>66</v>
      </c>
      <c r="D672" t="s">
        <v>6759</v>
      </c>
      <c r="E672" s="117">
        <v>1438.39</v>
      </c>
    </row>
    <row r="673" spans="1:5" x14ac:dyDescent="0.25">
      <c r="A673" s="119" t="s">
        <v>813</v>
      </c>
      <c r="B673" s="119" t="s">
        <v>8622</v>
      </c>
      <c r="C673" s="119" t="s">
        <v>66</v>
      </c>
      <c r="D673" t="s">
        <v>45</v>
      </c>
      <c r="E673" s="117">
        <v>664.92</v>
      </c>
    </row>
    <row r="674" spans="1:5" x14ac:dyDescent="0.25">
      <c r="A674" s="119" t="s">
        <v>814</v>
      </c>
      <c r="B674" s="119" t="s">
        <v>815</v>
      </c>
      <c r="C674" s="119" t="s">
        <v>66</v>
      </c>
      <c r="D674" t="s">
        <v>45</v>
      </c>
      <c r="E674" s="117">
        <v>0</v>
      </c>
    </row>
    <row r="675" spans="1:5" x14ac:dyDescent="0.25">
      <c r="A675" s="119" t="s">
        <v>816</v>
      </c>
      <c r="B675" s="119" t="s">
        <v>817</v>
      </c>
      <c r="C675" s="119" t="s">
        <v>66</v>
      </c>
      <c r="D675" t="s">
        <v>6759</v>
      </c>
      <c r="E675" s="117">
        <v>257.25</v>
      </c>
    </row>
    <row r="676" spans="1:5" x14ac:dyDescent="0.25">
      <c r="A676" s="119" t="s">
        <v>818</v>
      </c>
      <c r="B676" s="119" t="s">
        <v>819</v>
      </c>
      <c r="C676" s="119" t="s">
        <v>66</v>
      </c>
      <c r="D676" t="s">
        <v>49</v>
      </c>
      <c r="E676" s="117">
        <v>31.94</v>
      </c>
    </row>
    <row r="677" spans="1:5" x14ac:dyDescent="0.25">
      <c r="A677" s="119" t="s">
        <v>820</v>
      </c>
      <c r="B677" s="119" t="s">
        <v>8623</v>
      </c>
      <c r="C677" s="119" t="s">
        <v>66</v>
      </c>
      <c r="D677" t="s">
        <v>6759</v>
      </c>
      <c r="E677" s="117">
        <v>749</v>
      </c>
    </row>
    <row r="678" spans="1:5" x14ac:dyDescent="0.25">
      <c r="A678" s="119" t="s">
        <v>821</v>
      </c>
      <c r="B678" s="119" t="s">
        <v>8624</v>
      </c>
      <c r="C678" s="119" t="s">
        <v>66</v>
      </c>
      <c r="D678" t="s">
        <v>6759</v>
      </c>
      <c r="E678" s="117">
        <v>517.20000000000005</v>
      </c>
    </row>
    <row r="679" spans="1:5" x14ac:dyDescent="0.25">
      <c r="A679" s="119" t="s">
        <v>822</v>
      </c>
      <c r="B679" s="119" t="s">
        <v>823</v>
      </c>
      <c r="C679" s="119" t="s">
        <v>66</v>
      </c>
      <c r="D679" t="s">
        <v>45</v>
      </c>
      <c r="E679" s="117">
        <v>0</v>
      </c>
    </row>
    <row r="680" spans="1:5" x14ac:dyDescent="0.25">
      <c r="A680" s="119" t="s">
        <v>824</v>
      </c>
      <c r="B680" s="119" t="s">
        <v>8625</v>
      </c>
      <c r="C680" s="119" t="s">
        <v>66</v>
      </c>
      <c r="D680" t="s">
        <v>49</v>
      </c>
      <c r="E680" s="117">
        <v>219.45</v>
      </c>
    </row>
    <row r="681" spans="1:5" x14ac:dyDescent="0.25">
      <c r="A681" s="119" t="s">
        <v>825</v>
      </c>
      <c r="B681" s="119" t="s">
        <v>8626</v>
      </c>
      <c r="C681" s="119" t="s">
        <v>66</v>
      </c>
      <c r="D681" t="s">
        <v>6759</v>
      </c>
      <c r="E681" s="117">
        <v>122.01</v>
      </c>
    </row>
    <row r="682" spans="1:5" x14ac:dyDescent="0.25">
      <c r="A682" s="119" t="s">
        <v>826</v>
      </c>
      <c r="B682" s="119" t="s">
        <v>8517</v>
      </c>
      <c r="C682" s="119" t="s">
        <v>66</v>
      </c>
      <c r="D682" t="s">
        <v>6759</v>
      </c>
      <c r="E682" s="117">
        <v>66.709999999999994</v>
      </c>
    </row>
    <row r="683" spans="1:5" x14ac:dyDescent="0.25">
      <c r="A683" s="119" t="s">
        <v>827</v>
      </c>
      <c r="B683" s="119" t="s">
        <v>828</v>
      </c>
      <c r="C683" s="119" t="s">
        <v>66</v>
      </c>
      <c r="D683" t="s">
        <v>6759</v>
      </c>
      <c r="E683" s="117">
        <v>210.45</v>
      </c>
    </row>
    <row r="684" spans="1:5" x14ac:dyDescent="0.25">
      <c r="A684" s="119" t="s">
        <v>829</v>
      </c>
      <c r="B684" s="119" t="s">
        <v>529</v>
      </c>
      <c r="C684" s="119" t="s">
        <v>66</v>
      </c>
      <c r="D684" t="s">
        <v>6760</v>
      </c>
      <c r="E684" s="117">
        <v>60.48</v>
      </c>
    </row>
    <row r="685" spans="1:5" x14ac:dyDescent="0.25">
      <c r="A685" s="119" t="s">
        <v>830</v>
      </c>
      <c r="B685" s="119" t="s">
        <v>8627</v>
      </c>
      <c r="C685" s="119" t="s">
        <v>66</v>
      </c>
      <c r="D685" t="s">
        <v>45</v>
      </c>
      <c r="E685" s="117">
        <v>999999</v>
      </c>
    </row>
    <row r="686" spans="1:5" x14ac:dyDescent="0.25">
      <c r="A686" s="119" t="s">
        <v>831</v>
      </c>
      <c r="B686" s="119" t="s">
        <v>529</v>
      </c>
      <c r="C686" s="119" t="s">
        <v>66</v>
      </c>
      <c r="D686" t="s">
        <v>51</v>
      </c>
      <c r="E686" s="117">
        <v>65</v>
      </c>
    </row>
    <row r="687" spans="1:5" x14ac:dyDescent="0.25">
      <c r="A687" s="119" t="s">
        <v>832</v>
      </c>
      <c r="B687" s="119" t="s">
        <v>833</v>
      </c>
      <c r="C687" s="119" t="s">
        <v>66</v>
      </c>
      <c r="D687" t="s">
        <v>45</v>
      </c>
      <c r="E687" s="117">
        <v>75</v>
      </c>
    </row>
    <row r="688" spans="1:5" x14ac:dyDescent="0.25">
      <c r="A688" s="119" t="s">
        <v>834</v>
      </c>
      <c r="B688" s="119" t="s">
        <v>8628</v>
      </c>
      <c r="C688" s="119" t="s">
        <v>66</v>
      </c>
      <c r="D688" t="s">
        <v>49</v>
      </c>
      <c r="E688" s="117">
        <v>97.02</v>
      </c>
    </row>
    <row r="689" spans="1:5" x14ac:dyDescent="0.25">
      <c r="A689" s="119" t="s">
        <v>835</v>
      </c>
      <c r="B689" s="119" t="s">
        <v>8629</v>
      </c>
      <c r="C689" s="119" t="s">
        <v>66</v>
      </c>
      <c r="D689" t="s">
        <v>6759</v>
      </c>
      <c r="E689" s="117">
        <v>69.52</v>
      </c>
    </row>
    <row r="690" spans="1:5" x14ac:dyDescent="0.25">
      <c r="A690" s="119" t="s">
        <v>836</v>
      </c>
      <c r="B690" s="119" t="s">
        <v>8630</v>
      </c>
      <c r="C690" s="119" t="s">
        <v>66</v>
      </c>
      <c r="D690" t="s">
        <v>45</v>
      </c>
      <c r="E690" s="117">
        <v>22</v>
      </c>
    </row>
    <row r="691" spans="1:5" x14ac:dyDescent="0.25">
      <c r="A691" s="119" t="s">
        <v>837</v>
      </c>
      <c r="B691" s="119" t="s">
        <v>838</v>
      </c>
      <c r="C691" s="119" t="s">
        <v>66</v>
      </c>
      <c r="D691" t="s">
        <v>6759</v>
      </c>
      <c r="E691" s="117">
        <v>224.14</v>
      </c>
    </row>
    <row r="692" spans="1:5" x14ac:dyDescent="0.25">
      <c r="A692" s="119" t="s">
        <v>839</v>
      </c>
      <c r="B692" s="119" t="s">
        <v>8631</v>
      </c>
      <c r="C692" s="119" t="s">
        <v>66</v>
      </c>
      <c r="D692" t="s">
        <v>45</v>
      </c>
      <c r="E692" s="117">
        <v>156.37</v>
      </c>
    </row>
    <row r="693" spans="1:5" x14ac:dyDescent="0.25">
      <c r="A693" s="119" t="s">
        <v>840</v>
      </c>
      <c r="B693" s="119" t="s">
        <v>8632</v>
      </c>
      <c r="C693" s="119" t="s">
        <v>66</v>
      </c>
      <c r="D693" t="s">
        <v>6759</v>
      </c>
      <c r="E693" s="117">
        <v>1269.3499999999999</v>
      </c>
    </row>
    <row r="694" spans="1:5" x14ac:dyDescent="0.25">
      <c r="A694" s="119" t="s">
        <v>841</v>
      </c>
      <c r="B694" s="119" t="s">
        <v>842</v>
      </c>
      <c r="C694" s="119" t="s">
        <v>66</v>
      </c>
      <c r="D694" t="s">
        <v>6760</v>
      </c>
      <c r="E694" s="117">
        <v>196.15</v>
      </c>
    </row>
    <row r="695" spans="1:5" x14ac:dyDescent="0.25">
      <c r="A695" s="119" t="s">
        <v>843</v>
      </c>
      <c r="B695" s="119" t="s">
        <v>8633</v>
      </c>
      <c r="C695" s="119" t="s">
        <v>66</v>
      </c>
      <c r="D695" t="s">
        <v>6759</v>
      </c>
      <c r="E695" s="117">
        <v>866.4</v>
      </c>
    </row>
    <row r="696" spans="1:5" x14ac:dyDescent="0.25">
      <c r="A696" s="119" t="s">
        <v>844</v>
      </c>
      <c r="B696" s="119" t="s">
        <v>845</v>
      </c>
      <c r="C696" s="119" t="s">
        <v>66</v>
      </c>
      <c r="D696" t="s">
        <v>49</v>
      </c>
      <c r="E696" s="117">
        <v>29.9</v>
      </c>
    </row>
    <row r="697" spans="1:5" x14ac:dyDescent="0.25">
      <c r="A697" s="119" t="s">
        <v>846</v>
      </c>
      <c r="B697" s="119" t="s">
        <v>8634</v>
      </c>
      <c r="C697" s="119" t="s">
        <v>66</v>
      </c>
      <c r="D697" t="s">
        <v>49</v>
      </c>
      <c r="E697" s="117">
        <v>79</v>
      </c>
    </row>
    <row r="698" spans="1:5" x14ac:dyDescent="0.25">
      <c r="A698" s="119" t="s">
        <v>847</v>
      </c>
      <c r="B698" s="119" t="s">
        <v>848</v>
      </c>
      <c r="C698" s="119" t="s">
        <v>66</v>
      </c>
      <c r="D698" t="s">
        <v>6759</v>
      </c>
      <c r="E698" s="117">
        <v>38.08</v>
      </c>
    </row>
    <row r="699" spans="1:5" x14ac:dyDescent="0.25">
      <c r="A699" s="119" t="s">
        <v>849</v>
      </c>
      <c r="B699" s="119" t="s">
        <v>850</v>
      </c>
      <c r="C699" s="119" t="s">
        <v>66</v>
      </c>
      <c r="D699" t="s">
        <v>6759</v>
      </c>
      <c r="E699" s="117">
        <v>159.81</v>
      </c>
    </row>
    <row r="700" spans="1:5" x14ac:dyDescent="0.25">
      <c r="A700" s="119" t="s">
        <v>851</v>
      </c>
      <c r="B700" s="119" t="s">
        <v>852</v>
      </c>
      <c r="C700" s="119" t="s">
        <v>66</v>
      </c>
      <c r="D700" t="s">
        <v>6759</v>
      </c>
      <c r="E700" s="117">
        <v>204.59</v>
      </c>
    </row>
    <row r="701" spans="1:5" x14ac:dyDescent="0.25">
      <c r="A701" s="119" t="s">
        <v>853</v>
      </c>
      <c r="B701" s="119" t="s">
        <v>854</v>
      </c>
      <c r="C701" s="119" t="s">
        <v>66</v>
      </c>
      <c r="D701" t="s">
        <v>45</v>
      </c>
      <c r="E701" s="117">
        <v>0</v>
      </c>
    </row>
    <row r="702" spans="1:5" x14ac:dyDescent="0.25">
      <c r="A702" s="119" t="s">
        <v>855</v>
      </c>
      <c r="B702" s="119" t="s">
        <v>856</v>
      </c>
      <c r="C702" s="119" t="s">
        <v>66</v>
      </c>
      <c r="D702" t="s">
        <v>45</v>
      </c>
      <c r="E702" s="117">
        <v>0</v>
      </c>
    </row>
    <row r="703" spans="1:5" x14ac:dyDescent="0.25">
      <c r="A703" s="119" t="s">
        <v>857</v>
      </c>
      <c r="B703" s="119" t="s">
        <v>858</v>
      </c>
      <c r="C703" s="119" t="s">
        <v>66</v>
      </c>
      <c r="D703" t="s">
        <v>49</v>
      </c>
      <c r="E703" s="117">
        <v>110</v>
      </c>
    </row>
    <row r="704" spans="1:5" x14ac:dyDescent="0.25">
      <c r="A704" s="119" t="s">
        <v>859</v>
      </c>
      <c r="B704" s="119" t="s">
        <v>860</v>
      </c>
      <c r="C704" s="119" t="s">
        <v>66</v>
      </c>
      <c r="D704" t="s">
        <v>6759</v>
      </c>
      <c r="E704" s="117">
        <v>74.28</v>
      </c>
    </row>
    <row r="705" spans="1:5" x14ac:dyDescent="0.25">
      <c r="A705" s="119" t="s">
        <v>861</v>
      </c>
      <c r="B705" s="119" t="s">
        <v>8635</v>
      </c>
      <c r="C705" s="119" t="s">
        <v>66</v>
      </c>
      <c r="D705" t="s">
        <v>6759</v>
      </c>
      <c r="E705" s="117">
        <v>18</v>
      </c>
    </row>
    <row r="706" spans="1:5" x14ac:dyDescent="0.25">
      <c r="A706" s="119" t="s">
        <v>862</v>
      </c>
      <c r="B706" s="119" t="s">
        <v>529</v>
      </c>
      <c r="C706" s="119" t="s">
        <v>66</v>
      </c>
      <c r="D706" t="s">
        <v>45</v>
      </c>
      <c r="E706" s="117">
        <v>70</v>
      </c>
    </row>
    <row r="707" spans="1:5" x14ac:dyDescent="0.25">
      <c r="A707" s="119" t="s">
        <v>863</v>
      </c>
      <c r="B707" s="119" t="s">
        <v>864</v>
      </c>
      <c r="C707" s="119" t="s">
        <v>66</v>
      </c>
      <c r="D707" t="s">
        <v>45</v>
      </c>
      <c r="E707" s="117">
        <v>73.5</v>
      </c>
    </row>
    <row r="708" spans="1:5" x14ac:dyDescent="0.25">
      <c r="A708" s="119" t="s">
        <v>865</v>
      </c>
      <c r="B708" s="119" t="s">
        <v>8636</v>
      </c>
      <c r="C708" s="119" t="s">
        <v>66</v>
      </c>
      <c r="D708" t="s">
        <v>6759</v>
      </c>
      <c r="E708" s="117">
        <v>62</v>
      </c>
    </row>
    <row r="709" spans="1:5" x14ac:dyDescent="0.25">
      <c r="A709" s="119" t="s">
        <v>866</v>
      </c>
      <c r="B709" s="119" t="s">
        <v>8637</v>
      </c>
      <c r="C709" s="119" t="s">
        <v>66</v>
      </c>
      <c r="D709" t="s">
        <v>49</v>
      </c>
      <c r="E709" s="117">
        <v>754.95</v>
      </c>
    </row>
    <row r="710" spans="1:5" x14ac:dyDescent="0.25">
      <c r="A710" s="119" t="s">
        <v>867</v>
      </c>
      <c r="B710" s="119" t="s">
        <v>8638</v>
      </c>
      <c r="C710" s="119" t="s">
        <v>66</v>
      </c>
      <c r="D710" t="s">
        <v>49</v>
      </c>
      <c r="E710" s="117">
        <v>420</v>
      </c>
    </row>
    <row r="711" spans="1:5" x14ac:dyDescent="0.25">
      <c r="A711" s="119" t="s">
        <v>868</v>
      </c>
      <c r="B711" s="119" t="s">
        <v>869</v>
      </c>
      <c r="C711" s="119" t="s">
        <v>66</v>
      </c>
      <c r="D711" t="s">
        <v>6759</v>
      </c>
      <c r="E711" s="117">
        <v>388.5</v>
      </c>
    </row>
    <row r="712" spans="1:5" x14ac:dyDescent="0.25">
      <c r="A712" s="119" t="s">
        <v>870</v>
      </c>
      <c r="B712" s="119" t="s">
        <v>871</v>
      </c>
      <c r="C712" s="119" t="s">
        <v>66</v>
      </c>
      <c r="D712" t="s">
        <v>45</v>
      </c>
      <c r="E712" s="117">
        <v>368</v>
      </c>
    </row>
    <row r="713" spans="1:5" x14ac:dyDescent="0.25">
      <c r="A713" s="119" t="s">
        <v>872</v>
      </c>
      <c r="B713" s="119" t="s">
        <v>873</v>
      </c>
      <c r="C713" s="119" t="s">
        <v>66</v>
      </c>
      <c r="D713" t="s">
        <v>49</v>
      </c>
      <c r="E713" s="117">
        <v>94.5</v>
      </c>
    </row>
    <row r="714" spans="1:5" x14ac:dyDescent="0.25">
      <c r="A714" s="119" t="s">
        <v>874</v>
      </c>
      <c r="B714" s="119" t="s">
        <v>8639</v>
      </c>
      <c r="C714" s="119" t="s">
        <v>66</v>
      </c>
      <c r="D714" t="s">
        <v>49</v>
      </c>
      <c r="E714" s="117">
        <v>698.83</v>
      </c>
    </row>
    <row r="715" spans="1:5" x14ac:dyDescent="0.25">
      <c r="A715" s="119" t="s">
        <v>875</v>
      </c>
      <c r="B715" s="119" t="s">
        <v>8640</v>
      </c>
      <c r="C715" s="119" t="s">
        <v>66</v>
      </c>
      <c r="D715" t="s">
        <v>45</v>
      </c>
      <c r="E715" s="117">
        <v>0</v>
      </c>
    </row>
    <row r="716" spans="1:5" x14ac:dyDescent="0.25">
      <c r="A716" s="119" t="s">
        <v>876</v>
      </c>
      <c r="B716" s="119" t="s">
        <v>877</v>
      </c>
      <c r="C716" s="119" t="s">
        <v>66</v>
      </c>
      <c r="D716" t="s">
        <v>45</v>
      </c>
      <c r="E716" s="117">
        <v>161.69999999999999</v>
      </c>
    </row>
    <row r="717" spans="1:5" x14ac:dyDescent="0.25">
      <c r="A717" s="119" t="s">
        <v>878</v>
      </c>
      <c r="B717" s="119" t="s">
        <v>879</v>
      </c>
      <c r="C717" s="119" t="s">
        <v>66</v>
      </c>
      <c r="D717" t="s">
        <v>45</v>
      </c>
      <c r="E717" s="117">
        <v>267.91000000000003</v>
      </c>
    </row>
    <row r="718" spans="1:5" x14ac:dyDescent="0.25">
      <c r="A718" s="119" t="s">
        <v>880</v>
      </c>
      <c r="B718" s="119" t="s">
        <v>8641</v>
      </c>
      <c r="C718" s="119" t="s">
        <v>66</v>
      </c>
      <c r="D718" t="s">
        <v>6759</v>
      </c>
      <c r="E718" s="117">
        <v>1968.07</v>
      </c>
    </row>
    <row r="719" spans="1:5" x14ac:dyDescent="0.25">
      <c r="A719" s="119" t="s">
        <v>882</v>
      </c>
      <c r="B719" s="119" t="s">
        <v>883</v>
      </c>
      <c r="C719" s="119" t="s">
        <v>66</v>
      </c>
      <c r="D719" t="s">
        <v>6759</v>
      </c>
      <c r="E719" s="117">
        <v>239.4</v>
      </c>
    </row>
    <row r="720" spans="1:5" x14ac:dyDescent="0.25">
      <c r="A720" s="119" t="s">
        <v>884</v>
      </c>
      <c r="B720" s="119" t="s">
        <v>885</v>
      </c>
      <c r="C720" s="119" t="s">
        <v>66</v>
      </c>
      <c r="D720" t="s">
        <v>6759</v>
      </c>
      <c r="E720" s="117">
        <v>227.02</v>
      </c>
    </row>
    <row r="721" spans="1:5" x14ac:dyDescent="0.25">
      <c r="A721" s="119" t="s">
        <v>886</v>
      </c>
      <c r="B721" s="119" t="s">
        <v>887</v>
      </c>
      <c r="C721" s="119" t="s">
        <v>66</v>
      </c>
      <c r="D721" t="s">
        <v>6759</v>
      </c>
      <c r="E721" s="117">
        <v>8.24</v>
      </c>
    </row>
    <row r="722" spans="1:5" x14ac:dyDescent="0.25">
      <c r="A722" s="119" t="s">
        <v>888</v>
      </c>
      <c r="B722" s="119" t="s">
        <v>8642</v>
      </c>
      <c r="C722" s="119" t="s">
        <v>66</v>
      </c>
      <c r="D722" t="s">
        <v>49</v>
      </c>
      <c r="E722" s="117">
        <v>173.25</v>
      </c>
    </row>
    <row r="723" spans="1:5" x14ac:dyDescent="0.25">
      <c r="A723" s="119" t="s">
        <v>889</v>
      </c>
      <c r="B723" s="119" t="s">
        <v>737</v>
      </c>
      <c r="C723" s="119" t="s">
        <v>66</v>
      </c>
      <c r="D723" t="s">
        <v>6759</v>
      </c>
      <c r="E723" s="117">
        <v>359.52</v>
      </c>
    </row>
    <row r="724" spans="1:5" x14ac:dyDescent="0.25">
      <c r="A724" s="119" t="s">
        <v>890</v>
      </c>
      <c r="B724" s="119" t="s">
        <v>8643</v>
      </c>
      <c r="C724" s="119" t="s">
        <v>66</v>
      </c>
      <c r="D724" t="s">
        <v>45</v>
      </c>
      <c r="E724" s="117">
        <v>0</v>
      </c>
    </row>
    <row r="725" spans="1:5" x14ac:dyDescent="0.25">
      <c r="A725" s="119" t="s">
        <v>891</v>
      </c>
      <c r="B725" s="119" t="s">
        <v>8644</v>
      </c>
      <c r="C725" s="119" t="s">
        <v>66</v>
      </c>
      <c r="D725" t="s">
        <v>45</v>
      </c>
      <c r="E725" s="117">
        <v>0</v>
      </c>
    </row>
    <row r="726" spans="1:5" x14ac:dyDescent="0.25">
      <c r="A726" s="119" t="s">
        <v>892</v>
      </c>
      <c r="B726" s="119" t="s">
        <v>8645</v>
      </c>
      <c r="C726" s="119" t="s">
        <v>66</v>
      </c>
      <c r="D726" t="s">
        <v>45</v>
      </c>
      <c r="E726" s="117">
        <v>430.87</v>
      </c>
    </row>
    <row r="727" spans="1:5" x14ac:dyDescent="0.25">
      <c r="A727" s="119" t="s">
        <v>893</v>
      </c>
      <c r="B727" s="119" t="s">
        <v>8645</v>
      </c>
      <c r="C727" s="119" t="s">
        <v>66</v>
      </c>
      <c r="D727" t="s">
        <v>45</v>
      </c>
      <c r="E727" s="117">
        <v>430.87</v>
      </c>
    </row>
    <row r="728" spans="1:5" x14ac:dyDescent="0.25">
      <c r="A728" s="119" t="s">
        <v>894</v>
      </c>
      <c r="B728" s="119" t="s">
        <v>8646</v>
      </c>
      <c r="C728" s="119" t="s">
        <v>66</v>
      </c>
      <c r="D728" t="s">
        <v>49</v>
      </c>
      <c r="E728" s="117">
        <v>88.67</v>
      </c>
    </row>
    <row r="729" spans="1:5" x14ac:dyDescent="0.25">
      <c r="A729" s="119" t="s">
        <v>895</v>
      </c>
      <c r="B729" s="119" t="s">
        <v>896</v>
      </c>
      <c r="C729" s="119" t="s">
        <v>66</v>
      </c>
      <c r="D729" t="s">
        <v>6759</v>
      </c>
      <c r="E729" s="117">
        <v>189</v>
      </c>
    </row>
    <row r="730" spans="1:5" x14ac:dyDescent="0.25">
      <c r="A730" s="119" t="s">
        <v>897</v>
      </c>
      <c r="B730" s="119" t="s">
        <v>8647</v>
      </c>
      <c r="C730" s="119" t="s">
        <v>66</v>
      </c>
      <c r="D730" t="s">
        <v>6759</v>
      </c>
      <c r="E730" s="117">
        <v>196.35</v>
      </c>
    </row>
    <row r="731" spans="1:5" x14ac:dyDescent="0.25">
      <c r="A731" s="119" t="s">
        <v>898</v>
      </c>
      <c r="B731" s="119" t="s">
        <v>8648</v>
      </c>
      <c r="C731" s="119" t="s">
        <v>66</v>
      </c>
      <c r="D731" t="s">
        <v>6759</v>
      </c>
      <c r="E731" s="117">
        <v>196.35</v>
      </c>
    </row>
    <row r="732" spans="1:5" x14ac:dyDescent="0.25">
      <c r="A732" s="119" t="s">
        <v>899</v>
      </c>
      <c r="B732" s="119" t="s">
        <v>8649</v>
      </c>
      <c r="C732" s="119" t="s">
        <v>66</v>
      </c>
      <c r="D732" t="s">
        <v>6759</v>
      </c>
      <c r="E732" s="117">
        <v>624.57000000000005</v>
      </c>
    </row>
    <row r="733" spans="1:5" x14ac:dyDescent="0.25">
      <c r="A733" s="119" t="s">
        <v>900</v>
      </c>
      <c r="B733" s="119" t="s">
        <v>901</v>
      </c>
      <c r="C733" s="119" t="s">
        <v>66</v>
      </c>
      <c r="D733" t="s">
        <v>45</v>
      </c>
      <c r="E733" s="117">
        <v>205.58</v>
      </c>
    </row>
    <row r="734" spans="1:5" x14ac:dyDescent="0.25">
      <c r="A734" s="119" t="s">
        <v>902</v>
      </c>
      <c r="B734" s="119" t="s">
        <v>8650</v>
      </c>
      <c r="C734" s="119" t="s">
        <v>66</v>
      </c>
      <c r="D734" t="s">
        <v>45</v>
      </c>
      <c r="E734" s="117">
        <v>255.29</v>
      </c>
    </row>
    <row r="735" spans="1:5" x14ac:dyDescent="0.25">
      <c r="A735" s="119" t="s">
        <v>903</v>
      </c>
      <c r="B735" s="119" t="s">
        <v>8651</v>
      </c>
      <c r="C735" s="119" t="s">
        <v>66</v>
      </c>
      <c r="D735" t="s">
        <v>45</v>
      </c>
      <c r="E735" s="117">
        <v>117.3</v>
      </c>
    </row>
    <row r="736" spans="1:5" x14ac:dyDescent="0.25">
      <c r="A736" s="119" t="s">
        <v>904</v>
      </c>
      <c r="B736" s="119" t="s">
        <v>8652</v>
      </c>
      <c r="C736" s="119" t="s">
        <v>66</v>
      </c>
      <c r="D736" t="s">
        <v>45</v>
      </c>
      <c r="E736" s="117">
        <v>196.15</v>
      </c>
    </row>
    <row r="737" spans="1:5" x14ac:dyDescent="0.25">
      <c r="A737" s="119" t="s">
        <v>905</v>
      </c>
      <c r="B737" s="119" t="s">
        <v>8652</v>
      </c>
      <c r="C737" s="119" t="s">
        <v>66</v>
      </c>
      <c r="D737" t="s">
        <v>45</v>
      </c>
      <c r="E737" s="117">
        <v>196.15</v>
      </c>
    </row>
    <row r="738" spans="1:5" x14ac:dyDescent="0.25">
      <c r="A738" s="119" t="s">
        <v>906</v>
      </c>
      <c r="B738" s="119" t="s">
        <v>8653</v>
      </c>
      <c r="C738" s="119" t="s">
        <v>66</v>
      </c>
      <c r="D738" t="s">
        <v>49</v>
      </c>
      <c r="E738" s="117">
        <v>260.20999999999998</v>
      </c>
    </row>
    <row r="739" spans="1:5" x14ac:dyDescent="0.25">
      <c r="A739" s="119" t="s">
        <v>907</v>
      </c>
      <c r="B739" s="119" t="s">
        <v>8654</v>
      </c>
      <c r="C739" s="119" t="s">
        <v>66</v>
      </c>
      <c r="D739" t="s">
        <v>45</v>
      </c>
      <c r="E739" s="117">
        <v>260.20999999999998</v>
      </c>
    </row>
    <row r="740" spans="1:5" x14ac:dyDescent="0.25">
      <c r="A740" s="119" t="s">
        <v>908</v>
      </c>
      <c r="B740" s="119" t="s">
        <v>8655</v>
      </c>
      <c r="C740" s="119" t="s">
        <v>66</v>
      </c>
      <c r="D740" t="s">
        <v>45</v>
      </c>
      <c r="E740" s="117">
        <v>534.13</v>
      </c>
    </row>
    <row r="741" spans="1:5" x14ac:dyDescent="0.25">
      <c r="A741" s="119" t="s">
        <v>909</v>
      </c>
      <c r="B741" s="119" t="s">
        <v>8656</v>
      </c>
      <c r="C741" s="119" t="s">
        <v>66</v>
      </c>
      <c r="D741" t="s">
        <v>45</v>
      </c>
      <c r="E741" s="117">
        <v>0</v>
      </c>
    </row>
    <row r="742" spans="1:5" x14ac:dyDescent="0.25">
      <c r="A742" s="119" t="s">
        <v>910</v>
      </c>
      <c r="B742" s="119" t="s">
        <v>8657</v>
      </c>
      <c r="C742" s="119" t="s">
        <v>66</v>
      </c>
      <c r="D742" t="s">
        <v>6759</v>
      </c>
      <c r="E742" s="117">
        <v>25</v>
      </c>
    </row>
    <row r="743" spans="1:5" x14ac:dyDescent="0.25">
      <c r="A743" s="119" t="s">
        <v>911</v>
      </c>
      <c r="B743" s="119" t="s">
        <v>8658</v>
      </c>
      <c r="C743" s="119" t="s">
        <v>66</v>
      </c>
      <c r="D743" t="s">
        <v>6759</v>
      </c>
      <c r="E743" s="117">
        <v>52.4</v>
      </c>
    </row>
    <row r="744" spans="1:5" x14ac:dyDescent="0.25">
      <c r="A744" s="119" t="s">
        <v>912</v>
      </c>
      <c r="B744" s="119" t="s">
        <v>8659</v>
      </c>
      <c r="C744" s="119" t="s">
        <v>66</v>
      </c>
      <c r="D744" t="s">
        <v>45</v>
      </c>
      <c r="E744" s="117">
        <v>0</v>
      </c>
    </row>
    <row r="745" spans="1:5" x14ac:dyDescent="0.25">
      <c r="A745" s="119" t="s">
        <v>913</v>
      </c>
      <c r="B745" s="119" t="s">
        <v>8659</v>
      </c>
      <c r="C745" s="119" t="s">
        <v>66</v>
      </c>
      <c r="D745" t="s">
        <v>45</v>
      </c>
      <c r="E745" s="117">
        <v>0</v>
      </c>
    </row>
    <row r="746" spans="1:5" x14ac:dyDescent="0.25">
      <c r="A746" s="119" t="s">
        <v>914</v>
      </c>
      <c r="B746" s="119" t="s">
        <v>8660</v>
      </c>
      <c r="C746" s="119" t="s">
        <v>66</v>
      </c>
      <c r="D746" t="s">
        <v>45</v>
      </c>
      <c r="E746" s="117">
        <v>0</v>
      </c>
    </row>
    <row r="747" spans="1:5" x14ac:dyDescent="0.25">
      <c r="A747" s="119" t="s">
        <v>915</v>
      </c>
      <c r="B747" s="119" t="s">
        <v>8661</v>
      </c>
      <c r="C747" s="119" t="s">
        <v>66</v>
      </c>
      <c r="D747" t="s">
        <v>6760</v>
      </c>
      <c r="E747" s="117">
        <v>1605.64</v>
      </c>
    </row>
    <row r="748" spans="1:5" x14ac:dyDescent="0.25">
      <c r="A748" s="119" t="s">
        <v>916</v>
      </c>
      <c r="B748" s="119" t="s">
        <v>8662</v>
      </c>
      <c r="C748" s="119" t="s">
        <v>66</v>
      </c>
      <c r="D748" t="s">
        <v>6759</v>
      </c>
      <c r="E748" s="117">
        <v>674.19</v>
      </c>
    </row>
    <row r="749" spans="1:5" x14ac:dyDescent="0.25">
      <c r="A749" s="119" t="s">
        <v>917</v>
      </c>
      <c r="B749" s="119" t="s">
        <v>8663</v>
      </c>
      <c r="C749" s="119" t="s">
        <v>66</v>
      </c>
      <c r="D749" t="s">
        <v>45</v>
      </c>
      <c r="E749" s="117">
        <v>580</v>
      </c>
    </row>
    <row r="750" spans="1:5" x14ac:dyDescent="0.25">
      <c r="A750" s="119" t="s">
        <v>918</v>
      </c>
      <c r="B750" s="119" t="s">
        <v>8664</v>
      </c>
      <c r="C750" s="119" t="s">
        <v>66</v>
      </c>
      <c r="D750" t="s">
        <v>45</v>
      </c>
      <c r="E750" s="117">
        <v>993.43</v>
      </c>
    </row>
    <row r="751" spans="1:5" x14ac:dyDescent="0.25">
      <c r="A751" s="119" t="s">
        <v>919</v>
      </c>
      <c r="B751" s="119" t="s">
        <v>920</v>
      </c>
      <c r="C751" s="119" t="s">
        <v>66</v>
      </c>
      <c r="D751" t="s">
        <v>6759</v>
      </c>
      <c r="E751" s="117">
        <v>46.2</v>
      </c>
    </row>
    <row r="752" spans="1:5" x14ac:dyDescent="0.25">
      <c r="A752" s="119" t="s">
        <v>921</v>
      </c>
      <c r="B752" s="119" t="s">
        <v>8665</v>
      </c>
      <c r="C752" s="119" t="s">
        <v>66</v>
      </c>
      <c r="D752" t="s">
        <v>6759</v>
      </c>
      <c r="E752" s="117">
        <v>219</v>
      </c>
    </row>
    <row r="753" spans="1:5" x14ac:dyDescent="0.25">
      <c r="A753" s="119" t="s">
        <v>922</v>
      </c>
      <c r="B753" s="119" t="s">
        <v>923</v>
      </c>
      <c r="C753" s="119" t="s">
        <v>66</v>
      </c>
      <c r="D753" t="s">
        <v>6759</v>
      </c>
      <c r="E753" s="117">
        <v>64.05</v>
      </c>
    </row>
    <row r="754" spans="1:5" x14ac:dyDescent="0.25">
      <c r="A754" s="119" t="s">
        <v>924</v>
      </c>
      <c r="B754" s="119" t="s">
        <v>8666</v>
      </c>
      <c r="C754" s="119" t="s">
        <v>66</v>
      </c>
      <c r="D754" t="s">
        <v>49</v>
      </c>
      <c r="E754" s="117">
        <v>48.51</v>
      </c>
    </row>
    <row r="755" spans="1:5" x14ac:dyDescent="0.25">
      <c r="A755" s="119" t="s">
        <v>925</v>
      </c>
      <c r="B755" s="119" t="s">
        <v>8667</v>
      </c>
      <c r="C755" s="119" t="s">
        <v>66</v>
      </c>
      <c r="D755" t="s">
        <v>6759</v>
      </c>
      <c r="E755" s="117">
        <v>50.18</v>
      </c>
    </row>
    <row r="756" spans="1:5" x14ac:dyDescent="0.25">
      <c r="A756" s="119" t="s">
        <v>926</v>
      </c>
      <c r="B756" s="119" t="s">
        <v>8668</v>
      </c>
      <c r="C756" s="119" t="s">
        <v>66</v>
      </c>
      <c r="D756" t="s">
        <v>6759</v>
      </c>
      <c r="E756" s="117">
        <v>30.32</v>
      </c>
    </row>
    <row r="757" spans="1:5" x14ac:dyDescent="0.25">
      <c r="A757" s="119" t="s">
        <v>927</v>
      </c>
      <c r="B757" s="119" t="s">
        <v>8669</v>
      </c>
      <c r="C757" s="119" t="s">
        <v>66</v>
      </c>
      <c r="D757" t="s">
        <v>49</v>
      </c>
      <c r="E757" s="117">
        <v>72.45</v>
      </c>
    </row>
    <row r="758" spans="1:5" x14ac:dyDescent="0.25">
      <c r="A758" s="119" t="s">
        <v>928</v>
      </c>
      <c r="B758" s="119" t="s">
        <v>8670</v>
      </c>
      <c r="C758" s="119" t="s">
        <v>66</v>
      </c>
      <c r="D758" t="s">
        <v>6759</v>
      </c>
      <c r="E758" s="117">
        <v>143.22999999999999</v>
      </c>
    </row>
    <row r="759" spans="1:5" x14ac:dyDescent="0.25">
      <c r="A759" s="119" t="s">
        <v>929</v>
      </c>
      <c r="B759" s="119" t="s">
        <v>8671</v>
      </c>
      <c r="C759" s="119" t="s">
        <v>66</v>
      </c>
      <c r="D759" t="s">
        <v>6759</v>
      </c>
      <c r="E759" s="117">
        <v>154.04</v>
      </c>
    </row>
    <row r="760" spans="1:5" x14ac:dyDescent="0.25">
      <c r="A760" s="119" t="s">
        <v>930</v>
      </c>
      <c r="B760" s="119" t="s">
        <v>8672</v>
      </c>
      <c r="C760" s="119" t="s">
        <v>66</v>
      </c>
      <c r="D760" t="s">
        <v>6759</v>
      </c>
      <c r="E760" s="117">
        <v>78.83</v>
      </c>
    </row>
    <row r="761" spans="1:5" x14ac:dyDescent="0.25">
      <c r="A761" s="119" t="s">
        <v>931</v>
      </c>
      <c r="B761" s="119" t="s">
        <v>8673</v>
      </c>
      <c r="C761" s="119" t="s">
        <v>66</v>
      </c>
      <c r="D761" t="s">
        <v>6759</v>
      </c>
      <c r="E761" s="117">
        <v>143.09</v>
      </c>
    </row>
    <row r="762" spans="1:5" x14ac:dyDescent="0.25">
      <c r="A762" s="119" t="s">
        <v>932</v>
      </c>
      <c r="B762" s="119" t="s">
        <v>8674</v>
      </c>
      <c r="C762" s="119" t="s">
        <v>66</v>
      </c>
      <c r="D762" t="s">
        <v>6759</v>
      </c>
      <c r="E762" s="117">
        <v>192.35</v>
      </c>
    </row>
    <row r="763" spans="1:5" x14ac:dyDescent="0.25">
      <c r="A763" s="119" t="s">
        <v>933</v>
      </c>
      <c r="B763" s="119" t="s">
        <v>8675</v>
      </c>
      <c r="C763" s="119" t="s">
        <v>66</v>
      </c>
      <c r="D763" t="s">
        <v>6759</v>
      </c>
      <c r="E763" s="117">
        <v>196.35</v>
      </c>
    </row>
    <row r="764" spans="1:5" x14ac:dyDescent="0.25">
      <c r="A764" s="119" t="s">
        <v>934</v>
      </c>
      <c r="B764" s="119" t="s">
        <v>8676</v>
      </c>
      <c r="C764" s="119" t="s">
        <v>66</v>
      </c>
      <c r="D764" t="s">
        <v>6759</v>
      </c>
      <c r="E764" s="117">
        <v>25.47</v>
      </c>
    </row>
    <row r="765" spans="1:5" x14ac:dyDescent="0.25">
      <c r="A765" s="119" t="s">
        <v>935</v>
      </c>
      <c r="B765" s="119" t="s">
        <v>8677</v>
      </c>
      <c r="C765" s="119" t="s">
        <v>66</v>
      </c>
      <c r="D765" t="s">
        <v>49</v>
      </c>
      <c r="E765" s="117">
        <v>133.4</v>
      </c>
    </row>
    <row r="766" spans="1:5" x14ac:dyDescent="0.25">
      <c r="A766" s="119" t="s">
        <v>936</v>
      </c>
      <c r="B766" s="119" t="s">
        <v>8678</v>
      </c>
      <c r="C766" s="119" t="s">
        <v>66</v>
      </c>
      <c r="D766" t="s">
        <v>6759</v>
      </c>
      <c r="E766" s="117">
        <v>81.44</v>
      </c>
    </row>
    <row r="767" spans="1:5" x14ac:dyDescent="0.25">
      <c r="A767" s="119" t="s">
        <v>937</v>
      </c>
      <c r="B767" s="119" t="s">
        <v>8679</v>
      </c>
      <c r="C767" s="119" t="s">
        <v>66</v>
      </c>
      <c r="D767" t="s">
        <v>6759</v>
      </c>
      <c r="E767" s="117">
        <v>86.35</v>
      </c>
    </row>
    <row r="768" spans="1:5" x14ac:dyDescent="0.25">
      <c r="A768" s="119" t="s">
        <v>938</v>
      </c>
      <c r="B768" s="119" t="s">
        <v>8680</v>
      </c>
      <c r="C768" s="119" t="s">
        <v>66</v>
      </c>
      <c r="D768" t="s">
        <v>49</v>
      </c>
      <c r="E768" s="117">
        <v>194.04</v>
      </c>
    </row>
    <row r="769" spans="1:5" x14ac:dyDescent="0.25">
      <c r="A769" s="119" t="s">
        <v>939</v>
      </c>
      <c r="B769" s="119" t="s">
        <v>8681</v>
      </c>
      <c r="C769" s="119" t="s">
        <v>66</v>
      </c>
      <c r="D769" t="s">
        <v>6759</v>
      </c>
      <c r="E769" s="117">
        <v>143.59</v>
      </c>
    </row>
    <row r="770" spans="1:5" x14ac:dyDescent="0.25">
      <c r="A770" s="119" t="s">
        <v>940</v>
      </c>
      <c r="B770" s="119" t="s">
        <v>8682</v>
      </c>
      <c r="C770" s="119" t="s">
        <v>66</v>
      </c>
      <c r="D770" t="s">
        <v>6759</v>
      </c>
      <c r="E770" s="117">
        <v>90.96</v>
      </c>
    </row>
    <row r="771" spans="1:5" x14ac:dyDescent="0.25">
      <c r="A771" s="119" t="s">
        <v>941</v>
      </c>
      <c r="B771" s="119" t="s">
        <v>8683</v>
      </c>
      <c r="C771" s="119" t="s">
        <v>66</v>
      </c>
      <c r="D771" t="s">
        <v>6759</v>
      </c>
      <c r="E771" s="117">
        <v>8.11</v>
      </c>
    </row>
    <row r="772" spans="1:5" x14ac:dyDescent="0.25">
      <c r="A772" s="119" t="s">
        <v>942</v>
      </c>
      <c r="B772" s="119" t="s">
        <v>8684</v>
      </c>
      <c r="C772" s="119" t="s">
        <v>66</v>
      </c>
      <c r="D772" t="s">
        <v>6759</v>
      </c>
      <c r="E772" s="117">
        <v>18.2</v>
      </c>
    </row>
    <row r="773" spans="1:5" x14ac:dyDescent="0.25">
      <c r="A773" s="119" t="s">
        <v>943</v>
      </c>
      <c r="B773" s="119" t="s">
        <v>8685</v>
      </c>
      <c r="C773" s="119" t="s">
        <v>66</v>
      </c>
      <c r="D773" t="s">
        <v>49</v>
      </c>
      <c r="E773" s="117">
        <v>17.329999999999998</v>
      </c>
    </row>
    <row r="774" spans="1:5" x14ac:dyDescent="0.25">
      <c r="A774" s="119" t="s">
        <v>944</v>
      </c>
      <c r="B774" s="119" t="s">
        <v>8686</v>
      </c>
      <c r="C774" s="119" t="s">
        <v>66</v>
      </c>
      <c r="D774" t="s">
        <v>45</v>
      </c>
      <c r="E774" s="117">
        <v>72.77</v>
      </c>
    </row>
    <row r="775" spans="1:5" x14ac:dyDescent="0.25">
      <c r="A775" s="119" t="s">
        <v>945</v>
      </c>
      <c r="B775" s="119" t="s">
        <v>8687</v>
      </c>
      <c r="C775" s="119" t="s">
        <v>66</v>
      </c>
      <c r="D775" t="s">
        <v>6759</v>
      </c>
      <c r="E775" s="117">
        <v>24.33</v>
      </c>
    </row>
    <row r="776" spans="1:5" x14ac:dyDescent="0.25">
      <c r="A776" s="119" t="s">
        <v>946</v>
      </c>
      <c r="B776" s="119" t="s">
        <v>8688</v>
      </c>
      <c r="C776" s="119" t="s">
        <v>66</v>
      </c>
      <c r="D776" t="s">
        <v>49</v>
      </c>
      <c r="E776" s="117">
        <v>23.1</v>
      </c>
    </row>
    <row r="777" spans="1:5" x14ac:dyDescent="0.25">
      <c r="A777" s="119" t="s">
        <v>947</v>
      </c>
      <c r="B777" s="119" t="s">
        <v>8689</v>
      </c>
      <c r="C777" s="119" t="s">
        <v>66</v>
      </c>
      <c r="D777" t="s">
        <v>6760</v>
      </c>
      <c r="E777" s="117">
        <v>97.02</v>
      </c>
    </row>
    <row r="778" spans="1:5" x14ac:dyDescent="0.25">
      <c r="A778" s="119" t="s">
        <v>948</v>
      </c>
      <c r="B778" s="119" t="s">
        <v>8690</v>
      </c>
      <c r="C778" s="119" t="s">
        <v>66</v>
      </c>
      <c r="D778" t="s">
        <v>6759</v>
      </c>
      <c r="E778" s="117">
        <v>23.1</v>
      </c>
    </row>
    <row r="779" spans="1:5" x14ac:dyDescent="0.25">
      <c r="A779" s="119" t="s">
        <v>949</v>
      </c>
      <c r="B779" s="119" t="s">
        <v>8691</v>
      </c>
      <c r="C779" s="119" t="s">
        <v>66</v>
      </c>
      <c r="D779" t="s">
        <v>6759</v>
      </c>
      <c r="E779" s="117">
        <v>70.349999999999994</v>
      </c>
    </row>
    <row r="780" spans="1:5" x14ac:dyDescent="0.25">
      <c r="A780" s="119" t="s">
        <v>12025</v>
      </c>
      <c r="B780" s="119" t="s">
        <v>12026</v>
      </c>
      <c r="C780" s="119" t="s">
        <v>66</v>
      </c>
      <c r="D780" t="s">
        <v>45</v>
      </c>
      <c r="E780" s="117">
        <v>9999</v>
      </c>
    </row>
    <row r="781" spans="1:5" x14ac:dyDescent="0.25">
      <c r="A781" s="119" t="s">
        <v>950</v>
      </c>
      <c r="B781" s="119" t="s">
        <v>951</v>
      </c>
      <c r="C781" s="119" t="s">
        <v>66</v>
      </c>
      <c r="D781" t="s">
        <v>6759</v>
      </c>
      <c r="E781" s="117">
        <v>200.66</v>
      </c>
    </row>
    <row r="782" spans="1:5" x14ac:dyDescent="0.25">
      <c r="A782" s="119" t="s">
        <v>952</v>
      </c>
      <c r="B782" s="119" t="s">
        <v>8692</v>
      </c>
      <c r="C782" s="119" t="s">
        <v>66</v>
      </c>
      <c r="D782" t="s">
        <v>45</v>
      </c>
      <c r="E782" s="117">
        <v>1122.6600000000001</v>
      </c>
    </row>
    <row r="783" spans="1:5" x14ac:dyDescent="0.25">
      <c r="A783" s="119" t="s">
        <v>953</v>
      </c>
      <c r="B783" s="119" t="s">
        <v>8693</v>
      </c>
      <c r="C783" s="119" t="s">
        <v>66</v>
      </c>
      <c r="D783" t="s">
        <v>45</v>
      </c>
      <c r="E783" s="117">
        <v>1700</v>
      </c>
    </row>
    <row r="784" spans="1:5" x14ac:dyDescent="0.25">
      <c r="A784" s="119" t="s">
        <v>7404</v>
      </c>
      <c r="B784" s="119" t="s">
        <v>7405</v>
      </c>
      <c r="C784" s="119" t="s">
        <v>66</v>
      </c>
      <c r="D784" t="s">
        <v>6759</v>
      </c>
      <c r="E784" s="117">
        <v>131.33000000000001</v>
      </c>
    </row>
    <row r="785" spans="1:5" x14ac:dyDescent="0.25">
      <c r="A785" s="119" t="s">
        <v>954</v>
      </c>
      <c r="B785" s="119" t="s">
        <v>955</v>
      </c>
      <c r="C785" s="119" t="s">
        <v>66</v>
      </c>
      <c r="D785" t="s">
        <v>45</v>
      </c>
      <c r="E785" s="117">
        <v>189</v>
      </c>
    </row>
    <row r="786" spans="1:5" x14ac:dyDescent="0.25">
      <c r="A786" s="119" t="s">
        <v>956</v>
      </c>
      <c r="B786" s="119" t="s">
        <v>957</v>
      </c>
      <c r="C786" s="119" t="s">
        <v>66</v>
      </c>
      <c r="D786" t="s">
        <v>6759</v>
      </c>
      <c r="E786" s="117">
        <v>1050</v>
      </c>
    </row>
    <row r="787" spans="1:5" x14ac:dyDescent="0.25">
      <c r="A787" s="119" t="s">
        <v>958</v>
      </c>
      <c r="B787" s="119" t="s">
        <v>8694</v>
      </c>
      <c r="C787" s="119" t="s">
        <v>66</v>
      </c>
      <c r="D787" t="s">
        <v>6759</v>
      </c>
      <c r="E787" s="117">
        <v>1099</v>
      </c>
    </row>
    <row r="788" spans="1:5" x14ac:dyDescent="0.25">
      <c r="A788" s="119" t="s">
        <v>959</v>
      </c>
      <c r="B788" s="119" t="s">
        <v>8695</v>
      </c>
      <c r="C788" s="119" t="s">
        <v>66</v>
      </c>
      <c r="D788" t="s">
        <v>6760</v>
      </c>
      <c r="E788" s="117">
        <v>1832.33</v>
      </c>
    </row>
    <row r="789" spans="1:5" x14ac:dyDescent="0.25">
      <c r="A789" s="119" t="s">
        <v>960</v>
      </c>
      <c r="B789" s="119" t="s">
        <v>8696</v>
      </c>
      <c r="C789" s="119" t="s">
        <v>66</v>
      </c>
      <c r="D789" t="s">
        <v>6759</v>
      </c>
      <c r="E789" s="117">
        <v>826.97</v>
      </c>
    </row>
    <row r="790" spans="1:5" x14ac:dyDescent="0.25">
      <c r="A790" s="119" t="s">
        <v>961</v>
      </c>
      <c r="B790" s="119" t="s">
        <v>8697</v>
      </c>
      <c r="C790" s="119" t="s">
        <v>66</v>
      </c>
      <c r="D790" t="s">
        <v>45</v>
      </c>
      <c r="E790" s="117">
        <v>1497.22</v>
      </c>
    </row>
    <row r="791" spans="1:5" x14ac:dyDescent="0.25">
      <c r="A791" s="119" t="s">
        <v>962</v>
      </c>
      <c r="B791" s="119" t="s">
        <v>8698</v>
      </c>
      <c r="C791" s="119" t="s">
        <v>66</v>
      </c>
      <c r="D791" t="s">
        <v>45</v>
      </c>
      <c r="E791" s="117">
        <v>2486.6799999999998</v>
      </c>
    </row>
    <row r="792" spans="1:5" x14ac:dyDescent="0.25">
      <c r="A792" s="119" t="s">
        <v>963</v>
      </c>
      <c r="B792" s="119" t="s">
        <v>73</v>
      </c>
      <c r="C792" s="119" t="s">
        <v>66</v>
      </c>
      <c r="D792" t="s">
        <v>6759</v>
      </c>
      <c r="E792" s="117">
        <v>69.3</v>
      </c>
    </row>
    <row r="793" spans="1:5" x14ac:dyDescent="0.25">
      <c r="A793" s="119" t="s">
        <v>964</v>
      </c>
      <c r="B793" s="119" t="s">
        <v>965</v>
      </c>
      <c r="C793" s="119" t="s">
        <v>66</v>
      </c>
      <c r="D793" t="s">
        <v>6759</v>
      </c>
      <c r="E793" s="117">
        <v>584.75</v>
      </c>
    </row>
    <row r="794" spans="1:5" x14ac:dyDescent="0.25">
      <c r="A794" s="119" t="s">
        <v>966</v>
      </c>
      <c r="B794" s="119" t="s">
        <v>8699</v>
      </c>
      <c r="C794" s="119" t="s">
        <v>66</v>
      </c>
      <c r="D794" t="s">
        <v>49</v>
      </c>
      <c r="E794" s="117">
        <v>103.95</v>
      </c>
    </row>
    <row r="795" spans="1:5" x14ac:dyDescent="0.25">
      <c r="A795" s="119" t="s">
        <v>967</v>
      </c>
      <c r="B795" s="119" t="s">
        <v>8700</v>
      </c>
      <c r="C795" s="119" t="s">
        <v>66</v>
      </c>
      <c r="D795" t="s">
        <v>45</v>
      </c>
      <c r="E795" s="117">
        <v>133.4</v>
      </c>
    </row>
    <row r="796" spans="1:5" x14ac:dyDescent="0.25">
      <c r="A796" s="119" t="s">
        <v>968</v>
      </c>
      <c r="B796" s="119" t="s">
        <v>8701</v>
      </c>
      <c r="C796" s="119" t="s">
        <v>66</v>
      </c>
      <c r="D796" t="s">
        <v>49</v>
      </c>
      <c r="E796" s="117">
        <v>235.57</v>
      </c>
    </row>
    <row r="797" spans="1:5" x14ac:dyDescent="0.25">
      <c r="A797" s="119" t="s">
        <v>969</v>
      </c>
      <c r="B797" s="119" t="s">
        <v>8702</v>
      </c>
      <c r="C797" s="119" t="s">
        <v>66</v>
      </c>
      <c r="D797" t="s">
        <v>6759</v>
      </c>
      <c r="E797" s="117">
        <v>246.93</v>
      </c>
    </row>
    <row r="798" spans="1:5" x14ac:dyDescent="0.25">
      <c r="A798" s="119" t="s">
        <v>970</v>
      </c>
      <c r="B798" s="119" t="s">
        <v>8703</v>
      </c>
      <c r="C798" s="119" t="s">
        <v>66</v>
      </c>
      <c r="D798" t="s">
        <v>6759</v>
      </c>
      <c r="E798" s="117">
        <v>29.25</v>
      </c>
    </row>
    <row r="799" spans="1:5" x14ac:dyDescent="0.25">
      <c r="A799" s="119" t="s">
        <v>971</v>
      </c>
      <c r="B799" s="119" t="s">
        <v>972</v>
      </c>
      <c r="C799" s="119" t="s">
        <v>66</v>
      </c>
      <c r="D799" t="s">
        <v>6759</v>
      </c>
      <c r="E799" s="117">
        <v>420</v>
      </c>
    </row>
    <row r="800" spans="1:5" x14ac:dyDescent="0.25">
      <c r="A800" s="119" t="s">
        <v>973</v>
      </c>
      <c r="B800" s="119" t="s">
        <v>974</v>
      </c>
      <c r="C800" s="119" t="s">
        <v>66</v>
      </c>
      <c r="D800" t="s">
        <v>45</v>
      </c>
      <c r="E800" s="117">
        <v>346</v>
      </c>
    </row>
    <row r="801" spans="1:5" x14ac:dyDescent="0.25">
      <c r="A801" s="119" t="s">
        <v>975</v>
      </c>
      <c r="B801" s="119" t="s">
        <v>6395</v>
      </c>
      <c r="C801" s="119" t="s">
        <v>66</v>
      </c>
      <c r="D801" t="s">
        <v>6759</v>
      </c>
      <c r="E801" s="117">
        <v>15.32</v>
      </c>
    </row>
    <row r="802" spans="1:5" x14ac:dyDescent="0.25">
      <c r="A802" s="119" t="s">
        <v>976</v>
      </c>
      <c r="B802" s="119" t="s">
        <v>8704</v>
      </c>
      <c r="C802" s="119" t="s">
        <v>66</v>
      </c>
      <c r="D802" t="s">
        <v>6759</v>
      </c>
      <c r="E802" s="117">
        <v>418.95</v>
      </c>
    </row>
    <row r="803" spans="1:5" x14ac:dyDescent="0.25">
      <c r="A803" s="119" t="s">
        <v>977</v>
      </c>
      <c r="B803" s="119" t="s">
        <v>8705</v>
      </c>
      <c r="C803" s="119" t="s">
        <v>66</v>
      </c>
      <c r="D803" t="s">
        <v>49</v>
      </c>
      <c r="E803" s="117">
        <v>540.75</v>
      </c>
    </row>
    <row r="804" spans="1:5" x14ac:dyDescent="0.25">
      <c r="A804" s="119" t="s">
        <v>6796</v>
      </c>
      <c r="B804" s="119" t="s">
        <v>8706</v>
      </c>
      <c r="C804" s="119" t="s">
        <v>66</v>
      </c>
      <c r="D804" t="s">
        <v>6759</v>
      </c>
      <c r="E804" s="117">
        <v>80</v>
      </c>
    </row>
    <row r="805" spans="1:5" x14ac:dyDescent="0.25">
      <c r="A805" s="119" t="s">
        <v>978</v>
      </c>
      <c r="B805" s="119" t="s">
        <v>8707</v>
      </c>
      <c r="C805" s="119" t="s">
        <v>66</v>
      </c>
      <c r="D805" t="s">
        <v>49</v>
      </c>
      <c r="E805" s="117">
        <v>90.96</v>
      </c>
    </row>
    <row r="806" spans="1:5" x14ac:dyDescent="0.25">
      <c r="A806" s="119" t="s">
        <v>979</v>
      </c>
      <c r="B806" s="119" t="s">
        <v>8708</v>
      </c>
      <c r="C806" s="119" t="s">
        <v>66</v>
      </c>
      <c r="D806" t="s">
        <v>6759</v>
      </c>
      <c r="E806" s="117">
        <v>99</v>
      </c>
    </row>
    <row r="807" spans="1:5" x14ac:dyDescent="0.25">
      <c r="A807" s="119" t="s">
        <v>980</v>
      </c>
      <c r="B807" s="119" t="s">
        <v>981</v>
      </c>
      <c r="C807" s="119" t="s">
        <v>66</v>
      </c>
      <c r="D807" t="s">
        <v>6759</v>
      </c>
      <c r="E807" s="117">
        <v>103.09</v>
      </c>
    </row>
    <row r="808" spans="1:5" x14ac:dyDescent="0.25">
      <c r="A808" s="119" t="s">
        <v>982</v>
      </c>
      <c r="B808" s="119" t="s">
        <v>8709</v>
      </c>
      <c r="C808" s="119" t="s">
        <v>66</v>
      </c>
      <c r="D808" t="s">
        <v>45</v>
      </c>
      <c r="E808" s="117">
        <v>353.85</v>
      </c>
    </row>
    <row r="809" spans="1:5" x14ac:dyDescent="0.25">
      <c r="A809" s="119" t="s">
        <v>983</v>
      </c>
      <c r="B809" s="119" t="s">
        <v>8710</v>
      </c>
      <c r="C809" s="119" t="s">
        <v>66</v>
      </c>
      <c r="D809" t="s">
        <v>49</v>
      </c>
      <c r="E809" s="117">
        <v>39</v>
      </c>
    </row>
    <row r="810" spans="1:5" x14ac:dyDescent="0.25">
      <c r="A810" s="119" t="s">
        <v>984</v>
      </c>
      <c r="B810" s="119" t="s">
        <v>8711</v>
      </c>
      <c r="C810" s="119" t="s">
        <v>66</v>
      </c>
      <c r="D810" t="s">
        <v>45</v>
      </c>
      <c r="E810" s="117">
        <v>491.84</v>
      </c>
    </row>
    <row r="811" spans="1:5" x14ac:dyDescent="0.25">
      <c r="A811" s="119" t="s">
        <v>6746</v>
      </c>
      <c r="B811" s="119" t="s">
        <v>6747</v>
      </c>
      <c r="C811" s="119" t="s">
        <v>66</v>
      </c>
      <c r="D811" t="s">
        <v>45</v>
      </c>
      <c r="E811" s="117">
        <v>75</v>
      </c>
    </row>
    <row r="812" spans="1:5" x14ac:dyDescent="0.25">
      <c r="A812" s="119" t="s">
        <v>985</v>
      </c>
      <c r="B812" s="119" t="s">
        <v>8712</v>
      </c>
      <c r="C812" s="119" t="s">
        <v>66</v>
      </c>
      <c r="D812" t="s">
        <v>6759</v>
      </c>
      <c r="E812" s="117">
        <v>628.95000000000005</v>
      </c>
    </row>
    <row r="813" spans="1:5" x14ac:dyDescent="0.25">
      <c r="A813" s="119" t="s">
        <v>986</v>
      </c>
      <c r="B813" s="119" t="s">
        <v>8713</v>
      </c>
      <c r="C813" s="119" t="s">
        <v>66</v>
      </c>
      <c r="D813" t="s">
        <v>6759</v>
      </c>
      <c r="E813" s="117">
        <v>208.95</v>
      </c>
    </row>
    <row r="814" spans="1:5" x14ac:dyDescent="0.25">
      <c r="A814" s="119" t="s">
        <v>8105</v>
      </c>
      <c r="B814" s="119" t="s">
        <v>8106</v>
      </c>
      <c r="C814" s="119" t="s">
        <v>66</v>
      </c>
      <c r="D814" t="s">
        <v>49</v>
      </c>
      <c r="E814" s="117">
        <v>9999</v>
      </c>
    </row>
    <row r="815" spans="1:5" x14ac:dyDescent="0.25">
      <c r="A815" s="119" t="s">
        <v>987</v>
      </c>
      <c r="B815" s="119" t="s">
        <v>8714</v>
      </c>
      <c r="C815" s="119" t="s">
        <v>66</v>
      </c>
      <c r="D815" t="s">
        <v>49</v>
      </c>
      <c r="E815" s="117">
        <v>22</v>
      </c>
    </row>
    <row r="816" spans="1:5" x14ac:dyDescent="0.25">
      <c r="A816" s="119" t="s">
        <v>988</v>
      </c>
      <c r="B816" s="119" t="s">
        <v>8715</v>
      </c>
      <c r="C816" s="119" t="s">
        <v>66</v>
      </c>
      <c r="D816" t="s">
        <v>49</v>
      </c>
      <c r="E816" s="117">
        <v>22.97</v>
      </c>
    </row>
    <row r="817" spans="1:5" x14ac:dyDescent="0.25">
      <c r="A817" s="119" t="s">
        <v>989</v>
      </c>
      <c r="B817" s="119" t="s">
        <v>8716</v>
      </c>
      <c r="C817" s="119" t="s">
        <v>66</v>
      </c>
      <c r="D817" t="s">
        <v>6759</v>
      </c>
      <c r="E817" s="117">
        <v>24.26</v>
      </c>
    </row>
    <row r="818" spans="1:5" x14ac:dyDescent="0.25">
      <c r="A818" s="119" t="s">
        <v>990</v>
      </c>
      <c r="B818" s="119" t="s">
        <v>8717</v>
      </c>
      <c r="C818" s="119" t="s">
        <v>66</v>
      </c>
      <c r="D818" t="s">
        <v>49</v>
      </c>
      <c r="E818" s="117">
        <v>22</v>
      </c>
    </row>
    <row r="819" spans="1:5" x14ac:dyDescent="0.25">
      <c r="A819" s="119" t="s">
        <v>991</v>
      </c>
      <c r="B819" s="119" t="s">
        <v>8718</v>
      </c>
      <c r="C819" s="119" t="s">
        <v>66</v>
      </c>
      <c r="D819" t="s">
        <v>6759</v>
      </c>
      <c r="E819" s="117">
        <v>24.15</v>
      </c>
    </row>
    <row r="820" spans="1:5" x14ac:dyDescent="0.25">
      <c r="A820" s="119" t="s">
        <v>992</v>
      </c>
      <c r="B820" s="119" t="s">
        <v>8719</v>
      </c>
      <c r="C820" s="119" t="s">
        <v>66</v>
      </c>
      <c r="D820" t="s">
        <v>6759</v>
      </c>
      <c r="E820" s="117">
        <v>80.849999999999994</v>
      </c>
    </row>
    <row r="821" spans="1:5" x14ac:dyDescent="0.25">
      <c r="A821" s="119" t="s">
        <v>993</v>
      </c>
      <c r="B821" s="119" t="s">
        <v>994</v>
      </c>
      <c r="C821" s="119" t="s">
        <v>66</v>
      </c>
      <c r="D821" t="s">
        <v>6759</v>
      </c>
      <c r="E821" s="117">
        <v>726.39</v>
      </c>
    </row>
    <row r="822" spans="1:5" x14ac:dyDescent="0.25">
      <c r="A822" s="119" t="s">
        <v>995</v>
      </c>
      <c r="B822" s="119" t="s">
        <v>996</v>
      </c>
      <c r="C822" s="119" t="s">
        <v>66</v>
      </c>
      <c r="D822" t="s">
        <v>49</v>
      </c>
      <c r="E822" s="117">
        <v>33.71</v>
      </c>
    </row>
    <row r="823" spans="1:5" x14ac:dyDescent="0.25">
      <c r="A823" s="119" t="s">
        <v>997</v>
      </c>
      <c r="B823" s="119" t="s">
        <v>998</v>
      </c>
      <c r="C823" s="119" t="s">
        <v>66</v>
      </c>
      <c r="D823" t="s">
        <v>6759</v>
      </c>
      <c r="E823" s="117">
        <v>34.409999999999997</v>
      </c>
    </row>
    <row r="824" spans="1:5" x14ac:dyDescent="0.25">
      <c r="A824" s="119" t="s">
        <v>999</v>
      </c>
      <c r="B824" s="119" t="s">
        <v>737</v>
      </c>
      <c r="C824" s="119" t="s">
        <v>66</v>
      </c>
      <c r="D824" t="s">
        <v>6759</v>
      </c>
      <c r="E824" s="117">
        <v>359.52</v>
      </c>
    </row>
    <row r="825" spans="1:5" x14ac:dyDescent="0.25">
      <c r="A825" s="119" t="s">
        <v>1000</v>
      </c>
      <c r="B825" s="119" t="s">
        <v>1001</v>
      </c>
      <c r="C825" s="119" t="s">
        <v>66</v>
      </c>
      <c r="D825" t="s">
        <v>49</v>
      </c>
      <c r="E825" s="117">
        <v>589.89</v>
      </c>
    </row>
    <row r="826" spans="1:5" x14ac:dyDescent="0.25">
      <c r="A826" s="119" t="s">
        <v>1002</v>
      </c>
      <c r="B826" s="119" t="s">
        <v>8403</v>
      </c>
      <c r="C826" s="119" t="s">
        <v>66</v>
      </c>
      <c r="D826" t="s">
        <v>45</v>
      </c>
      <c r="E826" s="117">
        <v>1887.48</v>
      </c>
    </row>
    <row r="827" spans="1:5" x14ac:dyDescent="0.25">
      <c r="A827" s="119" t="s">
        <v>1003</v>
      </c>
      <c r="B827" s="119" t="s">
        <v>8404</v>
      </c>
      <c r="C827" s="119" t="s">
        <v>66</v>
      </c>
      <c r="D827" t="s">
        <v>45</v>
      </c>
      <c r="E827" s="117">
        <v>2235.25</v>
      </c>
    </row>
    <row r="828" spans="1:5" x14ac:dyDescent="0.25">
      <c r="A828" s="119" t="s">
        <v>1004</v>
      </c>
      <c r="B828" s="119" t="s">
        <v>1005</v>
      </c>
      <c r="C828" s="119" t="s">
        <v>66</v>
      </c>
      <c r="D828" t="s">
        <v>6760</v>
      </c>
      <c r="E828" s="117">
        <v>196.15</v>
      </c>
    </row>
    <row r="829" spans="1:5" x14ac:dyDescent="0.25">
      <c r="A829" s="119" t="s">
        <v>1006</v>
      </c>
      <c r="B829" s="119" t="s">
        <v>1005</v>
      </c>
      <c r="C829" s="119" t="s">
        <v>66</v>
      </c>
      <c r="D829" t="s">
        <v>6760</v>
      </c>
      <c r="E829" s="117">
        <v>196.15</v>
      </c>
    </row>
    <row r="830" spans="1:5" x14ac:dyDescent="0.25">
      <c r="A830" s="119" t="s">
        <v>1007</v>
      </c>
      <c r="B830" s="119" t="s">
        <v>8720</v>
      </c>
      <c r="C830" s="119" t="s">
        <v>66</v>
      </c>
      <c r="D830" t="s">
        <v>6759</v>
      </c>
      <c r="E830" s="117">
        <v>14.18</v>
      </c>
    </row>
    <row r="831" spans="1:5" x14ac:dyDescent="0.25">
      <c r="A831" s="119" t="s">
        <v>1008</v>
      </c>
      <c r="B831" s="119" t="s">
        <v>8721</v>
      </c>
      <c r="C831" s="119" t="s">
        <v>66</v>
      </c>
      <c r="D831" t="s">
        <v>6759</v>
      </c>
      <c r="E831" s="117">
        <v>15</v>
      </c>
    </row>
    <row r="832" spans="1:5" x14ac:dyDescent="0.25">
      <c r="A832" s="119" t="s">
        <v>1009</v>
      </c>
      <c r="B832" s="119" t="s">
        <v>8722</v>
      </c>
      <c r="C832" s="119" t="s">
        <v>66</v>
      </c>
      <c r="D832" t="s">
        <v>6759</v>
      </c>
      <c r="E832" s="117">
        <v>30.98</v>
      </c>
    </row>
    <row r="833" spans="1:5" x14ac:dyDescent="0.25">
      <c r="A833" s="119" t="s">
        <v>1010</v>
      </c>
      <c r="B833" s="119" t="s">
        <v>8723</v>
      </c>
      <c r="C833" s="119" t="s">
        <v>66</v>
      </c>
      <c r="D833" t="s">
        <v>49</v>
      </c>
      <c r="E833" s="117">
        <v>21</v>
      </c>
    </row>
    <row r="834" spans="1:5" x14ac:dyDescent="0.25">
      <c r="A834" s="119" t="s">
        <v>1011</v>
      </c>
      <c r="B834" s="119" t="s">
        <v>8724</v>
      </c>
      <c r="C834" s="119" t="s">
        <v>66</v>
      </c>
      <c r="D834" t="s">
        <v>6759</v>
      </c>
      <c r="E834" s="117">
        <v>529</v>
      </c>
    </row>
    <row r="835" spans="1:5" x14ac:dyDescent="0.25">
      <c r="A835" s="119" t="s">
        <v>1012</v>
      </c>
      <c r="B835" s="119" t="s">
        <v>8725</v>
      </c>
      <c r="C835" s="119" t="s">
        <v>66</v>
      </c>
      <c r="D835" t="s">
        <v>6759</v>
      </c>
      <c r="E835" s="117">
        <v>450</v>
      </c>
    </row>
    <row r="836" spans="1:5" x14ac:dyDescent="0.25">
      <c r="A836" s="119" t="s">
        <v>1013</v>
      </c>
      <c r="B836" s="119" t="s">
        <v>11795</v>
      </c>
      <c r="C836" s="119" t="s">
        <v>66</v>
      </c>
      <c r="D836" t="s">
        <v>6759</v>
      </c>
      <c r="E836" s="117">
        <v>1313.27</v>
      </c>
    </row>
    <row r="837" spans="1:5" x14ac:dyDescent="0.25">
      <c r="A837" s="119" t="s">
        <v>1014</v>
      </c>
      <c r="B837" s="119" t="s">
        <v>1015</v>
      </c>
      <c r="C837" s="119" t="s">
        <v>66</v>
      </c>
      <c r="D837" t="s">
        <v>49</v>
      </c>
      <c r="E837" s="117">
        <v>74.56</v>
      </c>
    </row>
    <row r="838" spans="1:5" x14ac:dyDescent="0.25">
      <c r="A838" s="119" t="s">
        <v>1016</v>
      </c>
      <c r="B838" s="119" t="s">
        <v>1017</v>
      </c>
      <c r="C838" s="119" t="s">
        <v>66</v>
      </c>
      <c r="D838" t="s">
        <v>49</v>
      </c>
      <c r="E838" s="117">
        <v>22.16</v>
      </c>
    </row>
    <row r="839" spans="1:5" x14ac:dyDescent="0.25">
      <c r="A839" s="119" t="s">
        <v>1018</v>
      </c>
      <c r="B839" s="119" t="s">
        <v>1019</v>
      </c>
      <c r="C839" s="119" t="s">
        <v>66</v>
      </c>
      <c r="D839" t="s">
        <v>49</v>
      </c>
      <c r="E839" s="117">
        <v>89.66</v>
      </c>
    </row>
    <row r="840" spans="1:5" x14ac:dyDescent="0.25">
      <c r="A840" s="119" t="s">
        <v>1020</v>
      </c>
      <c r="B840" s="119" t="s">
        <v>8726</v>
      </c>
      <c r="C840" s="119" t="s">
        <v>66</v>
      </c>
      <c r="D840" t="s">
        <v>49</v>
      </c>
      <c r="E840" s="117">
        <v>22.97</v>
      </c>
    </row>
    <row r="841" spans="1:5" x14ac:dyDescent="0.25">
      <c r="A841" s="119" t="s">
        <v>1021</v>
      </c>
      <c r="B841" s="119" t="s">
        <v>8727</v>
      </c>
      <c r="C841" s="119" t="s">
        <v>66</v>
      </c>
      <c r="D841" t="s">
        <v>49</v>
      </c>
      <c r="E841" s="117">
        <v>24.15</v>
      </c>
    </row>
    <row r="842" spans="1:5" x14ac:dyDescent="0.25">
      <c r="A842" s="119" t="s">
        <v>1022</v>
      </c>
      <c r="B842" s="119" t="s">
        <v>1023</v>
      </c>
      <c r="C842" s="119" t="s">
        <v>66</v>
      </c>
      <c r="D842" t="s">
        <v>45</v>
      </c>
      <c r="E842" s="117">
        <v>102.17</v>
      </c>
    </row>
    <row r="843" spans="1:5" x14ac:dyDescent="0.25">
      <c r="A843" s="119" t="s">
        <v>1024</v>
      </c>
      <c r="B843" s="119" t="s">
        <v>8728</v>
      </c>
      <c r="C843" s="119" t="s">
        <v>66</v>
      </c>
      <c r="D843" t="s">
        <v>45</v>
      </c>
      <c r="E843" s="117">
        <v>75.19</v>
      </c>
    </row>
    <row r="844" spans="1:5" x14ac:dyDescent="0.25">
      <c r="A844" s="119" t="s">
        <v>1025</v>
      </c>
      <c r="B844" s="119" t="s">
        <v>1026</v>
      </c>
      <c r="C844" s="119" t="s">
        <v>66</v>
      </c>
      <c r="D844" t="s">
        <v>6759</v>
      </c>
      <c r="E844" s="117">
        <v>268.8</v>
      </c>
    </row>
    <row r="845" spans="1:5" x14ac:dyDescent="0.25">
      <c r="A845" s="119" t="s">
        <v>6797</v>
      </c>
      <c r="B845" s="119" t="s">
        <v>8729</v>
      </c>
      <c r="C845" s="119" t="s">
        <v>66</v>
      </c>
      <c r="D845" t="s">
        <v>6759</v>
      </c>
      <c r="E845" s="117">
        <v>20</v>
      </c>
    </row>
    <row r="846" spans="1:5" x14ac:dyDescent="0.25">
      <c r="A846" s="119" t="s">
        <v>1027</v>
      </c>
      <c r="B846" s="119" t="s">
        <v>8730</v>
      </c>
      <c r="C846" s="119" t="s">
        <v>66</v>
      </c>
      <c r="D846" t="s">
        <v>6759</v>
      </c>
      <c r="E846" s="117">
        <v>72.45</v>
      </c>
    </row>
    <row r="847" spans="1:5" x14ac:dyDescent="0.25">
      <c r="A847" s="119" t="s">
        <v>1028</v>
      </c>
      <c r="B847" s="119" t="s">
        <v>8731</v>
      </c>
      <c r="C847" s="119" t="s">
        <v>66</v>
      </c>
      <c r="D847" t="s">
        <v>49</v>
      </c>
      <c r="E847" s="117">
        <v>31.5</v>
      </c>
    </row>
    <row r="848" spans="1:5" x14ac:dyDescent="0.25">
      <c r="A848" s="119" t="s">
        <v>1029</v>
      </c>
      <c r="B848" s="119" t="s">
        <v>8732</v>
      </c>
      <c r="C848" s="119" t="s">
        <v>66</v>
      </c>
      <c r="D848" t="s">
        <v>49</v>
      </c>
      <c r="E848" s="117">
        <v>32</v>
      </c>
    </row>
    <row r="849" spans="1:5" x14ac:dyDescent="0.25">
      <c r="A849" s="119" t="s">
        <v>1030</v>
      </c>
      <c r="B849" s="119" t="s">
        <v>8733</v>
      </c>
      <c r="C849" s="119" t="s">
        <v>66</v>
      </c>
      <c r="D849" t="s">
        <v>49</v>
      </c>
      <c r="E849" s="117">
        <v>13.55</v>
      </c>
    </row>
    <row r="850" spans="1:5" x14ac:dyDescent="0.25">
      <c r="A850" s="119" t="s">
        <v>1031</v>
      </c>
      <c r="B850" s="119" t="s">
        <v>1032</v>
      </c>
      <c r="C850" s="119" t="s">
        <v>66</v>
      </c>
      <c r="D850" t="s">
        <v>6760</v>
      </c>
      <c r="E850" s="117">
        <v>419.79</v>
      </c>
    </row>
    <row r="851" spans="1:5" x14ac:dyDescent="0.25">
      <c r="A851" s="119" t="s">
        <v>1033</v>
      </c>
      <c r="B851" s="119" t="s">
        <v>8734</v>
      </c>
      <c r="C851" s="119" t="s">
        <v>66</v>
      </c>
      <c r="D851" t="s">
        <v>49</v>
      </c>
      <c r="E851" s="117">
        <v>788.29</v>
      </c>
    </row>
    <row r="852" spans="1:5" x14ac:dyDescent="0.25">
      <c r="A852" s="119" t="s">
        <v>1034</v>
      </c>
      <c r="B852" s="119" t="s">
        <v>12010</v>
      </c>
      <c r="C852" s="119" t="s">
        <v>66</v>
      </c>
      <c r="D852" t="s">
        <v>6759</v>
      </c>
      <c r="E852" s="117">
        <v>871.5</v>
      </c>
    </row>
    <row r="853" spans="1:5" x14ac:dyDescent="0.25">
      <c r="A853" s="119" t="s">
        <v>1035</v>
      </c>
      <c r="B853" s="119" t="s">
        <v>1036</v>
      </c>
      <c r="C853" s="119" t="s">
        <v>66</v>
      </c>
      <c r="D853" t="s">
        <v>45</v>
      </c>
      <c r="E853" s="117">
        <v>314.58</v>
      </c>
    </row>
    <row r="854" spans="1:5" x14ac:dyDescent="0.25">
      <c r="A854" s="119" t="s">
        <v>1037</v>
      </c>
      <c r="B854" s="119" t="s">
        <v>1038</v>
      </c>
      <c r="C854" s="119" t="s">
        <v>66</v>
      </c>
      <c r="D854" t="s">
        <v>49</v>
      </c>
      <c r="E854" s="117">
        <v>393.23</v>
      </c>
    </row>
    <row r="855" spans="1:5" x14ac:dyDescent="0.25">
      <c r="A855" s="119" t="s">
        <v>1039</v>
      </c>
      <c r="B855" s="119" t="s">
        <v>1040</v>
      </c>
      <c r="C855" s="119" t="s">
        <v>66</v>
      </c>
      <c r="D855" t="s">
        <v>6759</v>
      </c>
      <c r="E855" s="117">
        <v>344.81</v>
      </c>
    </row>
    <row r="856" spans="1:5" x14ac:dyDescent="0.25">
      <c r="A856" s="119" t="s">
        <v>1041</v>
      </c>
      <c r="B856" s="119" t="s">
        <v>8735</v>
      </c>
      <c r="C856" s="119" t="s">
        <v>66</v>
      </c>
      <c r="D856" t="s">
        <v>6759</v>
      </c>
      <c r="E856" s="117">
        <v>75</v>
      </c>
    </row>
    <row r="857" spans="1:5" x14ac:dyDescent="0.25">
      <c r="A857" s="119" t="s">
        <v>1042</v>
      </c>
      <c r="B857" s="119" t="s">
        <v>1043</v>
      </c>
      <c r="C857" s="119" t="s">
        <v>66</v>
      </c>
      <c r="D857" t="s">
        <v>6759</v>
      </c>
      <c r="E857" s="117">
        <v>191.34</v>
      </c>
    </row>
    <row r="858" spans="1:5" x14ac:dyDescent="0.25">
      <c r="A858" s="119" t="s">
        <v>1044</v>
      </c>
      <c r="B858" s="119" t="s">
        <v>8736</v>
      </c>
      <c r="C858" s="119" t="s">
        <v>66</v>
      </c>
      <c r="D858" t="s">
        <v>6759</v>
      </c>
      <c r="E858" s="117">
        <v>1099</v>
      </c>
    </row>
    <row r="859" spans="1:5" x14ac:dyDescent="0.25">
      <c r="A859" s="119" t="s">
        <v>1045</v>
      </c>
      <c r="B859" s="119" t="s">
        <v>8737</v>
      </c>
      <c r="C859" s="119" t="s">
        <v>66</v>
      </c>
      <c r="D859" t="s">
        <v>49</v>
      </c>
      <c r="E859" s="117">
        <v>2109.4499999999998</v>
      </c>
    </row>
    <row r="860" spans="1:5" x14ac:dyDescent="0.25">
      <c r="A860" s="119" t="s">
        <v>1046</v>
      </c>
      <c r="B860" s="119" t="s">
        <v>8738</v>
      </c>
      <c r="C860" s="119" t="s">
        <v>66</v>
      </c>
      <c r="D860" t="s">
        <v>49</v>
      </c>
      <c r="E860" s="117">
        <v>2487.4499999999998</v>
      </c>
    </row>
    <row r="861" spans="1:5" x14ac:dyDescent="0.25">
      <c r="A861" s="119" t="s">
        <v>1047</v>
      </c>
      <c r="B861" s="119" t="s">
        <v>1048</v>
      </c>
      <c r="C861" s="119" t="s">
        <v>66</v>
      </c>
      <c r="D861" t="s">
        <v>49</v>
      </c>
      <c r="E861" s="117">
        <v>48.31</v>
      </c>
    </row>
    <row r="862" spans="1:5" x14ac:dyDescent="0.25">
      <c r="A862" s="119" t="s">
        <v>1049</v>
      </c>
      <c r="B862" s="119" t="s">
        <v>8739</v>
      </c>
      <c r="C862" s="119" t="s">
        <v>66</v>
      </c>
      <c r="D862" t="s">
        <v>6759</v>
      </c>
      <c r="E862" s="117">
        <v>179</v>
      </c>
    </row>
    <row r="863" spans="1:5" x14ac:dyDescent="0.25">
      <c r="A863" s="119" t="s">
        <v>1050</v>
      </c>
      <c r="B863" s="119" t="s">
        <v>8740</v>
      </c>
      <c r="C863" s="119" t="s">
        <v>66</v>
      </c>
      <c r="D863" t="s">
        <v>49</v>
      </c>
      <c r="E863" s="117">
        <v>16.8</v>
      </c>
    </row>
    <row r="864" spans="1:5" x14ac:dyDescent="0.25">
      <c r="A864" s="119" t="s">
        <v>1051</v>
      </c>
      <c r="B864" s="119" t="s">
        <v>8741</v>
      </c>
      <c r="C864" s="119" t="s">
        <v>66</v>
      </c>
      <c r="D864" t="s">
        <v>49</v>
      </c>
      <c r="E864" s="117">
        <v>44.1</v>
      </c>
    </row>
    <row r="865" spans="1:5" x14ac:dyDescent="0.25">
      <c r="A865" s="119" t="s">
        <v>1052</v>
      </c>
      <c r="B865" s="119" t="s">
        <v>8742</v>
      </c>
      <c r="C865" s="119" t="s">
        <v>66</v>
      </c>
      <c r="D865" t="s">
        <v>6759</v>
      </c>
      <c r="E865" s="117">
        <v>129</v>
      </c>
    </row>
    <row r="866" spans="1:5" x14ac:dyDescent="0.25">
      <c r="A866" s="119" t="s">
        <v>1053</v>
      </c>
      <c r="B866" s="119" t="s">
        <v>8743</v>
      </c>
      <c r="C866" s="119" t="s">
        <v>66</v>
      </c>
      <c r="D866" t="s">
        <v>45</v>
      </c>
      <c r="E866" s="117">
        <v>135.44999999999999</v>
      </c>
    </row>
    <row r="867" spans="1:5" x14ac:dyDescent="0.25">
      <c r="A867" s="119" t="s">
        <v>1054</v>
      </c>
      <c r="B867" s="119" t="s">
        <v>8271</v>
      </c>
      <c r="C867" s="119" t="s">
        <v>66</v>
      </c>
      <c r="D867" t="s">
        <v>6759</v>
      </c>
      <c r="E867" s="117">
        <v>22</v>
      </c>
    </row>
    <row r="868" spans="1:5" x14ac:dyDescent="0.25">
      <c r="A868" s="119" t="s">
        <v>1055</v>
      </c>
      <c r="B868" s="119" t="s">
        <v>8744</v>
      </c>
      <c r="C868" s="119" t="s">
        <v>66</v>
      </c>
      <c r="D868" t="s">
        <v>49</v>
      </c>
      <c r="E868" s="117">
        <v>151.6</v>
      </c>
    </row>
    <row r="869" spans="1:5" x14ac:dyDescent="0.25">
      <c r="A869" s="119" t="s">
        <v>1056</v>
      </c>
      <c r="B869" s="119" t="s">
        <v>1057</v>
      </c>
      <c r="C869" s="119" t="s">
        <v>66</v>
      </c>
      <c r="D869" t="s">
        <v>6759</v>
      </c>
      <c r="E869" s="117">
        <v>561.39</v>
      </c>
    </row>
    <row r="870" spans="1:5" x14ac:dyDescent="0.25">
      <c r="A870" s="119" t="s">
        <v>1058</v>
      </c>
      <c r="B870" s="119" t="s">
        <v>1059</v>
      </c>
      <c r="C870" s="119" t="s">
        <v>66</v>
      </c>
      <c r="D870" t="s">
        <v>6759</v>
      </c>
      <c r="E870" s="117">
        <v>364.74</v>
      </c>
    </row>
    <row r="871" spans="1:5" x14ac:dyDescent="0.25">
      <c r="A871" s="119" t="s">
        <v>1060</v>
      </c>
      <c r="B871" s="119" t="s">
        <v>1061</v>
      </c>
      <c r="C871" s="119" t="s">
        <v>66</v>
      </c>
      <c r="D871" t="s">
        <v>45</v>
      </c>
      <c r="E871" s="117">
        <v>478.33</v>
      </c>
    </row>
    <row r="872" spans="1:5" x14ac:dyDescent="0.25">
      <c r="A872" s="119" t="s">
        <v>6798</v>
      </c>
      <c r="B872" s="119" t="s">
        <v>8745</v>
      </c>
      <c r="C872" s="119" t="s">
        <v>66</v>
      </c>
      <c r="D872" t="s">
        <v>6759</v>
      </c>
      <c r="E872" s="117">
        <v>50</v>
      </c>
    </row>
    <row r="873" spans="1:5" x14ac:dyDescent="0.25">
      <c r="A873" s="119" t="s">
        <v>1062</v>
      </c>
      <c r="B873" s="119" t="s">
        <v>12236</v>
      </c>
      <c r="C873" s="119" t="s">
        <v>66</v>
      </c>
      <c r="D873" t="s">
        <v>6759</v>
      </c>
      <c r="E873" s="117">
        <v>754.53</v>
      </c>
    </row>
    <row r="874" spans="1:5" x14ac:dyDescent="0.25">
      <c r="A874" s="119" t="s">
        <v>1064</v>
      </c>
      <c r="B874" s="119" t="s">
        <v>1063</v>
      </c>
      <c r="C874" s="119" t="s">
        <v>66</v>
      </c>
      <c r="D874" t="s">
        <v>45</v>
      </c>
      <c r="E874" s="117">
        <v>0</v>
      </c>
    </row>
    <row r="875" spans="1:5" x14ac:dyDescent="0.25">
      <c r="A875" s="119" t="s">
        <v>1065</v>
      </c>
      <c r="B875" s="119" t="s">
        <v>12237</v>
      </c>
      <c r="C875" s="119" t="s">
        <v>66</v>
      </c>
      <c r="D875" t="s">
        <v>6759</v>
      </c>
      <c r="E875" s="117">
        <v>765.77</v>
      </c>
    </row>
    <row r="876" spans="1:5" x14ac:dyDescent="0.25">
      <c r="A876" s="119" t="s">
        <v>1066</v>
      </c>
      <c r="B876" s="119" t="s">
        <v>12238</v>
      </c>
      <c r="C876" s="119" t="s">
        <v>66</v>
      </c>
      <c r="D876" t="s">
        <v>6759</v>
      </c>
      <c r="E876" s="117">
        <v>1037.51</v>
      </c>
    </row>
    <row r="877" spans="1:5" x14ac:dyDescent="0.25">
      <c r="A877" s="119" t="s">
        <v>1067</v>
      </c>
      <c r="B877" s="119" t="s">
        <v>12239</v>
      </c>
      <c r="C877" s="119" t="s">
        <v>66</v>
      </c>
      <c r="D877" t="s">
        <v>6759</v>
      </c>
      <c r="E877" s="117">
        <v>1048.8499999999999</v>
      </c>
    </row>
    <row r="878" spans="1:5" x14ac:dyDescent="0.25">
      <c r="A878" s="119" t="s">
        <v>1068</v>
      </c>
      <c r="B878" s="119" t="s">
        <v>1069</v>
      </c>
      <c r="C878" s="119" t="s">
        <v>66</v>
      </c>
      <c r="D878" t="s">
        <v>6759</v>
      </c>
      <c r="E878" s="117">
        <v>99</v>
      </c>
    </row>
    <row r="879" spans="1:5" x14ac:dyDescent="0.25">
      <c r="A879" s="119" t="s">
        <v>1070</v>
      </c>
      <c r="B879" s="119" t="s">
        <v>8746</v>
      </c>
      <c r="C879" s="119" t="s">
        <v>66</v>
      </c>
      <c r="D879" t="s">
        <v>6759</v>
      </c>
      <c r="E879" s="117">
        <v>103</v>
      </c>
    </row>
    <row r="880" spans="1:5" x14ac:dyDescent="0.25">
      <c r="A880" s="119" t="s">
        <v>1071</v>
      </c>
      <c r="B880" s="119" t="s">
        <v>1072</v>
      </c>
      <c r="C880" s="119" t="s">
        <v>66</v>
      </c>
      <c r="D880" t="s">
        <v>6759</v>
      </c>
      <c r="E880" s="117">
        <v>139</v>
      </c>
    </row>
    <row r="881" spans="1:5" x14ac:dyDescent="0.25">
      <c r="A881" s="119" t="s">
        <v>1073</v>
      </c>
      <c r="B881" s="119" t="s">
        <v>8747</v>
      </c>
      <c r="C881" s="119" t="s">
        <v>66</v>
      </c>
      <c r="D881" t="s">
        <v>6759</v>
      </c>
      <c r="E881" s="117">
        <v>98.31</v>
      </c>
    </row>
    <row r="882" spans="1:5" x14ac:dyDescent="0.25">
      <c r="A882" s="119" t="s">
        <v>1074</v>
      </c>
      <c r="B882" s="119" t="s">
        <v>8748</v>
      </c>
      <c r="C882" s="119" t="s">
        <v>66</v>
      </c>
      <c r="D882" t="s">
        <v>6759</v>
      </c>
      <c r="E882" s="117">
        <v>1064.95</v>
      </c>
    </row>
    <row r="883" spans="1:5" x14ac:dyDescent="0.25">
      <c r="A883" s="119" t="s">
        <v>1075</v>
      </c>
      <c r="B883" s="119" t="s">
        <v>8749</v>
      </c>
      <c r="C883" s="119" t="s">
        <v>66</v>
      </c>
      <c r="D883" t="s">
        <v>6759</v>
      </c>
      <c r="E883" s="117">
        <v>999</v>
      </c>
    </row>
    <row r="884" spans="1:5" x14ac:dyDescent="0.25">
      <c r="A884" s="119" t="s">
        <v>1076</v>
      </c>
      <c r="B884" s="119" t="s">
        <v>1077</v>
      </c>
      <c r="C884" s="119" t="s">
        <v>66</v>
      </c>
      <c r="D884" t="s">
        <v>6759</v>
      </c>
      <c r="E884" s="117">
        <v>276.3</v>
      </c>
    </row>
    <row r="885" spans="1:5" x14ac:dyDescent="0.25">
      <c r="A885" s="119" t="s">
        <v>1078</v>
      </c>
      <c r="B885" s="119" t="s">
        <v>1079</v>
      </c>
      <c r="C885" s="119" t="s">
        <v>66</v>
      </c>
      <c r="D885" t="s">
        <v>6759</v>
      </c>
      <c r="E885" s="117">
        <v>212.58</v>
      </c>
    </row>
    <row r="886" spans="1:5" x14ac:dyDescent="0.25">
      <c r="A886" s="119" t="s">
        <v>1080</v>
      </c>
      <c r="B886" s="119" t="s">
        <v>8750</v>
      </c>
      <c r="C886" s="119" t="s">
        <v>66</v>
      </c>
      <c r="D886" t="s">
        <v>6760</v>
      </c>
      <c r="E886" s="117">
        <v>30.45</v>
      </c>
    </row>
    <row r="887" spans="1:5" x14ac:dyDescent="0.25">
      <c r="A887" s="119" t="s">
        <v>1081</v>
      </c>
      <c r="B887" s="119" t="s">
        <v>8751</v>
      </c>
      <c r="C887" s="119" t="s">
        <v>66</v>
      </c>
      <c r="D887" t="s">
        <v>6759</v>
      </c>
      <c r="E887" s="117">
        <v>30.45</v>
      </c>
    </row>
    <row r="888" spans="1:5" x14ac:dyDescent="0.25">
      <c r="A888" s="119" t="s">
        <v>1082</v>
      </c>
      <c r="B888" s="119" t="s">
        <v>1083</v>
      </c>
      <c r="C888" s="119" t="s">
        <v>66</v>
      </c>
      <c r="D888" t="s">
        <v>45</v>
      </c>
      <c r="E888" s="117">
        <v>164.68</v>
      </c>
    </row>
    <row r="889" spans="1:5" x14ac:dyDescent="0.25">
      <c r="A889" s="119" t="s">
        <v>1084</v>
      </c>
      <c r="B889" s="119" t="s">
        <v>1085</v>
      </c>
      <c r="C889" s="119" t="s">
        <v>66</v>
      </c>
      <c r="D889" t="s">
        <v>49</v>
      </c>
      <c r="E889" s="117">
        <v>107.11</v>
      </c>
    </row>
    <row r="890" spans="1:5" x14ac:dyDescent="0.25">
      <c r="A890" s="119" t="s">
        <v>1086</v>
      </c>
      <c r="B890" s="119" t="s">
        <v>1087</v>
      </c>
      <c r="C890" s="119" t="s">
        <v>66</v>
      </c>
      <c r="D890" t="s">
        <v>45</v>
      </c>
      <c r="E890" s="117">
        <v>0</v>
      </c>
    </row>
    <row r="891" spans="1:5" x14ac:dyDescent="0.25">
      <c r="A891" s="119" t="s">
        <v>1088</v>
      </c>
      <c r="B891" s="119" t="s">
        <v>8752</v>
      </c>
      <c r="C891" s="119" t="s">
        <v>301</v>
      </c>
      <c r="D891" t="s">
        <v>49</v>
      </c>
      <c r="E891" s="117">
        <v>3646.93</v>
      </c>
    </row>
    <row r="892" spans="1:5" x14ac:dyDescent="0.25">
      <c r="A892" s="119" t="s">
        <v>1089</v>
      </c>
      <c r="B892" s="119" t="s">
        <v>1090</v>
      </c>
      <c r="C892" s="119" t="s">
        <v>66</v>
      </c>
      <c r="D892" t="s">
        <v>49</v>
      </c>
      <c r="E892" s="117">
        <v>167.75</v>
      </c>
    </row>
    <row r="893" spans="1:5" x14ac:dyDescent="0.25">
      <c r="A893" s="119" t="s">
        <v>1091</v>
      </c>
      <c r="B893" s="119" t="s">
        <v>1092</v>
      </c>
      <c r="C893" s="119" t="s">
        <v>66</v>
      </c>
      <c r="D893" t="s">
        <v>6759</v>
      </c>
      <c r="E893" s="117">
        <v>119.74</v>
      </c>
    </row>
    <row r="894" spans="1:5" x14ac:dyDescent="0.25">
      <c r="A894" s="119" t="s">
        <v>1093</v>
      </c>
      <c r="B894" s="119" t="s">
        <v>8753</v>
      </c>
      <c r="C894" s="119" t="s">
        <v>301</v>
      </c>
      <c r="D894" t="s">
        <v>6759</v>
      </c>
      <c r="E894" s="117">
        <v>2098.4699999999998</v>
      </c>
    </row>
    <row r="895" spans="1:5" x14ac:dyDescent="0.25">
      <c r="A895" s="119" t="s">
        <v>1094</v>
      </c>
      <c r="B895" s="119" t="s">
        <v>1095</v>
      </c>
      <c r="C895" s="119" t="s">
        <v>66</v>
      </c>
      <c r="D895" t="s">
        <v>49</v>
      </c>
      <c r="E895" s="117">
        <v>196.18</v>
      </c>
    </row>
    <row r="896" spans="1:5" x14ac:dyDescent="0.25">
      <c r="A896" s="119" t="s">
        <v>1096</v>
      </c>
      <c r="B896" s="119" t="s">
        <v>1097</v>
      </c>
      <c r="C896" s="119" t="s">
        <v>66</v>
      </c>
      <c r="D896" t="s">
        <v>49</v>
      </c>
      <c r="E896" s="117">
        <v>115.39</v>
      </c>
    </row>
    <row r="897" spans="1:5" x14ac:dyDescent="0.25">
      <c r="A897" s="119" t="s">
        <v>1098</v>
      </c>
      <c r="B897" s="119" t="s">
        <v>6396</v>
      </c>
      <c r="C897" s="119" t="s">
        <v>66</v>
      </c>
      <c r="D897" t="s">
        <v>49</v>
      </c>
      <c r="E897" s="117">
        <v>12.5</v>
      </c>
    </row>
    <row r="898" spans="1:5" x14ac:dyDescent="0.25">
      <c r="A898" s="119" t="s">
        <v>1099</v>
      </c>
      <c r="B898" s="119" t="s">
        <v>1100</v>
      </c>
      <c r="C898" s="119" t="s">
        <v>66</v>
      </c>
      <c r="D898" t="s">
        <v>51</v>
      </c>
      <c r="E898" s="117">
        <v>177.07</v>
      </c>
    </row>
    <row r="899" spans="1:5" x14ac:dyDescent="0.25">
      <c r="A899" s="119" t="s">
        <v>1101</v>
      </c>
      <c r="B899" s="119" t="s">
        <v>1102</v>
      </c>
      <c r="C899" s="119" t="s">
        <v>66</v>
      </c>
      <c r="D899" t="s">
        <v>45</v>
      </c>
      <c r="E899" s="117">
        <v>128.58000000000001</v>
      </c>
    </row>
    <row r="900" spans="1:5" x14ac:dyDescent="0.25">
      <c r="A900" s="119" t="s">
        <v>1103</v>
      </c>
      <c r="B900" s="119" t="s">
        <v>1104</v>
      </c>
      <c r="C900" s="119" t="s">
        <v>66</v>
      </c>
      <c r="D900" t="s">
        <v>6760</v>
      </c>
      <c r="E900" s="117">
        <v>181.67</v>
      </c>
    </row>
    <row r="901" spans="1:5" x14ac:dyDescent="0.25">
      <c r="A901" s="119" t="s">
        <v>1105</v>
      </c>
      <c r="B901" s="119" t="s">
        <v>1106</v>
      </c>
      <c r="C901" s="119" t="s">
        <v>66</v>
      </c>
      <c r="D901" t="s">
        <v>49</v>
      </c>
      <c r="E901" s="117">
        <v>122.1</v>
      </c>
    </row>
    <row r="902" spans="1:5" x14ac:dyDescent="0.25">
      <c r="A902" s="119" t="s">
        <v>1107</v>
      </c>
      <c r="B902" s="119" t="s">
        <v>8754</v>
      </c>
      <c r="C902" s="119" t="s">
        <v>301</v>
      </c>
      <c r="D902" t="s">
        <v>45</v>
      </c>
      <c r="E902" s="117">
        <v>0</v>
      </c>
    </row>
    <row r="903" spans="1:5" x14ac:dyDescent="0.25">
      <c r="A903" s="119" t="s">
        <v>1108</v>
      </c>
      <c r="B903" s="119" t="s">
        <v>1109</v>
      </c>
      <c r="C903" s="119" t="s">
        <v>66</v>
      </c>
      <c r="D903" t="s">
        <v>49</v>
      </c>
      <c r="E903" s="117">
        <v>177.51</v>
      </c>
    </row>
    <row r="904" spans="1:5" x14ac:dyDescent="0.25">
      <c r="A904" s="119" t="s">
        <v>1110</v>
      </c>
      <c r="B904" s="119" t="s">
        <v>1111</v>
      </c>
      <c r="C904" s="119" t="s">
        <v>66</v>
      </c>
      <c r="D904" t="s">
        <v>6759</v>
      </c>
      <c r="E904" s="117">
        <v>130.47</v>
      </c>
    </row>
    <row r="905" spans="1:5" x14ac:dyDescent="0.25">
      <c r="A905" s="119" t="s">
        <v>1112</v>
      </c>
      <c r="B905" s="119" t="s">
        <v>1113</v>
      </c>
      <c r="C905" s="119" t="s">
        <v>66</v>
      </c>
      <c r="D905" t="s">
        <v>45</v>
      </c>
      <c r="E905" s="117">
        <v>217.42</v>
      </c>
    </row>
    <row r="906" spans="1:5" x14ac:dyDescent="0.25">
      <c r="A906" s="119" t="s">
        <v>1114</v>
      </c>
      <c r="B906" s="119" t="s">
        <v>1115</v>
      </c>
      <c r="C906" s="119" t="s">
        <v>66</v>
      </c>
      <c r="D906" t="s">
        <v>49</v>
      </c>
      <c r="E906" s="117">
        <v>139.80000000000001</v>
      </c>
    </row>
    <row r="907" spans="1:5" x14ac:dyDescent="0.25">
      <c r="A907" s="119" t="s">
        <v>1116</v>
      </c>
      <c r="B907" s="119" t="s">
        <v>1117</v>
      </c>
      <c r="C907" s="119" t="s">
        <v>66</v>
      </c>
      <c r="D907" t="s">
        <v>49</v>
      </c>
      <c r="E907" s="117">
        <v>206.57</v>
      </c>
    </row>
    <row r="908" spans="1:5" x14ac:dyDescent="0.25">
      <c r="A908" s="119" t="s">
        <v>1118</v>
      </c>
      <c r="B908" s="119" t="s">
        <v>1119</v>
      </c>
      <c r="C908" s="119" t="s">
        <v>66</v>
      </c>
      <c r="D908" t="s">
        <v>49</v>
      </c>
      <c r="E908" s="117">
        <v>144.4</v>
      </c>
    </row>
    <row r="909" spans="1:5" x14ac:dyDescent="0.25">
      <c r="A909" s="119" t="s">
        <v>6620</v>
      </c>
      <c r="B909" s="119" t="s">
        <v>8755</v>
      </c>
      <c r="C909" s="119" t="s">
        <v>301</v>
      </c>
      <c r="D909" t="s">
        <v>45</v>
      </c>
      <c r="E909" s="117">
        <v>4208.76</v>
      </c>
    </row>
    <row r="910" spans="1:5" x14ac:dyDescent="0.25">
      <c r="A910" s="119" t="s">
        <v>6621</v>
      </c>
      <c r="B910" s="119" t="s">
        <v>8756</v>
      </c>
      <c r="C910" s="119" t="s">
        <v>301</v>
      </c>
      <c r="D910" t="s">
        <v>49</v>
      </c>
      <c r="E910" s="117">
        <v>2434.5700000000002</v>
      </c>
    </row>
    <row r="911" spans="1:5" x14ac:dyDescent="0.25">
      <c r="A911" s="119" t="s">
        <v>1120</v>
      </c>
      <c r="B911" s="119" t="s">
        <v>1121</v>
      </c>
      <c r="C911" s="119" t="s">
        <v>66</v>
      </c>
      <c r="D911" t="s">
        <v>6759</v>
      </c>
      <c r="E911" s="117">
        <v>18.170000000000002</v>
      </c>
    </row>
    <row r="912" spans="1:5" x14ac:dyDescent="0.25">
      <c r="A912" s="119" t="s">
        <v>1122</v>
      </c>
      <c r="B912" s="119" t="s">
        <v>1123</v>
      </c>
      <c r="C912" s="119" t="s">
        <v>66</v>
      </c>
      <c r="D912" t="s">
        <v>6759</v>
      </c>
      <c r="E912" s="117">
        <v>34.86</v>
      </c>
    </row>
    <row r="913" spans="1:5" x14ac:dyDescent="0.25">
      <c r="A913" s="119" t="s">
        <v>1124</v>
      </c>
      <c r="B913" s="119" t="s">
        <v>1125</v>
      </c>
      <c r="C913" s="119" t="s">
        <v>66</v>
      </c>
      <c r="D913" t="s">
        <v>6759</v>
      </c>
      <c r="E913" s="117">
        <v>35.6</v>
      </c>
    </row>
    <row r="914" spans="1:5" x14ac:dyDescent="0.25">
      <c r="A914" s="119" t="s">
        <v>1126</v>
      </c>
      <c r="B914" s="119" t="s">
        <v>1127</v>
      </c>
      <c r="C914" s="119" t="s">
        <v>66</v>
      </c>
      <c r="D914" t="s">
        <v>6759</v>
      </c>
      <c r="E914" s="117">
        <v>36.65</v>
      </c>
    </row>
    <row r="915" spans="1:5" x14ac:dyDescent="0.25">
      <c r="A915" s="119" t="s">
        <v>1128</v>
      </c>
      <c r="B915" s="119" t="s">
        <v>1129</v>
      </c>
      <c r="C915" s="119" t="s">
        <v>66</v>
      </c>
      <c r="D915" t="s">
        <v>49</v>
      </c>
      <c r="E915" s="117">
        <v>25.94</v>
      </c>
    </row>
    <row r="916" spans="1:5" x14ac:dyDescent="0.25">
      <c r="A916" s="119" t="s">
        <v>1130</v>
      </c>
      <c r="B916" s="119" t="s">
        <v>1131</v>
      </c>
      <c r="C916" s="119" t="s">
        <v>66</v>
      </c>
      <c r="D916" t="s">
        <v>6759</v>
      </c>
      <c r="E916" s="117">
        <v>206.84</v>
      </c>
    </row>
    <row r="917" spans="1:5" x14ac:dyDescent="0.25">
      <c r="A917" s="119" t="s">
        <v>1132</v>
      </c>
      <c r="B917" s="119" t="s">
        <v>1133</v>
      </c>
      <c r="C917" s="119" t="s">
        <v>66</v>
      </c>
      <c r="D917" t="s">
        <v>49</v>
      </c>
      <c r="E917" s="117">
        <v>150.88999999999999</v>
      </c>
    </row>
    <row r="918" spans="1:5" x14ac:dyDescent="0.25">
      <c r="A918" s="119" t="s">
        <v>1134</v>
      </c>
      <c r="B918" s="119" t="s">
        <v>1135</v>
      </c>
      <c r="C918" s="119" t="s">
        <v>66</v>
      </c>
      <c r="D918" t="s">
        <v>6759</v>
      </c>
      <c r="E918" s="117">
        <v>224.97</v>
      </c>
    </row>
    <row r="919" spans="1:5" x14ac:dyDescent="0.25">
      <c r="A919" s="119" t="s">
        <v>1136</v>
      </c>
      <c r="B919" s="119" t="s">
        <v>1137</v>
      </c>
      <c r="C919" s="119" t="s">
        <v>66</v>
      </c>
      <c r="D919" t="s">
        <v>49</v>
      </c>
      <c r="E919" s="117">
        <v>163.03</v>
      </c>
    </row>
    <row r="920" spans="1:5" x14ac:dyDescent="0.25">
      <c r="A920" s="119" t="s">
        <v>1138</v>
      </c>
      <c r="B920" s="119" t="s">
        <v>1139</v>
      </c>
      <c r="C920" s="119" t="s">
        <v>66</v>
      </c>
      <c r="D920" t="s">
        <v>6759</v>
      </c>
      <c r="E920" s="117">
        <v>261.18</v>
      </c>
    </row>
    <row r="921" spans="1:5" x14ac:dyDescent="0.25">
      <c r="A921" s="119" t="s">
        <v>1140</v>
      </c>
      <c r="B921" s="119" t="s">
        <v>1141</v>
      </c>
      <c r="C921" s="119" t="s">
        <v>66</v>
      </c>
      <c r="D921" t="s">
        <v>45</v>
      </c>
      <c r="E921" s="117">
        <v>275.26</v>
      </c>
    </row>
    <row r="922" spans="1:5" x14ac:dyDescent="0.25">
      <c r="A922" s="119" t="s">
        <v>1142</v>
      </c>
      <c r="B922" s="119" t="s">
        <v>1143</v>
      </c>
      <c r="C922" s="119" t="s">
        <v>66</v>
      </c>
      <c r="D922" t="s">
        <v>49</v>
      </c>
      <c r="E922" s="117">
        <v>186.39</v>
      </c>
    </row>
    <row r="923" spans="1:5" x14ac:dyDescent="0.25">
      <c r="A923" s="119" t="s">
        <v>1144</v>
      </c>
      <c r="B923" s="119" t="s">
        <v>1145</v>
      </c>
      <c r="C923" s="119" t="s">
        <v>66</v>
      </c>
      <c r="D923" t="s">
        <v>45</v>
      </c>
      <c r="E923" s="117">
        <v>195.71</v>
      </c>
    </row>
    <row r="924" spans="1:5" x14ac:dyDescent="0.25">
      <c r="A924" s="119" t="s">
        <v>1146</v>
      </c>
      <c r="B924" s="119" t="s">
        <v>8757</v>
      </c>
      <c r="C924" s="119" t="s">
        <v>66</v>
      </c>
      <c r="D924" t="s">
        <v>45</v>
      </c>
      <c r="E924" s="117">
        <v>75.099999999999994</v>
      </c>
    </row>
    <row r="925" spans="1:5" x14ac:dyDescent="0.25">
      <c r="A925" s="119" t="s">
        <v>1147</v>
      </c>
      <c r="B925" s="119" t="s">
        <v>1148</v>
      </c>
      <c r="C925" s="119" t="s">
        <v>66</v>
      </c>
      <c r="D925" t="s">
        <v>6759</v>
      </c>
      <c r="E925" s="117">
        <v>15.75</v>
      </c>
    </row>
    <row r="926" spans="1:5" x14ac:dyDescent="0.25">
      <c r="A926" s="119" t="s">
        <v>1149</v>
      </c>
      <c r="B926" s="119" t="s">
        <v>1150</v>
      </c>
      <c r="C926" s="119" t="s">
        <v>66</v>
      </c>
      <c r="D926" t="s">
        <v>6759</v>
      </c>
      <c r="E926" s="117">
        <v>24.78</v>
      </c>
    </row>
    <row r="927" spans="1:5" x14ac:dyDescent="0.25">
      <c r="A927" s="119" t="s">
        <v>1151</v>
      </c>
      <c r="B927" s="119" t="s">
        <v>8758</v>
      </c>
      <c r="C927" s="119" t="s">
        <v>66</v>
      </c>
      <c r="D927" t="s">
        <v>6759</v>
      </c>
      <c r="E927" s="117">
        <v>20</v>
      </c>
    </row>
    <row r="928" spans="1:5" x14ac:dyDescent="0.25">
      <c r="A928" s="119" t="s">
        <v>1152</v>
      </c>
      <c r="B928" s="119" t="s">
        <v>8759</v>
      </c>
      <c r="C928" s="119" t="s">
        <v>66</v>
      </c>
      <c r="D928" t="s">
        <v>6759</v>
      </c>
      <c r="E928" s="117">
        <v>30</v>
      </c>
    </row>
    <row r="929" spans="1:5" x14ac:dyDescent="0.25">
      <c r="A929" s="119" t="s">
        <v>1153</v>
      </c>
      <c r="B929" s="119" t="s">
        <v>1154</v>
      </c>
      <c r="C929" s="119" t="s">
        <v>66</v>
      </c>
      <c r="D929" t="s">
        <v>49</v>
      </c>
      <c r="E929" s="117">
        <v>23.9</v>
      </c>
    </row>
    <row r="930" spans="1:5" x14ac:dyDescent="0.25">
      <c r="A930" s="119" t="s">
        <v>1155</v>
      </c>
      <c r="B930" s="119" t="s">
        <v>1156</v>
      </c>
      <c r="C930" s="119" t="s">
        <v>66</v>
      </c>
      <c r="D930" t="s">
        <v>49</v>
      </c>
      <c r="E930" s="117">
        <v>278.18</v>
      </c>
    </row>
    <row r="931" spans="1:5" x14ac:dyDescent="0.25">
      <c r="A931" s="119" t="s">
        <v>1157</v>
      </c>
      <c r="B931" s="119" t="s">
        <v>1158</v>
      </c>
      <c r="C931" s="119" t="s">
        <v>66</v>
      </c>
      <c r="D931" t="s">
        <v>45</v>
      </c>
      <c r="E931" s="117">
        <v>191</v>
      </c>
    </row>
    <row r="932" spans="1:5" x14ac:dyDescent="0.25">
      <c r="A932" s="119" t="s">
        <v>1159</v>
      </c>
      <c r="B932" s="119" t="s">
        <v>1160</v>
      </c>
      <c r="C932" s="119" t="s">
        <v>66</v>
      </c>
      <c r="D932" t="s">
        <v>49</v>
      </c>
      <c r="E932" s="117">
        <v>297.27999999999997</v>
      </c>
    </row>
    <row r="933" spans="1:5" x14ac:dyDescent="0.25">
      <c r="A933" s="119" t="s">
        <v>1161</v>
      </c>
      <c r="B933" s="119" t="s">
        <v>1162</v>
      </c>
      <c r="C933" s="119" t="s">
        <v>66</v>
      </c>
      <c r="D933" t="s">
        <v>45</v>
      </c>
      <c r="E933" s="117">
        <v>205.02</v>
      </c>
    </row>
    <row r="934" spans="1:5" x14ac:dyDescent="0.25">
      <c r="A934" s="119" t="s">
        <v>1163</v>
      </c>
      <c r="B934" s="119" t="s">
        <v>1164</v>
      </c>
      <c r="C934" s="119" t="s">
        <v>66</v>
      </c>
      <c r="D934" t="s">
        <v>45</v>
      </c>
      <c r="E934" s="117">
        <v>23.84</v>
      </c>
    </row>
    <row r="935" spans="1:5" x14ac:dyDescent="0.25">
      <c r="A935" s="119" t="s">
        <v>1165</v>
      </c>
      <c r="B935" s="119" t="s">
        <v>8760</v>
      </c>
      <c r="C935" s="119" t="s">
        <v>66</v>
      </c>
      <c r="D935" t="s">
        <v>6759</v>
      </c>
      <c r="E935" s="117">
        <v>7.88</v>
      </c>
    </row>
    <row r="936" spans="1:5" x14ac:dyDescent="0.25">
      <c r="A936" s="119" t="s">
        <v>1166</v>
      </c>
      <c r="B936" s="119" t="s">
        <v>1167</v>
      </c>
      <c r="C936" s="119" t="s">
        <v>66</v>
      </c>
      <c r="D936" t="s">
        <v>49</v>
      </c>
      <c r="E936" s="117">
        <v>54.6</v>
      </c>
    </row>
    <row r="937" spans="1:5" x14ac:dyDescent="0.25">
      <c r="A937" s="119" t="s">
        <v>1168</v>
      </c>
      <c r="B937" s="119" t="s">
        <v>11796</v>
      </c>
      <c r="C937" s="119" t="s">
        <v>66</v>
      </c>
      <c r="D937" t="s">
        <v>49</v>
      </c>
      <c r="E937" s="117">
        <v>4.5999999999999996</v>
      </c>
    </row>
    <row r="938" spans="1:5" x14ac:dyDescent="0.25">
      <c r="A938" s="119" t="s">
        <v>1169</v>
      </c>
      <c r="B938" s="119" t="s">
        <v>1170</v>
      </c>
      <c r="C938" s="119" t="s">
        <v>66</v>
      </c>
      <c r="D938" t="s">
        <v>45</v>
      </c>
      <c r="E938" s="117">
        <v>314.47000000000003</v>
      </c>
    </row>
    <row r="939" spans="1:5" x14ac:dyDescent="0.25">
      <c r="A939" s="119" t="s">
        <v>1171</v>
      </c>
      <c r="B939" s="119" t="s">
        <v>1172</v>
      </c>
      <c r="C939" s="119" t="s">
        <v>66</v>
      </c>
      <c r="D939" t="s">
        <v>45</v>
      </c>
      <c r="E939" s="117">
        <v>214.36</v>
      </c>
    </row>
    <row r="940" spans="1:5" x14ac:dyDescent="0.25">
      <c r="A940" s="119" t="s">
        <v>1173</v>
      </c>
      <c r="B940" s="119" t="s">
        <v>1174</v>
      </c>
      <c r="C940" s="119" t="s">
        <v>66</v>
      </c>
      <c r="D940" t="s">
        <v>6759</v>
      </c>
      <c r="E940" s="117">
        <v>347.66</v>
      </c>
    </row>
    <row r="941" spans="1:5" x14ac:dyDescent="0.25">
      <c r="A941" s="119" t="s">
        <v>6622</v>
      </c>
      <c r="B941" s="119" t="s">
        <v>8761</v>
      </c>
      <c r="C941" s="119" t="s">
        <v>301</v>
      </c>
      <c r="D941" t="s">
        <v>51</v>
      </c>
      <c r="E941" s="117">
        <v>384.41</v>
      </c>
    </row>
    <row r="942" spans="1:5" x14ac:dyDescent="0.25">
      <c r="A942" s="119" t="s">
        <v>1175</v>
      </c>
      <c r="B942" s="119" t="s">
        <v>1176</v>
      </c>
      <c r="C942" s="119" t="s">
        <v>66</v>
      </c>
      <c r="D942" t="s">
        <v>49</v>
      </c>
      <c r="E942" s="117">
        <v>354.03</v>
      </c>
    </row>
    <row r="943" spans="1:5" x14ac:dyDescent="0.25">
      <c r="A943" s="119" t="s">
        <v>1177</v>
      </c>
      <c r="B943" s="119" t="s">
        <v>1178</v>
      </c>
      <c r="C943" s="119" t="s">
        <v>66</v>
      </c>
      <c r="D943" t="s">
        <v>45</v>
      </c>
      <c r="E943" s="117">
        <v>233</v>
      </c>
    </row>
    <row r="944" spans="1:5" x14ac:dyDescent="0.25">
      <c r="A944" s="119" t="s">
        <v>6623</v>
      </c>
      <c r="B944" s="119" t="s">
        <v>1179</v>
      </c>
      <c r="C944" s="119" t="s">
        <v>66</v>
      </c>
      <c r="D944" t="s">
        <v>6759</v>
      </c>
      <c r="E944" s="117">
        <v>168.96</v>
      </c>
    </row>
    <row r="945" spans="1:5" x14ac:dyDescent="0.25">
      <c r="A945" s="119" t="s">
        <v>1180</v>
      </c>
      <c r="B945" s="119" t="s">
        <v>1181</v>
      </c>
      <c r="C945" s="119" t="s">
        <v>66</v>
      </c>
      <c r="D945" t="s">
        <v>45</v>
      </c>
      <c r="E945" s="117">
        <v>343.34</v>
      </c>
    </row>
    <row r="946" spans="1:5" x14ac:dyDescent="0.25">
      <c r="A946" s="119" t="s">
        <v>1182</v>
      </c>
      <c r="B946" s="119" t="s">
        <v>1183</v>
      </c>
      <c r="C946" s="119" t="s">
        <v>66</v>
      </c>
      <c r="D946" t="s">
        <v>45</v>
      </c>
      <c r="E946" s="117">
        <v>236.61</v>
      </c>
    </row>
    <row r="947" spans="1:5" x14ac:dyDescent="0.25">
      <c r="A947" s="119" t="s">
        <v>6624</v>
      </c>
      <c r="B947" s="119" t="s">
        <v>1184</v>
      </c>
      <c r="C947" s="119" t="s">
        <v>66</v>
      </c>
      <c r="D947" t="s">
        <v>6759</v>
      </c>
      <c r="E947" s="117">
        <v>4273.5</v>
      </c>
    </row>
    <row r="948" spans="1:5" x14ac:dyDescent="0.25">
      <c r="A948" s="119" t="s">
        <v>6625</v>
      </c>
      <c r="B948" s="119" t="s">
        <v>1184</v>
      </c>
      <c r="C948" s="119" t="s">
        <v>66</v>
      </c>
      <c r="D948" t="s">
        <v>6759</v>
      </c>
      <c r="E948" s="117">
        <v>4146.45</v>
      </c>
    </row>
    <row r="949" spans="1:5" x14ac:dyDescent="0.25">
      <c r="A949" s="119" t="s">
        <v>1185</v>
      </c>
      <c r="B949" s="119" t="s">
        <v>1186</v>
      </c>
      <c r="C949" s="119" t="s">
        <v>66</v>
      </c>
      <c r="D949" t="s">
        <v>45</v>
      </c>
      <c r="E949" s="117">
        <v>388.83</v>
      </c>
    </row>
    <row r="950" spans="1:5" x14ac:dyDescent="0.25">
      <c r="A950" s="119" t="s">
        <v>1187</v>
      </c>
      <c r="B950" s="119" t="s">
        <v>1188</v>
      </c>
      <c r="C950" s="119" t="s">
        <v>66</v>
      </c>
      <c r="D950" t="s">
        <v>45</v>
      </c>
      <c r="E950" s="117">
        <v>251.63</v>
      </c>
    </row>
    <row r="951" spans="1:5" x14ac:dyDescent="0.25">
      <c r="A951" s="119" t="s">
        <v>1189</v>
      </c>
      <c r="B951" s="119" t="s">
        <v>1190</v>
      </c>
      <c r="C951" s="119" t="s">
        <v>66</v>
      </c>
      <c r="D951" t="s">
        <v>6759</v>
      </c>
      <c r="E951" s="117">
        <v>562.64</v>
      </c>
    </row>
    <row r="952" spans="1:5" x14ac:dyDescent="0.25">
      <c r="A952" s="119" t="s">
        <v>1191</v>
      </c>
      <c r="B952" s="119" t="s">
        <v>1192</v>
      </c>
      <c r="C952" s="119" t="s">
        <v>66</v>
      </c>
      <c r="D952" t="s">
        <v>49</v>
      </c>
      <c r="E952" s="117">
        <v>417.13</v>
      </c>
    </row>
    <row r="953" spans="1:5" x14ac:dyDescent="0.25">
      <c r="A953" s="119" t="s">
        <v>1193</v>
      </c>
      <c r="B953" s="119" t="s">
        <v>1194</v>
      </c>
      <c r="C953" s="119" t="s">
        <v>66</v>
      </c>
      <c r="D953" t="s">
        <v>49</v>
      </c>
      <c r="E953" s="117">
        <v>264.24</v>
      </c>
    </row>
    <row r="954" spans="1:5" x14ac:dyDescent="0.25">
      <c r="A954" s="119" t="s">
        <v>1195</v>
      </c>
      <c r="B954" s="119" t="s">
        <v>8762</v>
      </c>
      <c r="C954" s="119" t="s">
        <v>301</v>
      </c>
      <c r="D954" t="s">
        <v>45</v>
      </c>
      <c r="E954" s="117">
        <v>0</v>
      </c>
    </row>
    <row r="955" spans="1:5" x14ac:dyDescent="0.25">
      <c r="A955" s="119" t="s">
        <v>1196</v>
      </c>
      <c r="B955" s="119" t="s">
        <v>8763</v>
      </c>
      <c r="C955" s="119" t="s">
        <v>301</v>
      </c>
      <c r="D955" t="s">
        <v>49</v>
      </c>
      <c r="E955" s="117">
        <v>2364.59</v>
      </c>
    </row>
    <row r="956" spans="1:5" x14ac:dyDescent="0.25">
      <c r="A956" s="119" t="s">
        <v>1197</v>
      </c>
      <c r="B956" s="119" t="s">
        <v>8762</v>
      </c>
      <c r="C956" s="119" t="s">
        <v>301</v>
      </c>
      <c r="D956" t="s">
        <v>45</v>
      </c>
      <c r="E956" s="117">
        <v>0</v>
      </c>
    </row>
    <row r="957" spans="1:5" x14ac:dyDescent="0.25">
      <c r="A957" s="119" t="s">
        <v>1198</v>
      </c>
      <c r="B957" s="119" t="s">
        <v>8764</v>
      </c>
      <c r="C957" s="119" t="s">
        <v>301</v>
      </c>
      <c r="D957" t="s">
        <v>45</v>
      </c>
      <c r="E957" s="117">
        <v>595.34</v>
      </c>
    </row>
    <row r="958" spans="1:5" x14ac:dyDescent="0.25">
      <c r="A958" s="119" t="s">
        <v>1199</v>
      </c>
      <c r="B958" s="119" t="s">
        <v>8765</v>
      </c>
      <c r="C958" s="119" t="s">
        <v>301</v>
      </c>
      <c r="D958" t="s">
        <v>45</v>
      </c>
      <c r="E958" s="117">
        <v>452.41</v>
      </c>
    </row>
    <row r="959" spans="1:5" x14ac:dyDescent="0.25">
      <c r="A959" s="119" t="s">
        <v>1200</v>
      </c>
      <c r="B959" s="119" t="s">
        <v>8762</v>
      </c>
      <c r="C959" s="119" t="s">
        <v>301</v>
      </c>
      <c r="D959" t="s">
        <v>45</v>
      </c>
      <c r="E959" s="117">
        <v>0</v>
      </c>
    </row>
    <row r="960" spans="1:5" x14ac:dyDescent="0.25">
      <c r="A960" s="119" t="s">
        <v>1201</v>
      </c>
      <c r="B960" s="119" t="s">
        <v>8766</v>
      </c>
      <c r="C960" s="119" t="s">
        <v>66</v>
      </c>
      <c r="D960" t="s">
        <v>6759</v>
      </c>
      <c r="E960" s="117">
        <v>7.13</v>
      </c>
    </row>
    <row r="961" spans="1:5" x14ac:dyDescent="0.25">
      <c r="A961" s="119" t="s">
        <v>1202</v>
      </c>
      <c r="B961" s="119" t="s">
        <v>8767</v>
      </c>
      <c r="C961" s="119" t="s">
        <v>301</v>
      </c>
      <c r="D961" t="s">
        <v>45</v>
      </c>
      <c r="E961" s="117">
        <v>2744.07</v>
      </c>
    </row>
    <row r="962" spans="1:5" x14ac:dyDescent="0.25">
      <c r="A962" s="119" t="s">
        <v>1203</v>
      </c>
      <c r="B962" s="119" t="s">
        <v>8768</v>
      </c>
      <c r="C962" s="119" t="s">
        <v>301</v>
      </c>
      <c r="D962" t="s">
        <v>45</v>
      </c>
      <c r="E962" s="117">
        <v>0</v>
      </c>
    </row>
    <row r="963" spans="1:5" x14ac:dyDescent="0.25">
      <c r="A963" s="119" t="s">
        <v>1204</v>
      </c>
      <c r="B963" s="119" t="s">
        <v>8769</v>
      </c>
      <c r="C963" s="119" t="s">
        <v>301</v>
      </c>
      <c r="D963" t="s">
        <v>6759</v>
      </c>
      <c r="E963" s="117">
        <v>2857.43</v>
      </c>
    </row>
    <row r="964" spans="1:5" x14ac:dyDescent="0.25">
      <c r="A964" s="119" t="s">
        <v>1205</v>
      </c>
      <c r="B964" s="119" t="s">
        <v>8770</v>
      </c>
      <c r="C964" s="119" t="s">
        <v>66</v>
      </c>
      <c r="D964" t="s">
        <v>6759</v>
      </c>
      <c r="E964" s="117">
        <v>24.15</v>
      </c>
    </row>
    <row r="965" spans="1:5" x14ac:dyDescent="0.25">
      <c r="A965" s="119" t="s">
        <v>6626</v>
      </c>
      <c r="B965" s="119" t="s">
        <v>8771</v>
      </c>
      <c r="C965" s="119" t="s">
        <v>301</v>
      </c>
      <c r="D965" t="s">
        <v>45</v>
      </c>
      <c r="E965" s="117">
        <v>1912.18</v>
      </c>
    </row>
    <row r="966" spans="1:5" x14ac:dyDescent="0.25">
      <c r="A966" s="119" t="s">
        <v>7406</v>
      </c>
      <c r="B966" s="119" t="s">
        <v>8772</v>
      </c>
      <c r="C966" s="119" t="s">
        <v>66</v>
      </c>
      <c r="D966" t="s">
        <v>6759</v>
      </c>
      <c r="E966" s="117">
        <v>20</v>
      </c>
    </row>
    <row r="967" spans="1:5" x14ac:dyDescent="0.25">
      <c r="A967" s="119" t="s">
        <v>8107</v>
      </c>
      <c r="B967" s="119" t="s">
        <v>8773</v>
      </c>
      <c r="C967" s="119" t="s">
        <v>66</v>
      </c>
      <c r="D967" t="s">
        <v>6759</v>
      </c>
      <c r="E967" s="117">
        <v>10</v>
      </c>
    </row>
    <row r="968" spans="1:5" x14ac:dyDescent="0.25">
      <c r="A968" s="119" t="s">
        <v>8108</v>
      </c>
      <c r="B968" s="119" t="s">
        <v>8774</v>
      </c>
      <c r="C968" s="119" t="s">
        <v>66</v>
      </c>
      <c r="D968" t="s">
        <v>6759</v>
      </c>
      <c r="E968" s="117">
        <v>10</v>
      </c>
    </row>
    <row r="969" spans="1:5" x14ac:dyDescent="0.25">
      <c r="A969" s="119" t="s">
        <v>8109</v>
      </c>
      <c r="B969" s="119" t="s">
        <v>8775</v>
      </c>
      <c r="C969" s="119" t="s">
        <v>66</v>
      </c>
      <c r="D969" t="s">
        <v>6759</v>
      </c>
      <c r="E969" s="117">
        <v>15</v>
      </c>
    </row>
    <row r="970" spans="1:5" x14ac:dyDescent="0.25">
      <c r="A970" s="119" t="s">
        <v>1206</v>
      </c>
      <c r="B970" s="119" t="s">
        <v>1207</v>
      </c>
      <c r="C970" s="119" t="s">
        <v>66</v>
      </c>
      <c r="D970" t="s">
        <v>6759</v>
      </c>
      <c r="E970" s="117">
        <v>7.89</v>
      </c>
    </row>
    <row r="971" spans="1:5" x14ac:dyDescent="0.25">
      <c r="A971" s="119" t="s">
        <v>8110</v>
      </c>
      <c r="B971" s="119" t="s">
        <v>8111</v>
      </c>
      <c r="C971" s="119" t="s">
        <v>66</v>
      </c>
      <c r="D971" t="s">
        <v>6759</v>
      </c>
      <c r="E971" s="117">
        <v>15</v>
      </c>
    </row>
    <row r="972" spans="1:5" x14ac:dyDescent="0.25">
      <c r="A972" s="119" t="s">
        <v>1208</v>
      </c>
      <c r="B972" s="119" t="s">
        <v>8776</v>
      </c>
      <c r="C972" s="119" t="s">
        <v>66</v>
      </c>
      <c r="D972" t="s">
        <v>6759</v>
      </c>
      <c r="E972" s="117">
        <v>36.380000000000003</v>
      </c>
    </row>
    <row r="973" spans="1:5" x14ac:dyDescent="0.25">
      <c r="A973" s="119" t="s">
        <v>1209</v>
      </c>
      <c r="B973" s="119" t="s">
        <v>1210</v>
      </c>
      <c r="C973" s="119" t="s">
        <v>66</v>
      </c>
      <c r="D973" t="s">
        <v>6759</v>
      </c>
      <c r="E973" s="117">
        <v>38.799999999999997</v>
      </c>
    </row>
    <row r="974" spans="1:5" x14ac:dyDescent="0.25">
      <c r="A974" s="119" t="s">
        <v>1211</v>
      </c>
      <c r="B974" s="119" t="s">
        <v>1212</v>
      </c>
      <c r="C974" s="119" t="s">
        <v>66</v>
      </c>
      <c r="D974" t="s">
        <v>6759</v>
      </c>
      <c r="E974" s="117">
        <v>44.19</v>
      </c>
    </row>
    <row r="975" spans="1:5" x14ac:dyDescent="0.25">
      <c r="A975" s="119" t="s">
        <v>12231</v>
      </c>
      <c r="B975" s="119" t="s">
        <v>12232</v>
      </c>
      <c r="C975" s="119" t="s">
        <v>66</v>
      </c>
      <c r="D975" t="s">
        <v>45</v>
      </c>
      <c r="E975" s="117">
        <v>9999</v>
      </c>
    </row>
    <row r="976" spans="1:5" x14ac:dyDescent="0.25">
      <c r="A976" s="119" t="s">
        <v>1213</v>
      </c>
      <c r="B976" s="119" t="s">
        <v>1214</v>
      </c>
      <c r="C976" s="119" t="s">
        <v>66</v>
      </c>
      <c r="D976" t="s">
        <v>6759</v>
      </c>
      <c r="E976" s="117">
        <v>6.85</v>
      </c>
    </row>
    <row r="977" spans="1:5" x14ac:dyDescent="0.25">
      <c r="A977" s="119" t="s">
        <v>1215</v>
      </c>
      <c r="B977" s="119" t="s">
        <v>1216</v>
      </c>
      <c r="C977" s="119" t="s">
        <v>66</v>
      </c>
      <c r="D977" t="s">
        <v>6759</v>
      </c>
      <c r="E977" s="117">
        <v>10.5</v>
      </c>
    </row>
    <row r="978" spans="1:5" x14ac:dyDescent="0.25">
      <c r="A978" s="119" t="s">
        <v>1217</v>
      </c>
      <c r="B978" s="119" t="s">
        <v>1218</v>
      </c>
      <c r="C978" s="119" t="s">
        <v>66</v>
      </c>
      <c r="D978" t="s">
        <v>45</v>
      </c>
      <c r="E978" s="117">
        <v>12.2</v>
      </c>
    </row>
    <row r="979" spans="1:5" x14ac:dyDescent="0.25">
      <c r="A979" s="119" t="s">
        <v>1219</v>
      </c>
      <c r="B979" s="119" t="s">
        <v>1220</v>
      </c>
      <c r="C979" s="119" t="s">
        <v>66</v>
      </c>
      <c r="D979" t="s">
        <v>45</v>
      </c>
      <c r="E979" s="117">
        <v>426.7</v>
      </c>
    </row>
    <row r="980" spans="1:5" x14ac:dyDescent="0.25">
      <c r="A980" s="119" t="s">
        <v>1221</v>
      </c>
      <c r="B980" s="119" t="s">
        <v>1222</v>
      </c>
      <c r="C980" s="119" t="s">
        <v>66</v>
      </c>
      <c r="D980" t="s">
        <v>45</v>
      </c>
      <c r="E980" s="117">
        <v>284.77</v>
      </c>
    </row>
    <row r="981" spans="1:5" x14ac:dyDescent="0.25">
      <c r="A981" s="119" t="s">
        <v>1223</v>
      </c>
      <c r="B981" s="119" t="s">
        <v>8777</v>
      </c>
      <c r="C981" s="119" t="s">
        <v>66</v>
      </c>
      <c r="D981" t="s">
        <v>6759</v>
      </c>
      <c r="E981" s="117">
        <v>25.41</v>
      </c>
    </row>
    <row r="982" spans="1:5" x14ac:dyDescent="0.25">
      <c r="A982" s="119" t="s">
        <v>6799</v>
      </c>
      <c r="B982" s="119" t="s">
        <v>8778</v>
      </c>
      <c r="C982" s="119" t="s">
        <v>66</v>
      </c>
      <c r="D982" t="s">
        <v>6759</v>
      </c>
      <c r="E982" s="117">
        <v>12</v>
      </c>
    </row>
    <row r="983" spans="1:5" x14ac:dyDescent="0.25">
      <c r="A983" s="119" t="s">
        <v>1224</v>
      </c>
      <c r="B983" s="119" t="s">
        <v>8779</v>
      </c>
      <c r="C983" s="119" t="s">
        <v>66</v>
      </c>
      <c r="D983" t="s">
        <v>49</v>
      </c>
      <c r="E983" s="117">
        <v>2.99</v>
      </c>
    </row>
    <row r="984" spans="1:5" x14ac:dyDescent="0.25">
      <c r="A984" s="119" t="s">
        <v>1225</v>
      </c>
      <c r="B984" s="119" t="s">
        <v>1226</v>
      </c>
      <c r="C984" s="119" t="s">
        <v>66</v>
      </c>
      <c r="D984" t="s">
        <v>45</v>
      </c>
      <c r="E984" s="117">
        <v>417.38</v>
      </c>
    </row>
    <row r="985" spans="1:5" x14ac:dyDescent="0.25">
      <c r="A985" s="119" t="s">
        <v>1227</v>
      </c>
      <c r="B985" s="119" t="s">
        <v>1228</v>
      </c>
      <c r="C985" s="119" t="s">
        <v>66</v>
      </c>
      <c r="D985" t="s">
        <v>6759</v>
      </c>
      <c r="E985" s="117">
        <v>291.5</v>
      </c>
    </row>
    <row r="986" spans="1:5" x14ac:dyDescent="0.25">
      <c r="A986" s="119" t="s">
        <v>6627</v>
      </c>
      <c r="B986" s="119" t="s">
        <v>8780</v>
      </c>
      <c r="C986" s="119" t="s">
        <v>301</v>
      </c>
      <c r="D986" t="s">
        <v>45</v>
      </c>
      <c r="E986" s="117">
        <v>462.27</v>
      </c>
    </row>
    <row r="987" spans="1:5" x14ac:dyDescent="0.25">
      <c r="A987" s="119" t="s">
        <v>1229</v>
      </c>
      <c r="B987" s="119" t="s">
        <v>8781</v>
      </c>
      <c r="C987" s="119" t="s">
        <v>301</v>
      </c>
      <c r="D987" t="s">
        <v>6760</v>
      </c>
      <c r="E987" s="117">
        <v>926.52</v>
      </c>
    </row>
    <row r="988" spans="1:5" x14ac:dyDescent="0.25">
      <c r="A988" s="119" t="s">
        <v>1230</v>
      </c>
      <c r="B988" s="119" t="s">
        <v>1231</v>
      </c>
      <c r="C988" s="119" t="s">
        <v>66</v>
      </c>
      <c r="D988" t="s">
        <v>6759</v>
      </c>
      <c r="E988" s="117">
        <v>450.05</v>
      </c>
    </row>
    <row r="989" spans="1:5" x14ac:dyDescent="0.25">
      <c r="A989" s="119" t="s">
        <v>1232</v>
      </c>
      <c r="B989" s="119" t="s">
        <v>1233</v>
      </c>
      <c r="C989" s="119" t="s">
        <v>66</v>
      </c>
      <c r="D989" t="s">
        <v>6759</v>
      </c>
      <c r="E989" s="117">
        <v>304.72000000000003</v>
      </c>
    </row>
    <row r="990" spans="1:5" x14ac:dyDescent="0.25">
      <c r="A990" s="119" t="s">
        <v>6628</v>
      </c>
      <c r="B990" s="119" t="s">
        <v>8782</v>
      </c>
      <c r="C990" s="119" t="s">
        <v>301</v>
      </c>
      <c r="D990" t="s">
        <v>45</v>
      </c>
      <c r="E990" s="117">
        <v>3419.25</v>
      </c>
    </row>
    <row r="991" spans="1:5" x14ac:dyDescent="0.25">
      <c r="A991" s="119" t="s">
        <v>6629</v>
      </c>
      <c r="B991" s="119" t="s">
        <v>6397</v>
      </c>
      <c r="C991" s="119" t="s">
        <v>66</v>
      </c>
      <c r="D991" t="s">
        <v>45</v>
      </c>
      <c r="E991" s="117">
        <v>63.53</v>
      </c>
    </row>
    <row r="992" spans="1:5" x14ac:dyDescent="0.25">
      <c r="A992" s="119" t="s">
        <v>6630</v>
      </c>
      <c r="B992" s="119" t="s">
        <v>6398</v>
      </c>
      <c r="C992" s="119" t="s">
        <v>66</v>
      </c>
      <c r="D992" t="s">
        <v>45</v>
      </c>
      <c r="E992" s="117">
        <v>0</v>
      </c>
    </row>
    <row r="993" spans="1:5" x14ac:dyDescent="0.25">
      <c r="A993" s="119" t="s">
        <v>6631</v>
      </c>
      <c r="B993" s="119" t="s">
        <v>8783</v>
      </c>
      <c r="C993" s="119" t="s">
        <v>66</v>
      </c>
      <c r="D993" t="s">
        <v>45</v>
      </c>
      <c r="E993" s="117">
        <v>97.9</v>
      </c>
    </row>
    <row r="994" spans="1:5" x14ac:dyDescent="0.25">
      <c r="A994" s="119" t="s">
        <v>1234</v>
      </c>
      <c r="B994" s="119" t="s">
        <v>8784</v>
      </c>
      <c r="C994" s="119" t="s">
        <v>66</v>
      </c>
      <c r="D994" t="s">
        <v>6759</v>
      </c>
      <c r="E994" s="117">
        <v>6.07</v>
      </c>
    </row>
    <row r="995" spans="1:5" x14ac:dyDescent="0.25">
      <c r="A995" s="119" t="s">
        <v>6632</v>
      </c>
      <c r="B995" s="119" t="s">
        <v>1235</v>
      </c>
      <c r="C995" s="119" t="s">
        <v>66</v>
      </c>
      <c r="D995" t="s">
        <v>6759</v>
      </c>
      <c r="E995" s="117">
        <v>134.94999999999999</v>
      </c>
    </row>
    <row r="996" spans="1:5" x14ac:dyDescent="0.25">
      <c r="A996" s="119" t="s">
        <v>6633</v>
      </c>
      <c r="B996" s="119" t="s">
        <v>1236</v>
      </c>
      <c r="C996" s="119" t="s">
        <v>66</v>
      </c>
      <c r="D996" t="s">
        <v>6759</v>
      </c>
      <c r="E996" s="117">
        <v>142.82</v>
      </c>
    </row>
    <row r="997" spans="1:5" x14ac:dyDescent="0.25">
      <c r="A997" s="119" t="s">
        <v>6634</v>
      </c>
      <c r="B997" s="119" t="s">
        <v>1237</v>
      </c>
      <c r="C997" s="119" t="s">
        <v>66</v>
      </c>
      <c r="D997" t="s">
        <v>45</v>
      </c>
      <c r="E997" s="117">
        <v>138.6</v>
      </c>
    </row>
    <row r="998" spans="1:5" x14ac:dyDescent="0.25">
      <c r="A998" s="119" t="s">
        <v>6635</v>
      </c>
      <c r="B998" s="119" t="s">
        <v>1238</v>
      </c>
      <c r="C998" s="119" t="s">
        <v>66</v>
      </c>
      <c r="D998" t="s">
        <v>49</v>
      </c>
      <c r="E998" s="117">
        <v>150</v>
      </c>
    </row>
    <row r="999" spans="1:5" x14ac:dyDescent="0.25">
      <c r="A999" s="119" t="s">
        <v>6636</v>
      </c>
      <c r="B999" s="119" t="s">
        <v>6399</v>
      </c>
      <c r="C999" s="119" t="s">
        <v>66</v>
      </c>
      <c r="D999" t="s">
        <v>49</v>
      </c>
      <c r="E999" s="117">
        <v>150.15</v>
      </c>
    </row>
    <row r="1000" spans="1:5" x14ac:dyDescent="0.25">
      <c r="A1000" s="119" t="s">
        <v>6637</v>
      </c>
      <c r="B1000" s="119" t="s">
        <v>8785</v>
      </c>
      <c r="C1000" s="119" t="s">
        <v>66</v>
      </c>
      <c r="D1000" t="s">
        <v>6759</v>
      </c>
      <c r="E1000" s="117">
        <v>438.9</v>
      </c>
    </row>
    <row r="1001" spans="1:5" x14ac:dyDescent="0.25">
      <c r="A1001" s="119" t="s">
        <v>6638</v>
      </c>
      <c r="B1001" s="119" t="s">
        <v>1239</v>
      </c>
      <c r="C1001" s="119" t="s">
        <v>66</v>
      </c>
      <c r="D1001" t="s">
        <v>49</v>
      </c>
      <c r="E1001" s="117">
        <v>392.7</v>
      </c>
    </row>
    <row r="1002" spans="1:5" x14ac:dyDescent="0.25">
      <c r="A1002" s="119" t="s">
        <v>6639</v>
      </c>
      <c r="B1002" s="119" t="s">
        <v>8786</v>
      </c>
      <c r="C1002" s="119" t="s">
        <v>66</v>
      </c>
      <c r="D1002" t="s">
        <v>6759</v>
      </c>
      <c r="E1002" s="117">
        <v>364.16</v>
      </c>
    </row>
    <row r="1003" spans="1:5" x14ac:dyDescent="0.25">
      <c r="A1003" s="119" t="s">
        <v>6640</v>
      </c>
      <c r="B1003" s="119" t="s">
        <v>1240</v>
      </c>
      <c r="C1003" s="119" t="s">
        <v>66</v>
      </c>
      <c r="D1003" t="s">
        <v>49</v>
      </c>
      <c r="E1003" s="117">
        <v>348.17</v>
      </c>
    </row>
    <row r="1004" spans="1:5" x14ac:dyDescent="0.25">
      <c r="A1004" s="119" t="s">
        <v>6641</v>
      </c>
      <c r="B1004" s="119" t="s">
        <v>8787</v>
      </c>
      <c r="C1004" s="119" t="s">
        <v>66</v>
      </c>
      <c r="D1004" t="s">
        <v>49</v>
      </c>
      <c r="E1004" s="117">
        <v>346.5</v>
      </c>
    </row>
    <row r="1005" spans="1:5" x14ac:dyDescent="0.25">
      <c r="A1005" s="119" t="s">
        <v>1241</v>
      </c>
      <c r="B1005" s="119" t="s">
        <v>1242</v>
      </c>
      <c r="C1005" s="119" t="s">
        <v>66</v>
      </c>
      <c r="D1005" t="s">
        <v>45</v>
      </c>
      <c r="E1005" s="117">
        <v>465.62</v>
      </c>
    </row>
    <row r="1006" spans="1:5" x14ac:dyDescent="0.25">
      <c r="A1006" s="119" t="s">
        <v>1243</v>
      </c>
      <c r="B1006" s="119" t="s">
        <v>1244</v>
      </c>
      <c r="C1006" s="119" t="s">
        <v>66</v>
      </c>
      <c r="D1006" t="s">
        <v>6759</v>
      </c>
      <c r="E1006" s="117">
        <v>305.18</v>
      </c>
    </row>
    <row r="1007" spans="1:5" x14ac:dyDescent="0.25">
      <c r="A1007" s="119" t="s">
        <v>1245</v>
      </c>
      <c r="B1007" s="119" t="s">
        <v>8788</v>
      </c>
      <c r="C1007" s="119" t="s">
        <v>66</v>
      </c>
      <c r="D1007" t="s">
        <v>6759</v>
      </c>
      <c r="E1007" s="117">
        <v>5.78</v>
      </c>
    </row>
    <row r="1008" spans="1:5" x14ac:dyDescent="0.25">
      <c r="A1008" s="119" t="s">
        <v>1246</v>
      </c>
      <c r="B1008" s="119" t="s">
        <v>8789</v>
      </c>
      <c r="C1008" s="119" t="s">
        <v>66</v>
      </c>
      <c r="D1008" t="s">
        <v>6759</v>
      </c>
      <c r="E1008" s="117">
        <v>9.4499999999999993</v>
      </c>
    </row>
    <row r="1009" spans="1:5" x14ac:dyDescent="0.25">
      <c r="A1009" s="119" t="s">
        <v>1247</v>
      </c>
      <c r="B1009" s="119" t="s">
        <v>8790</v>
      </c>
      <c r="C1009" s="119" t="s">
        <v>66</v>
      </c>
      <c r="D1009" t="s">
        <v>6759</v>
      </c>
      <c r="E1009" s="117">
        <v>9.4499999999999993</v>
      </c>
    </row>
    <row r="1010" spans="1:5" x14ac:dyDescent="0.25">
      <c r="A1010" s="119" t="s">
        <v>1248</v>
      </c>
      <c r="B1010" s="119" t="s">
        <v>1249</v>
      </c>
      <c r="C1010" s="119" t="s">
        <v>66</v>
      </c>
      <c r="D1010" t="s">
        <v>6759</v>
      </c>
      <c r="E1010" s="117">
        <v>32.99</v>
      </c>
    </row>
    <row r="1011" spans="1:5" x14ac:dyDescent="0.25">
      <c r="A1011" s="119" t="s">
        <v>1250</v>
      </c>
      <c r="B1011" s="119" t="s">
        <v>1251</v>
      </c>
      <c r="C1011" s="119" t="s">
        <v>66</v>
      </c>
      <c r="D1011" t="s">
        <v>6759</v>
      </c>
      <c r="E1011" s="117">
        <v>32.99</v>
      </c>
    </row>
    <row r="1012" spans="1:5" x14ac:dyDescent="0.25">
      <c r="A1012" s="119" t="s">
        <v>1252</v>
      </c>
      <c r="B1012" s="119" t="s">
        <v>8791</v>
      </c>
      <c r="C1012" s="119" t="s">
        <v>66</v>
      </c>
      <c r="D1012" t="s">
        <v>6759</v>
      </c>
      <c r="E1012" s="117">
        <v>2.64</v>
      </c>
    </row>
    <row r="1013" spans="1:5" x14ac:dyDescent="0.25">
      <c r="A1013" s="119" t="s">
        <v>1253</v>
      </c>
      <c r="B1013" s="119" t="s">
        <v>8792</v>
      </c>
      <c r="C1013" s="119" t="s">
        <v>66</v>
      </c>
      <c r="D1013" t="s">
        <v>6759</v>
      </c>
      <c r="E1013" s="117">
        <v>9.4499999999999993</v>
      </c>
    </row>
    <row r="1014" spans="1:5" x14ac:dyDescent="0.25">
      <c r="A1014" s="119" t="s">
        <v>1254</v>
      </c>
      <c r="B1014" s="119" t="s">
        <v>8793</v>
      </c>
      <c r="C1014" s="119" t="s">
        <v>66</v>
      </c>
      <c r="D1014" t="s">
        <v>49</v>
      </c>
      <c r="E1014" s="117">
        <v>9.1</v>
      </c>
    </row>
    <row r="1015" spans="1:5" x14ac:dyDescent="0.25">
      <c r="A1015" s="119" t="s">
        <v>1255</v>
      </c>
      <c r="B1015" s="119" t="s">
        <v>8794</v>
      </c>
      <c r="C1015" s="119" t="s">
        <v>66</v>
      </c>
      <c r="D1015" t="s">
        <v>6759</v>
      </c>
      <c r="E1015" s="117">
        <v>9.4499999999999993</v>
      </c>
    </row>
    <row r="1016" spans="1:5" x14ac:dyDescent="0.25">
      <c r="A1016" s="119" t="s">
        <v>1256</v>
      </c>
      <c r="B1016" s="119" t="s">
        <v>1257</v>
      </c>
      <c r="C1016" s="119" t="s">
        <v>66</v>
      </c>
      <c r="D1016" t="s">
        <v>6759</v>
      </c>
      <c r="E1016" s="117">
        <v>516.46</v>
      </c>
    </row>
    <row r="1017" spans="1:5" x14ac:dyDescent="0.25">
      <c r="A1017" s="119" t="s">
        <v>1258</v>
      </c>
      <c r="B1017" s="119" t="s">
        <v>1259</v>
      </c>
      <c r="C1017" s="119" t="s">
        <v>66</v>
      </c>
      <c r="D1017" t="s">
        <v>6759</v>
      </c>
      <c r="E1017" s="117">
        <v>312.97000000000003</v>
      </c>
    </row>
    <row r="1018" spans="1:5" x14ac:dyDescent="0.25">
      <c r="A1018" s="119" t="s">
        <v>1260</v>
      </c>
      <c r="B1018" s="119" t="s">
        <v>1261</v>
      </c>
      <c r="C1018" s="119" t="s">
        <v>66</v>
      </c>
      <c r="D1018" t="s">
        <v>49</v>
      </c>
      <c r="E1018" s="117">
        <v>510.52</v>
      </c>
    </row>
    <row r="1019" spans="1:5" x14ac:dyDescent="0.25">
      <c r="A1019" s="119" t="s">
        <v>1262</v>
      </c>
      <c r="B1019" s="119" t="s">
        <v>1263</v>
      </c>
      <c r="C1019" s="119" t="s">
        <v>66</v>
      </c>
      <c r="D1019" t="s">
        <v>6759</v>
      </c>
      <c r="E1019" s="117">
        <v>344.36</v>
      </c>
    </row>
    <row r="1020" spans="1:5" x14ac:dyDescent="0.25">
      <c r="A1020" s="119" t="s">
        <v>1264</v>
      </c>
      <c r="B1020" s="119" t="s">
        <v>1265</v>
      </c>
      <c r="C1020" s="119" t="s">
        <v>66</v>
      </c>
      <c r="D1020" t="s">
        <v>45</v>
      </c>
      <c r="E1020" s="117">
        <v>571.20000000000005</v>
      </c>
    </row>
    <row r="1021" spans="1:5" x14ac:dyDescent="0.25">
      <c r="A1021" s="119" t="s">
        <v>1266</v>
      </c>
      <c r="B1021" s="119" t="s">
        <v>1267</v>
      </c>
      <c r="C1021" s="119" t="s">
        <v>66</v>
      </c>
      <c r="D1021" t="s">
        <v>6759</v>
      </c>
      <c r="E1021" s="117">
        <v>352.14</v>
      </c>
    </row>
    <row r="1022" spans="1:5" x14ac:dyDescent="0.25">
      <c r="A1022" s="119" t="s">
        <v>1268</v>
      </c>
      <c r="B1022" s="119" t="s">
        <v>1269</v>
      </c>
      <c r="C1022" s="119" t="s">
        <v>66</v>
      </c>
      <c r="D1022" t="s">
        <v>49</v>
      </c>
      <c r="E1022" s="117">
        <v>691.29</v>
      </c>
    </row>
    <row r="1023" spans="1:5" x14ac:dyDescent="0.25">
      <c r="A1023" s="119" t="s">
        <v>1270</v>
      </c>
      <c r="B1023" s="119" t="s">
        <v>1271</v>
      </c>
      <c r="C1023" s="119" t="s">
        <v>66</v>
      </c>
      <c r="D1023" t="s">
        <v>6759</v>
      </c>
      <c r="E1023" s="117">
        <v>360.03</v>
      </c>
    </row>
    <row r="1024" spans="1:5" x14ac:dyDescent="0.25">
      <c r="A1024" s="119" t="s">
        <v>1272</v>
      </c>
      <c r="B1024" s="119" t="s">
        <v>1273</v>
      </c>
      <c r="C1024" s="119" t="s">
        <v>66</v>
      </c>
      <c r="D1024" t="s">
        <v>49</v>
      </c>
      <c r="E1024" s="117">
        <v>598.69000000000005</v>
      </c>
    </row>
    <row r="1025" spans="1:5" x14ac:dyDescent="0.25">
      <c r="A1025" s="119" t="s">
        <v>1274</v>
      </c>
      <c r="B1025" s="119" t="s">
        <v>1275</v>
      </c>
      <c r="C1025" s="119" t="s">
        <v>66</v>
      </c>
      <c r="D1025" t="s">
        <v>6759</v>
      </c>
      <c r="E1025" s="117">
        <v>367.83</v>
      </c>
    </row>
    <row r="1026" spans="1:5" x14ac:dyDescent="0.25">
      <c r="A1026" s="119" t="s">
        <v>1276</v>
      </c>
      <c r="B1026" s="119" t="s">
        <v>8795</v>
      </c>
      <c r="C1026" s="119" t="s">
        <v>301</v>
      </c>
      <c r="D1026" t="s">
        <v>45</v>
      </c>
      <c r="E1026" s="117">
        <v>895.88</v>
      </c>
    </row>
    <row r="1027" spans="1:5" x14ac:dyDescent="0.25">
      <c r="A1027" s="119" t="s">
        <v>1277</v>
      </c>
      <c r="B1027" s="119" t="s">
        <v>8796</v>
      </c>
      <c r="C1027" s="119" t="s">
        <v>301</v>
      </c>
      <c r="D1027" t="s">
        <v>51</v>
      </c>
      <c r="E1027" s="117">
        <v>719.53</v>
      </c>
    </row>
    <row r="1028" spans="1:5" x14ac:dyDescent="0.25">
      <c r="A1028" s="119" t="s">
        <v>1278</v>
      </c>
      <c r="B1028" s="119" t="s">
        <v>1279</v>
      </c>
      <c r="C1028" s="119" t="s">
        <v>66</v>
      </c>
      <c r="D1028" t="s">
        <v>6759</v>
      </c>
      <c r="E1028" s="117">
        <v>610.48</v>
      </c>
    </row>
    <row r="1029" spans="1:5" x14ac:dyDescent="0.25">
      <c r="A1029" s="119" t="s">
        <v>6642</v>
      </c>
      <c r="B1029" s="119" t="s">
        <v>8797</v>
      </c>
      <c r="C1029" s="119" t="s">
        <v>66</v>
      </c>
      <c r="D1029" t="s">
        <v>6759</v>
      </c>
      <c r="E1029" s="117">
        <v>1759</v>
      </c>
    </row>
    <row r="1030" spans="1:5" x14ac:dyDescent="0.25">
      <c r="A1030" s="119" t="s">
        <v>6643</v>
      </c>
      <c r="B1030" s="119" t="s">
        <v>8798</v>
      </c>
      <c r="C1030" s="119" t="s">
        <v>66</v>
      </c>
      <c r="D1030" t="s">
        <v>45</v>
      </c>
      <c r="E1030" s="117">
        <v>84.89</v>
      </c>
    </row>
    <row r="1031" spans="1:5" x14ac:dyDescent="0.25">
      <c r="A1031" s="119" t="s">
        <v>6644</v>
      </c>
      <c r="B1031" s="119" t="s">
        <v>8799</v>
      </c>
      <c r="C1031" s="119" t="s">
        <v>66</v>
      </c>
      <c r="D1031" t="s">
        <v>45</v>
      </c>
      <c r="E1031" s="117">
        <v>173.25</v>
      </c>
    </row>
    <row r="1032" spans="1:5" x14ac:dyDescent="0.25">
      <c r="A1032" s="119" t="s">
        <v>6645</v>
      </c>
      <c r="B1032" s="119" t="s">
        <v>8800</v>
      </c>
      <c r="C1032" s="119" t="s">
        <v>66</v>
      </c>
      <c r="D1032" t="s">
        <v>49</v>
      </c>
      <c r="E1032" s="117">
        <v>90.36</v>
      </c>
    </row>
    <row r="1033" spans="1:5" x14ac:dyDescent="0.25">
      <c r="A1033" s="119" t="s">
        <v>6646</v>
      </c>
      <c r="B1033" s="119" t="s">
        <v>8801</v>
      </c>
      <c r="C1033" s="119" t="s">
        <v>66</v>
      </c>
      <c r="D1033" t="s">
        <v>49</v>
      </c>
      <c r="E1033" s="117">
        <v>92.4</v>
      </c>
    </row>
    <row r="1034" spans="1:5" x14ac:dyDescent="0.25">
      <c r="A1034" s="119" t="s">
        <v>6647</v>
      </c>
      <c r="B1034" s="119" t="s">
        <v>6400</v>
      </c>
      <c r="C1034" s="119" t="s">
        <v>66</v>
      </c>
      <c r="D1034" t="s">
        <v>6759</v>
      </c>
      <c r="E1034" s="117">
        <v>125.1</v>
      </c>
    </row>
    <row r="1035" spans="1:5" x14ac:dyDescent="0.25">
      <c r="A1035" s="119" t="s">
        <v>6648</v>
      </c>
      <c r="B1035" s="119" t="s">
        <v>6401</v>
      </c>
      <c r="C1035" s="119" t="s">
        <v>66</v>
      </c>
      <c r="D1035" t="s">
        <v>49</v>
      </c>
      <c r="E1035" s="117">
        <v>109.73</v>
      </c>
    </row>
    <row r="1036" spans="1:5" x14ac:dyDescent="0.25">
      <c r="A1036" s="119" t="s">
        <v>6649</v>
      </c>
      <c r="B1036" s="119" t="s">
        <v>8802</v>
      </c>
      <c r="C1036" s="119" t="s">
        <v>66</v>
      </c>
      <c r="D1036" t="s">
        <v>6760</v>
      </c>
      <c r="E1036" s="117">
        <v>103.95</v>
      </c>
    </row>
    <row r="1037" spans="1:5" x14ac:dyDescent="0.25">
      <c r="A1037" s="119" t="s">
        <v>6650</v>
      </c>
      <c r="B1037" s="119" t="s">
        <v>6402</v>
      </c>
      <c r="C1037" s="119" t="s">
        <v>66</v>
      </c>
      <c r="D1037" t="s">
        <v>49</v>
      </c>
      <c r="E1037" s="117">
        <v>127.05</v>
      </c>
    </row>
    <row r="1038" spans="1:5" x14ac:dyDescent="0.25">
      <c r="A1038" s="119" t="s">
        <v>6651</v>
      </c>
      <c r="B1038" s="119" t="s">
        <v>8803</v>
      </c>
      <c r="C1038" s="119" t="s">
        <v>66</v>
      </c>
      <c r="D1038" t="s">
        <v>51</v>
      </c>
      <c r="E1038" s="117">
        <v>136.44999999999999</v>
      </c>
    </row>
    <row r="1039" spans="1:5" x14ac:dyDescent="0.25">
      <c r="A1039" s="119" t="s">
        <v>6652</v>
      </c>
      <c r="B1039" s="119" t="s">
        <v>8804</v>
      </c>
      <c r="C1039" s="119" t="s">
        <v>66</v>
      </c>
      <c r="D1039" t="s">
        <v>45</v>
      </c>
      <c r="E1039" s="117">
        <v>132.83000000000001</v>
      </c>
    </row>
    <row r="1040" spans="1:5" x14ac:dyDescent="0.25">
      <c r="A1040" s="119" t="s">
        <v>6653</v>
      </c>
      <c r="B1040" s="119" t="s">
        <v>1280</v>
      </c>
      <c r="C1040" s="119" t="s">
        <v>66</v>
      </c>
      <c r="D1040" t="s">
        <v>6759</v>
      </c>
      <c r="E1040" s="117">
        <v>82.46</v>
      </c>
    </row>
    <row r="1041" spans="1:5" x14ac:dyDescent="0.25">
      <c r="A1041" s="119" t="s">
        <v>6654</v>
      </c>
      <c r="B1041" s="119" t="s">
        <v>8805</v>
      </c>
      <c r="C1041" s="119" t="s">
        <v>66</v>
      </c>
      <c r="D1041" t="s">
        <v>49</v>
      </c>
      <c r="E1041" s="117">
        <v>3650.25</v>
      </c>
    </row>
    <row r="1042" spans="1:5" x14ac:dyDescent="0.25">
      <c r="A1042" s="119" t="s">
        <v>6655</v>
      </c>
      <c r="B1042" s="119" t="s">
        <v>8806</v>
      </c>
      <c r="C1042" s="119" t="s">
        <v>66</v>
      </c>
      <c r="D1042" t="s">
        <v>45</v>
      </c>
      <c r="E1042" s="117">
        <v>80</v>
      </c>
    </row>
    <row r="1043" spans="1:5" x14ac:dyDescent="0.25">
      <c r="A1043" s="119" t="s">
        <v>6656</v>
      </c>
      <c r="B1043" s="119" t="s">
        <v>1281</v>
      </c>
      <c r="C1043" s="119" t="s">
        <v>66</v>
      </c>
      <c r="D1043" t="s">
        <v>6759</v>
      </c>
      <c r="E1043" s="117">
        <v>54.29</v>
      </c>
    </row>
    <row r="1044" spans="1:5" x14ac:dyDescent="0.25">
      <c r="A1044" s="119" t="s">
        <v>6657</v>
      </c>
      <c r="B1044" s="119" t="s">
        <v>1281</v>
      </c>
      <c r="C1044" s="119" t="s">
        <v>66</v>
      </c>
      <c r="D1044" t="s">
        <v>6759</v>
      </c>
      <c r="E1044" s="117">
        <v>61.22</v>
      </c>
    </row>
    <row r="1045" spans="1:5" x14ac:dyDescent="0.25">
      <c r="A1045" s="119" t="s">
        <v>6658</v>
      </c>
      <c r="B1045" s="119" t="s">
        <v>8807</v>
      </c>
      <c r="C1045" s="119" t="s">
        <v>66</v>
      </c>
      <c r="D1045" t="s">
        <v>45</v>
      </c>
      <c r="E1045" s="117">
        <v>80.2</v>
      </c>
    </row>
    <row r="1046" spans="1:5" x14ac:dyDescent="0.25">
      <c r="A1046" s="119" t="s">
        <v>6659</v>
      </c>
      <c r="B1046" s="119" t="s">
        <v>1282</v>
      </c>
      <c r="C1046" s="119" t="s">
        <v>66</v>
      </c>
      <c r="D1046" t="s">
        <v>6759</v>
      </c>
      <c r="E1046" s="117">
        <v>145.19999999999999</v>
      </c>
    </row>
    <row r="1047" spans="1:5" x14ac:dyDescent="0.25">
      <c r="A1047" s="119" t="s">
        <v>6660</v>
      </c>
      <c r="B1047" s="119" t="s">
        <v>8808</v>
      </c>
      <c r="C1047" s="119" t="s">
        <v>301</v>
      </c>
      <c r="D1047" t="s">
        <v>45</v>
      </c>
      <c r="E1047" s="117">
        <v>0</v>
      </c>
    </row>
    <row r="1048" spans="1:5" x14ac:dyDescent="0.25">
      <c r="A1048" s="119" t="s">
        <v>1283</v>
      </c>
      <c r="B1048" s="119" t="s">
        <v>8809</v>
      </c>
      <c r="C1048" s="119" t="s">
        <v>66</v>
      </c>
      <c r="D1048" t="s">
        <v>51</v>
      </c>
      <c r="E1048" s="117">
        <v>206</v>
      </c>
    </row>
    <row r="1049" spans="1:5" x14ac:dyDescent="0.25">
      <c r="A1049" s="119" t="s">
        <v>1284</v>
      </c>
      <c r="B1049" s="119" t="s">
        <v>8810</v>
      </c>
      <c r="C1049" s="119" t="s">
        <v>66</v>
      </c>
      <c r="D1049" t="s">
        <v>51</v>
      </c>
      <c r="E1049" s="117">
        <v>294.70999999999998</v>
      </c>
    </row>
    <row r="1050" spans="1:5" x14ac:dyDescent="0.25">
      <c r="A1050" s="119" t="s">
        <v>1285</v>
      </c>
      <c r="B1050" s="119" t="s">
        <v>8811</v>
      </c>
      <c r="C1050" s="119" t="s">
        <v>66</v>
      </c>
      <c r="D1050" t="s">
        <v>45</v>
      </c>
      <c r="E1050" s="117">
        <v>215.86</v>
      </c>
    </row>
    <row r="1051" spans="1:5" x14ac:dyDescent="0.25">
      <c r="A1051" s="119" t="s">
        <v>1286</v>
      </c>
      <c r="B1051" s="119" t="s">
        <v>8812</v>
      </c>
      <c r="C1051" s="119" t="s">
        <v>66</v>
      </c>
      <c r="D1051" t="s">
        <v>6760</v>
      </c>
      <c r="E1051" s="117">
        <v>255.29</v>
      </c>
    </row>
    <row r="1052" spans="1:5" x14ac:dyDescent="0.25">
      <c r="A1052" s="119" t="s">
        <v>1287</v>
      </c>
      <c r="B1052" s="119" t="s">
        <v>1288</v>
      </c>
      <c r="C1052" s="119" t="s">
        <v>66</v>
      </c>
      <c r="D1052" t="s">
        <v>45</v>
      </c>
      <c r="E1052" s="117">
        <v>0</v>
      </c>
    </row>
    <row r="1053" spans="1:5" x14ac:dyDescent="0.25">
      <c r="A1053" s="119" t="s">
        <v>1289</v>
      </c>
      <c r="B1053" s="119" t="s">
        <v>8813</v>
      </c>
      <c r="C1053" s="119" t="s">
        <v>66</v>
      </c>
      <c r="D1053" t="s">
        <v>49</v>
      </c>
      <c r="E1053" s="117">
        <v>481.99</v>
      </c>
    </row>
    <row r="1054" spans="1:5" x14ac:dyDescent="0.25">
      <c r="A1054" s="119" t="s">
        <v>1290</v>
      </c>
      <c r="B1054" s="119" t="s">
        <v>1291</v>
      </c>
      <c r="C1054" s="119" t="s">
        <v>66</v>
      </c>
      <c r="D1054" t="s">
        <v>6760</v>
      </c>
      <c r="E1054" s="117">
        <v>915.67</v>
      </c>
    </row>
    <row r="1055" spans="1:5" x14ac:dyDescent="0.25">
      <c r="A1055" s="119" t="s">
        <v>1292</v>
      </c>
      <c r="B1055" s="119" t="s">
        <v>1293</v>
      </c>
      <c r="C1055" s="119" t="s">
        <v>66</v>
      </c>
      <c r="D1055" t="s">
        <v>51</v>
      </c>
      <c r="E1055" s="117">
        <v>294.70999999999998</v>
      </c>
    </row>
    <row r="1056" spans="1:5" x14ac:dyDescent="0.25">
      <c r="A1056" s="119" t="s">
        <v>1294</v>
      </c>
      <c r="B1056" s="119" t="s">
        <v>8814</v>
      </c>
      <c r="C1056" s="119" t="s">
        <v>66</v>
      </c>
      <c r="D1056" t="s">
        <v>51</v>
      </c>
      <c r="E1056" s="117">
        <v>185</v>
      </c>
    </row>
    <row r="1057" spans="1:5" x14ac:dyDescent="0.25">
      <c r="A1057" s="119" t="s">
        <v>1295</v>
      </c>
      <c r="B1057" s="119" t="s">
        <v>8815</v>
      </c>
      <c r="C1057" s="119" t="s">
        <v>66</v>
      </c>
      <c r="D1057" t="s">
        <v>45</v>
      </c>
      <c r="E1057" s="117">
        <v>289.77999999999997</v>
      </c>
    </row>
    <row r="1058" spans="1:5" x14ac:dyDescent="0.25">
      <c r="A1058" s="119" t="s">
        <v>1296</v>
      </c>
      <c r="B1058" s="119" t="s">
        <v>8816</v>
      </c>
      <c r="C1058" s="119" t="s">
        <v>66</v>
      </c>
      <c r="D1058" t="s">
        <v>49</v>
      </c>
      <c r="E1058" s="117">
        <v>166.57</v>
      </c>
    </row>
    <row r="1059" spans="1:5" x14ac:dyDescent="0.25">
      <c r="A1059" s="119" t="s">
        <v>1297</v>
      </c>
      <c r="B1059" s="119" t="s">
        <v>1298</v>
      </c>
      <c r="C1059" s="119" t="s">
        <v>66</v>
      </c>
      <c r="D1059" t="s">
        <v>45</v>
      </c>
      <c r="E1059" s="117">
        <v>0</v>
      </c>
    </row>
    <row r="1060" spans="1:5" x14ac:dyDescent="0.25">
      <c r="A1060" s="119" t="s">
        <v>1299</v>
      </c>
      <c r="B1060" s="119" t="s">
        <v>8645</v>
      </c>
      <c r="C1060" s="119" t="s">
        <v>66</v>
      </c>
      <c r="D1060" t="s">
        <v>51</v>
      </c>
      <c r="E1060" s="117">
        <v>452.41</v>
      </c>
    </row>
    <row r="1061" spans="1:5" x14ac:dyDescent="0.25">
      <c r="A1061" s="119" t="s">
        <v>1300</v>
      </c>
      <c r="B1061" s="119" t="s">
        <v>8652</v>
      </c>
      <c r="C1061" s="119" t="s">
        <v>66</v>
      </c>
      <c r="D1061" t="s">
        <v>49</v>
      </c>
      <c r="E1061" s="117">
        <v>196.15</v>
      </c>
    </row>
    <row r="1062" spans="1:5" x14ac:dyDescent="0.25">
      <c r="A1062" s="119" t="s">
        <v>1301</v>
      </c>
      <c r="B1062" s="119" t="s">
        <v>8654</v>
      </c>
      <c r="C1062" s="119" t="s">
        <v>66</v>
      </c>
      <c r="D1062" t="s">
        <v>49</v>
      </c>
      <c r="E1062" s="117">
        <v>260.20999999999998</v>
      </c>
    </row>
    <row r="1063" spans="1:5" x14ac:dyDescent="0.25">
      <c r="A1063" s="119" t="s">
        <v>1302</v>
      </c>
      <c r="B1063" s="119" t="s">
        <v>8817</v>
      </c>
      <c r="C1063" s="119" t="s">
        <v>66</v>
      </c>
      <c r="D1063" t="s">
        <v>51</v>
      </c>
      <c r="E1063" s="117">
        <v>560.84</v>
      </c>
    </row>
    <row r="1064" spans="1:5" x14ac:dyDescent="0.25">
      <c r="A1064" s="119" t="s">
        <v>1303</v>
      </c>
      <c r="B1064" s="119" t="s">
        <v>8818</v>
      </c>
      <c r="C1064" s="119" t="s">
        <v>66</v>
      </c>
      <c r="D1064" t="s">
        <v>51</v>
      </c>
      <c r="E1064" s="117">
        <v>343.99</v>
      </c>
    </row>
    <row r="1065" spans="1:5" x14ac:dyDescent="0.25">
      <c r="A1065" s="119" t="s">
        <v>1305</v>
      </c>
      <c r="B1065" s="119" t="s">
        <v>8645</v>
      </c>
      <c r="C1065" s="119" t="s">
        <v>66</v>
      </c>
      <c r="D1065" t="s">
        <v>45</v>
      </c>
      <c r="E1065" s="117">
        <v>452.41</v>
      </c>
    </row>
    <row r="1066" spans="1:5" x14ac:dyDescent="0.25">
      <c r="A1066" s="119" t="s">
        <v>1306</v>
      </c>
      <c r="B1066" s="119" t="s">
        <v>1304</v>
      </c>
      <c r="C1066" s="119" t="s">
        <v>66</v>
      </c>
      <c r="D1066" t="s">
        <v>45</v>
      </c>
      <c r="E1066" s="117">
        <v>343.99</v>
      </c>
    </row>
    <row r="1067" spans="1:5" x14ac:dyDescent="0.25">
      <c r="A1067" s="119" t="s">
        <v>6575</v>
      </c>
      <c r="B1067" s="119" t="s">
        <v>8818</v>
      </c>
      <c r="C1067" s="119" t="s">
        <v>66</v>
      </c>
      <c r="D1067" t="s">
        <v>51</v>
      </c>
      <c r="E1067" s="117">
        <v>343.99</v>
      </c>
    </row>
    <row r="1068" spans="1:5" x14ac:dyDescent="0.25">
      <c r="A1068" s="119" t="s">
        <v>1307</v>
      </c>
      <c r="B1068" s="119" t="s">
        <v>1308</v>
      </c>
      <c r="C1068" s="119" t="s">
        <v>66</v>
      </c>
      <c r="D1068" t="s">
        <v>45</v>
      </c>
      <c r="E1068" s="117">
        <v>866.4</v>
      </c>
    </row>
    <row r="1069" spans="1:5" x14ac:dyDescent="0.25">
      <c r="A1069" s="119" t="s">
        <v>1309</v>
      </c>
      <c r="B1069" s="119" t="s">
        <v>1310</v>
      </c>
      <c r="C1069" s="119" t="s">
        <v>66</v>
      </c>
      <c r="D1069" t="s">
        <v>45</v>
      </c>
      <c r="E1069" s="117">
        <v>0</v>
      </c>
    </row>
    <row r="1070" spans="1:5" x14ac:dyDescent="0.25">
      <c r="A1070" s="119" t="s">
        <v>1311</v>
      </c>
      <c r="B1070" s="119" t="s">
        <v>8819</v>
      </c>
      <c r="C1070" s="119" t="s">
        <v>66</v>
      </c>
      <c r="D1070" t="s">
        <v>51</v>
      </c>
      <c r="E1070" s="117">
        <v>669.26</v>
      </c>
    </row>
    <row r="1071" spans="1:5" x14ac:dyDescent="0.25">
      <c r="A1071" s="119" t="s">
        <v>1312</v>
      </c>
      <c r="B1071" s="119" t="s">
        <v>1313</v>
      </c>
      <c r="C1071" s="119" t="s">
        <v>66</v>
      </c>
      <c r="D1071" t="s">
        <v>45</v>
      </c>
      <c r="E1071" s="117">
        <v>1063.52</v>
      </c>
    </row>
    <row r="1072" spans="1:5" x14ac:dyDescent="0.25">
      <c r="A1072" s="119" t="s">
        <v>1314</v>
      </c>
      <c r="B1072" s="119" t="s">
        <v>8820</v>
      </c>
      <c r="C1072" s="119" t="s">
        <v>66</v>
      </c>
      <c r="D1072" t="s">
        <v>45</v>
      </c>
      <c r="E1072" s="117">
        <v>1501.96</v>
      </c>
    </row>
    <row r="1073" spans="1:5" x14ac:dyDescent="0.25">
      <c r="A1073" s="119" t="s">
        <v>1315</v>
      </c>
      <c r="B1073" s="119" t="s">
        <v>1316</v>
      </c>
      <c r="C1073" s="119" t="s">
        <v>66</v>
      </c>
      <c r="D1073" t="s">
        <v>49</v>
      </c>
      <c r="E1073" s="117">
        <v>1299</v>
      </c>
    </row>
    <row r="1074" spans="1:5" x14ac:dyDescent="0.25">
      <c r="A1074" s="119" t="s">
        <v>6576</v>
      </c>
      <c r="B1074" s="119" t="s">
        <v>8645</v>
      </c>
      <c r="C1074" s="119" t="s">
        <v>66</v>
      </c>
      <c r="D1074" t="s">
        <v>6759</v>
      </c>
      <c r="E1074" s="117">
        <v>452.41</v>
      </c>
    </row>
    <row r="1075" spans="1:5" x14ac:dyDescent="0.25">
      <c r="A1075" s="119" t="s">
        <v>1317</v>
      </c>
      <c r="B1075" s="119" t="s">
        <v>8816</v>
      </c>
      <c r="C1075" s="119" t="s">
        <v>66</v>
      </c>
      <c r="D1075" t="s">
        <v>45</v>
      </c>
      <c r="E1075" s="117">
        <v>0</v>
      </c>
    </row>
    <row r="1076" spans="1:5" x14ac:dyDescent="0.25">
      <c r="A1076" s="119" t="s">
        <v>8112</v>
      </c>
      <c r="B1076" s="119" t="s">
        <v>1316</v>
      </c>
      <c r="C1076" s="119" t="s">
        <v>66</v>
      </c>
      <c r="D1076" t="s">
        <v>51</v>
      </c>
      <c r="E1076" s="117">
        <v>1299</v>
      </c>
    </row>
    <row r="1077" spans="1:5" x14ac:dyDescent="0.25">
      <c r="A1077" s="119" t="s">
        <v>8113</v>
      </c>
      <c r="B1077" s="119" t="s">
        <v>1313</v>
      </c>
      <c r="C1077" s="119" t="s">
        <v>66</v>
      </c>
      <c r="D1077" t="s">
        <v>6759</v>
      </c>
      <c r="E1077" s="117">
        <v>1063.57</v>
      </c>
    </row>
    <row r="1078" spans="1:5" x14ac:dyDescent="0.25">
      <c r="A1078" s="119" t="s">
        <v>8114</v>
      </c>
      <c r="B1078" s="119" t="s">
        <v>8820</v>
      </c>
      <c r="C1078" s="119" t="s">
        <v>66</v>
      </c>
      <c r="D1078" t="s">
        <v>45</v>
      </c>
      <c r="E1078" s="117">
        <v>1501.96</v>
      </c>
    </row>
    <row r="1079" spans="1:5" x14ac:dyDescent="0.25">
      <c r="A1079" s="119" t="s">
        <v>6355</v>
      </c>
      <c r="B1079" s="119" t="s">
        <v>6356</v>
      </c>
      <c r="C1079" s="119" t="s">
        <v>66</v>
      </c>
      <c r="D1079" t="s">
        <v>45</v>
      </c>
      <c r="E1079" s="117">
        <v>254.44</v>
      </c>
    </row>
    <row r="1080" spans="1:5" x14ac:dyDescent="0.25">
      <c r="A1080" s="119" t="s">
        <v>6661</v>
      </c>
      <c r="B1080" s="119" t="s">
        <v>8821</v>
      </c>
      <c r="C1080" s="119" t="s">
        <v>301</v>
      </c>
      <c r="D1080" t="s">
        <v>45</v>
      </c>
      <c r="E1080" s="117">
        <v>478.04</v>
      </c>
    </row>
    <row r="1081" spans="1:5" x14ac:dyDescent="0.25">
      <c r="A1081" s="119" t="s">
        <v>6662</v>
      </c>
      <c r="B1081" s="119" t="s">
        <v>8822</v>
      </c>
      <c r="C1081" s="119" t="s">
        <v>301</v>
      </c>
      <c r="D1081" t="s">
        <v>45</v>
      </c>
      <c r="E1081" s="117">
        <v>241.49</v>
      </c>
    </row>
    <row r="1082" spans="1:5" x14ac:dyDescent="0.25">
      <c r="A1082" s="119" t="s">
        <v>6663</v>
      </c>
      <c r="B1082" s="119" t="s">
        <v>1318</v>
      </c>
      <c r="C1082" s="119" t="s">
        <v>66</v>
      </c>
      <c r="D1082" t="s">
        <v>49</v>
      </c>
      <c r="E1082" s="117">
        <v>75.08</v>
      </c>
    </row>
    <row r="1083" spans="1:5" x14ac:dyDescent="0.25">
      <c r="A1083" s="119" t="s">
        <v>6664</v>
      </c>
      <c r="B1083" s="119" t="s">
        <v>1319</v>
      </c>
      <c r="C1083" s="119" t="s">
        <v>66</v>
      </c>
      <c r="D1083" t="s">
        <v>45</v>
      </c>
      <c r="E1083" s="117">
        <v>97.02</v>
      </c>
    </row>
    <row r="1084" spans="1:5" x14ac:dyDescent="0.25">
      <c r="A1084" s="119" t="s">
        <v>6665</v>
      </c>
      <c r="B1084" s="119" t="s">
        <v>1320</v>
      </c>
      <c r="C1084" s="119" t="s">
        <v>66</v>
      </c>
      <c r="D1084" t="s">
        <v>49</v>
      </c>
      <c r="E1084" s="117">
        <v>92.4</v>
      </c>
    </row>
    <row r="1085" spans="1:5" x14ac:dyDescent="0.25">
      <c r="A1085" s="119" t="s">
        <v>6666</v>
      </c>
      <c r="B1085" s="119" t="s">
        <v>1321</v>
      </c>
      <c r="C1085" s="119" t="s">
        <v>66</v>
      </c>
      <c r="D1085" t="s">
        <v>6759</v>
      </c>
      <c r="E1085" s="117">
        <v>249</v>
      </c>
    </row>
    <row r="1086" spans="1:5" x14ac:dyDescent="0.25">
      <c r="A1086" s="119" t="s">
        <v>6667</v>
      </c>
      <c r="B1086" s="119" t="s">
        <v>1322</v>
      </c>
      <c r="C1086" s="119" t="s">
        <v>66</v>
      </c>
      <c r="D1086" t="s">
        <v>6759</v>
      </c>
      <c r="E1086" s="117">
        <v>84.32</v>
      </c>
    </row>
    <row r="1087" spans="1:5" x14ac:dyDescent="0.25">
      <c r="A1087" s="119" t="s">
        <v>1323</v>
      </c>
      <c r="B1087" s="119" t="s">
        <v>1324</v>
      </c>
      <c r="C1087" s="119" t="s">
        <v>301</v>
      </c>
      <c r="D1087" t="s">
        <v>45</v>
      </c>
      <c r="E1087" s="117">
        <v>0</v>
      </c>
    </row>
    <row r="1088" spans="1:5" x14ac:dyDescent="0.25">
      <c r="A1088" s="119" t="s">
        <v>1325</v>
      </c>
      <c r="B1088" s="119" t="s">
        <v>8823</v>
      </c>
      <c r="C1088" s="119" t="s">
        <v>301</v>
      </c>
      <c r="D1088" t="s">
        <v>49</v>
      </c>
      <c r="E1088" s="117">
        <v>1439.06</v>
      </c>
    </row>
    <row r="1089" spans="1:5" x14ac:dyDescent="0.25">
      <c r="A1089" s="119" t="s">
        <v>6668</v>
      </c>
      <c r="B1089" s="119" t="s">
        <v>8824</v>
      </c>
      <c r="C1089" s="119" t="s">
        <v>301</v>
      </c>
      <c r="D1089" t="s">
        <v>49</v>
      </c>
      <c r="E1089" s="117">
        <v>2955.99</v>
      </c>
    </row>
    <row r="1090" spans="1:5" x14ac:dyDescent="0.25">
      <c r="A1090" s="119" t="s">
        <v>6669</v>
      </c>
      <c r="B1090" s="119" t="s">
        <v>1326</v>
      </c>
      <c r="C1090" s="119" t="s">
        <v>66</v>
      </c>
      <c r="D1090" t="s">
        <v>6759</v>
      </c>
      <c r="E1090" s="117">
        <v>32.340000000000003</v>
      </c>
    </row>
    <row r="1091" spans="1:5" x14ac:dyDescent="0.25">
      <c r="A1091" s="119" t="s">
        <v>1327</v>
      </c>
      <c r="B1091" s="119" t="s">
        <v>1328</v>
      </c>
      <c r="C1091" s="119" t="s">
        <v>301</v>
      </c>
      <c r="D1091" t="s">
        <v>45</v>
      </c>
      <c r="E1091" s="117">
        <v>0</v>
      </c>
    </row>
    <row r="1092" spans="1:5" x14ac:dyDescent="0.25">
      <c r="A1092" s="119" t="s">
        <v>1329</v>
      </c>
      <c r="B1092" s="119" t="s">
        <v>8825</v>
      </c>
      <c r="C1092" s="119" t="s">
        <v>301</v>
      </c>
      <c r="D1092" t="s">
        <v>45</v>
      </c>
      <c r="E1092" s="117">
        <v>0</v>
      </c>
    </row>
    <row r="1093" spans="1:5" x14ac:dyDescent="0.25">
      <c r="A1093" s="119" t="s">
        <v>1330</v>
      </c>
      <c r="B1093" s="119" t="s">
        <v>8826</v>
      </c>
      <c r="C1093" s="119" t="s">
        <v>301</v>
      </c>
      <c r="D1093" t="s">
        <v>45</v>
      </c>
      <c r="E1093" s="117">
        <v>11827.9</v>
      </c>
    </row>
    <row r="1094" spans="1:5" x14ac:dyDescent="0.25">
      <c r="A1094" s="119" t="s">
        <v>6670</v>
      </c>
      <c r="B1094" s="119" t="s">
        <v>1331</v>
      </c>
      <c r="C1094" s="119" t="s">
        <v>66</v>
      </c>
      <c r="D1094" t="s">
        <v>6759</v>
      </c>
      <c r="E1094" s="117">
        <v>98.18</v>
      </c>
    </row>
    <row r="1095" spans="1:5" x14ac:dyDescent="0.25">
      <c r="A1095" s="119" t="s">
        <v>6671</v>
      </c>
      <c r="B1095" s="119" t="s">
        <v>1332</v>
      </c>
      <c r="C1095" s="119" t="s">
        <v>66</v>
      </c>
      <c r="D1095" t="s">
        <v>49</v>
      </c>
      <c r="E1095" s="117">
        <v>30.7</v>
      </c>
    </row>
    <row r="1096" spans="1:5" x14ac:dyDescent="0.25">
      <c r="A1096" s="119" t="s">
        <v>6672</v>
      </c>
      <c r="B1096" s="119" t="s">
        <v>1333</v>
      </c>
      <c r="C1096" s="119" t="s">
        <v>66</v>
      </c>
      <c r="D1096" t="s">
        <v>49</v>
      </c>
      <c r="E1096" s="117">
        <v>42.62</v>
      </c>
    </row>
    <row r="1097" spans="1:5" x14ac:dyDescent="0.25">
      <c r="A1097" s="119" t="s">
        <v>1334</v>
      </c>
      <c r="B1097" s="119" t="s">
        <v>6403</v>
      </c>
      <c r="C1097" s="119" t="s">
        <v>66</v>
      </c>
      <c r="D1097" t="s">
        <v>45</v>
      </c>
      <c r="E1097" s="117">
        <v>0</v>
      </c>
    </row>
    <row r="1098" spans="1:5" x14ac:dyDescent="0.25">
      <c r="A1098" s="119" t="s">
        <v>1335</v>
      </c>
      <c r="B1098" s="119" t="s">
        <v>6404</v>
      </c>
      <c r="C1098" s="119" t="s">
        <v>66</v>
      </c>
      <c r="D1098" t="s">
        <v>45</v>
      </c>
      <c r="E1098" s="117">
        <v>0</v>
      </c>
    </row>
    <row r="1099" spans="1:5" x14ac:dyDescent="0.25">
      <c r="A1099" s="119" t="s">
        <v>1336</v>
      </c>
      <c r="B1099" s="119" t="s">
        <v>6405</v>
      </c>
      <c r="C1099" s="119" t="s">
        <v>66</v>
      </c>
      <c r="D1099" t="s">
        <v>45</v>
      </c>
      <c r="E1099" s="117">
        <v>0</v>
      </c>
    </row>
    <row r="1100" spans="1:5" x14ac:dyDescent="0.25">
      <c r="A1100" s="119" t="s">
        <v>1337</v>
      </c>
      <c r="B1100" s="119" t="s">
        <v>6406</v>
      </c>
      <c r="C1100" s="119" t="s">
        <v>66</v>
      </c>
      <c r="D1100" t="s">
        <v>45</v>
      </c>
      <c r="E1100" s="117">
        <v>0</v>
      </c>
    </row>
    <row r="1101" spans="1:5" x14ac:dyDescent="0.25">
      <c r="A1101" s="119" t="s">
        <v>1338</v>
      </c>
      <c r="B1101" s="119" t="s">
        <v>6407</v>
      </c>
      <c r="C1101" s="119" t="s">
        <v>66</v>
      </c>
      <c r="D1101" t="s">
        <v>45</v>
      </c>
      <c r="E1101" s="117">
        <v>0</v>
      </c>
    </row>
    <row r="1102" spans="1:5" x14ac:dyDescent="0.25">
      <c r="A1102" s="119" t="s">
        <v>1339</v>
      </c>
      <c r="B1102" s="119" t="s">
        <v>6408</v>
      </c>
      <c r="C1102" s="119" t="s">
        <v>66</v>
      </c>
      <c r="D1102" t="s">
        <v>45</v>
      </c>
      <c r="E1102" s="117">
        <v>0</v>
      </c>
    </row>
    <row r="1103" spans="1:5" x14ac:dyDescent="0.25">
      <c r="A1103" s="119" t="s">
        <v>1340</v>
      </c>
      <c r="B1103" s="119" t="s">
        <v>6409</v>
      </c>
      <c r="C1103" s="119" t="s">
        <v>66</v>
      </c>
      <c r="D1103" t="s">
        <v>45</v>
      </c>
      <c r="E1103" s="117">
        <v>0</v>
      </c>
    </row>
    <row r="1104" spans="1:5" x14ac:dyDescent="0.25">
      <c r="A1104" s="119" t="s">
        <v>1341</v>
      </c>
      <c r="B1104" s="119" t="s">
        <v>6410</v>
      </c>
      <c r="C1104" s="119" t="s">
        <v>66</v>
      </c>
      <c r="D1104" t="s">
        <v>45</v>
      </c>
      <c r="E1104" s="117">
        <v>223.76</v>
      </c>
    </row>
    <row r="1105" spans="1:5" x14ac:dyDescent="0.25">
      <c r="A1105" s="119" t="s">
        <v>1342</v>
      </c>
      <c r="B1105" s="119" t="s">
        <v>6411</v>
      </c>
      <c r="C1105" s="119" t="s">
        <v>66</v>
      </c>
      <c r="D1105" t="s">
        <v>49</v>
      </c>
      <c r="E1105" s="117">
        <v>19.95</v>
      </c>
    </row>
    <row r="1106" spans="1:5" x14ac:dyDescent="0.25">
      <c r="A1106" s="119" t="s">
        <v>1343</v>
      </c>
      <c r="B1106" s="119" t="s">
        <v>6412</v>
      </c>
      <c r="C1106" s="119" t="s">
        <v>66</v>
      </c>
      <c r="D1106" t="s">
        <v>49</v>
      </c>
      <c r="E1106" s="117">
        <v>24.99</v>
      </c>
    </row>
    <row r="1107" spans="1:5" x14ac:dyDescent="0.25">
      <c r="A1107" s="119" t="s">
        <v>1344</v>
      </c>
      <c r="B1107" s="119" t="s">
        <v>6413</v>
      </c>
      <c r="C1107" s="119" t="s">
        <v>66</v>
      </c>
      <c r="D1107" t="s">
        <v>49</v>
      </c>
      <c r="E1107" s="117">
        <v>18.690000000000001</v>
      </c>
    </row>
    <row r="1108" spans="1:5" x14ac:dyDescent="0.25">
      <c r="A1108" s="119" t="s">
        <v>1345</v>
      </c>
      <c r="B1108" s="119" t="s">
        <v>6414</v>
      </c>
      <c r="C1108" s="119" t="s">
        <v>66</v>
      </c>
      <c r="D1108" t="s">
        <v>45</v>
      </c>
      <c r="E1108" s="117">
        <v>0</v>
      </c>
    </row>
    <row r="1109" spans="1:5" x14ac:dyDescent="0.25">
      <c r="A1109" s="119" t="s">
        <v>1346</v>
      </c>
      <c r="B1109" s="119" t="s">
        <v>1347</v>
      </c>
      <c r="C1109" s="119" t="s">
        <v>66</v>
      </c>
      <c r="D1109" t="s">
        <v>6760</v>
      </c>
      <c r="E1109" s="117">
        <v>43.58</v>
      </c>
    </row>
    <row r="1110" spans="1:5" x14ac:dyDescent="0.25">
      <c r="A1110" s="119" t="s">
        <v>1348</v>
      </c>
      <c r="B1110" s="119" t="s">
        <v>6415</v>
      </c>
      <c r="C1110" s="119" t="s">
        <v>66</v>
      </c>
      <c r="D1110" t="s">
        <v>49</v>
      </c>
      <c r="E1110" s="117">
        <v>37.380000000000003</v>
      </c>
    </row>
    <row r="1111" spans="1:5" x14ac:dyDescent="0.25">
      <c r="A1111" s="119" t="s">
        <v>1349</v>
      </c>
      <c r="B1111" s="119" t="s">
        <v>6416</v>
      </c>
      <c r="C1111" s="119" t="s">
        <v>66</v>
      </c>
      <c r="D1111" t="s">
        <v>45</v>
      </c>
      <c r="E1111" s="117">
        <v>0</v>
      </c>
    </row>
    <row r="1112" spans="1:5" x14ac:dyDescent="0.25">
      <c r="A1112" s="119" t="s">
        <v>1350</v>
      </c>
      <c r="B1112" s="119" t="s">
        <v>6417</v>
      </c>
      <c r="C1112" s="119" t="s">
        <v>66</v>
      </c>
      <c r="D1112" t="s">
        <v>45</v>
      </c>
      <c r="E1112" s="117">
        <v>0</v>
      </c>
    </row>
    <row r="1113" spans="1:5" x14ac:dyDescent="0.25">
      <c r="A1113" s="119" t="s">
        <v>1351</v>
      </c>
      <c r="B1113" s="119" t="s">
        <v>6418</v>
      </c>
      <c r="C1113" s="119" t="s">
        <v>66</v>
      </c>
      <c r="D1113" t="s">
        <v>45</v>
      </c>
      <c r="E1113" s="117">
        <v>0</v>
      </c>
    </row>
    <row r="1114" spans="1:5" x14ac:dyDescent="0.25">
      <c r="A1114" s="119" t="s">
        <v>1352</v>
      </c>
      <c r="B1114" s="119" t="s">
        <v>6419</v>
      </c>
      <c r="C1114" s="119" t="s">
        <v>66</v>
      </c>
      <c r="D1114" t="s">
        <v>6759</v>
      </c>
      <c r="E1114" s="117">
        <v>43.58</v>
      </c>
    </row>
    <row r="1115" spans="1:5" x14ac:dyDescent="0.25">
      <c r="A1115" s="119" t="s">
        <v>1353</v>
      </c>
      <c r="B1115" s="119" t="s">
        <v>6420</v>
      </c>
      <c r="C1115" s="119" t="s">
        <v>66</v>
      </c>
      <c r="D1115" t="s">
        <v>45</v>
      </c>
      <c r="E1115" s="117">
        <v>0</v>
      </c>
    </row>
    <row r="1116" spans="1:5" x14ac:dyDescent="0.25">
      <c r="A1116" s="119" t="s">
        <v>1354</v>
      </c>
      <c r="B1116" s="119" t="s">
        <v>6421</v>
      </c>
      <c r="C1116" s="119" t="s">
        <v>66</v>
      </c>
      <c r="D1116" t="s">
        <v>45</v>
      </c>
      <c r="E1116" s="117">
        <v>0</v>
      </c>
    </row>
    <row r="1117" spans="1:5" x14ac:dyDescent="0.25">
      <c r="A1117" s="119" t="s">
        <v>1355</v>
      </c>
      <c r="B1117" s="119" t="s">
        <v>6422</v>
      </c>
      <c r="C1117" s="119" t="s">
        <v>66</v>
      </c>
      <c r="D1117" t="s">
        <v>45</v>
      </c>
      <c r="E1117" s="117">
        <v>0</v>
      </c>
    </row>
    <row r="1118" spans="1:5" x14ac:dyDescent="0.25">
      <c r="A1118" s="119" t="s">
        <v>1356</v>
      </c>
      <c r="B1118" s="119" t="s">
        <v>6423</v>
      </c>
      <c r="C1118" s="119" t="s">
        <v>66</v>
      </c>
      <c r="D1118" t="s">
        <v>45</v>
      </c>
      <c r="E1118" s="117">
        <v>41</v>
      </c>
    </row>
    <row r="1119" spans="1:5" x14ac:dyDescent="0.25">
      <c r="A1119" s="119" t="s">
        <v>1357</v>
      </c>
      <c r="B1119" s="119" t="s">
        <v>6424</v>
      </c>
      <c r="C1119" s="119" t="s">
        <v>66</v>
      </c>
      <c r="D1119" t="s">
        <v>45</v>
      </c>
      <c r="E1119" s="117">
        <v>0</v>
      </c>
    </row>
    <row r="1120" spans="1:5" x14ac:dyDescent="0.25">
      <c r="A1120" s="119" t="s">
        <v>1358</v>
      </c>
      <c r="B1120" s="119" t="s">
        <v>6425</v>
      </c>
      <c r="C1120" s="119" t="s">
        <v>66</v>
      </c>
      <c r="D1120" t="s">
        <v>49</v>
      </c>
      <c r="E1120" s="117">
        <v>40.950000000000003</v>
      </c>
    </row>
    <row r="1121" spans="1:5" x14ac:dyDescent="0.25">
      <c r="A1121" s="119" t="s">
        <v>1359</v>
      </c>
      <c r="B1121" s="119" t="s">
        <v>6426</v>
      </c>
      <c r="C1121" s="119" t="s">
        <v>66</v>
      </c>
      <c r="D1121" t="s">
        <v>6759</v>
      </c>
      <c r="E1121" s="117">
        <v>62.27</v>
      </c>
    </row>
    <row r="1122" spans="1:5" x14ac:dyDescent="0.25">
      <c r="A1122" s="119" t="s">
        <v>1360</v>
      </c>
      <c r="B1122" s="119" t="s">
        <v>6427</v>
      </c>
      <c r="C1122" s="119" t="s">
        <v>66</v>
      </c>
      <c r="D1122" t="s">
        <v>45</v>
      </c>
      <c r="E1122" s="117">
        <v>0</v>
      </c>
    </row>
    <row r="1123" spans="1:5" x14ac:dyDescent="0.25">
      <c r="A1123" s="119" t="s">
        <v>1361</v>
      </c>
      <c r="B1123" s="119" t="s">
        <v>6428</v>
      </c>
      <c r="C1123" s="119" t="s">
        <v>66</v>
      </c>
      <c r="D1123" t="s">
        <v>45</v>
      </c>
      <c r="E1123" s="117">
        <v>0</v>
      </c>
    </row>
    <row r="1124" spans="1:5" x14ac:dyDescent="0.25">
      <c r="A1124" s="119" t="s">
        <v>1362</v>
      </c>
      <c r="B1124" s="119" t="s">
        <v>6429</v>
      </c>
      <c r="C1124" s="119" t="s">
        <v>66</v>
      </c>
      <c r="D1124" t="s">
        <v>45</v>
      </c>
      <c r="E1124" s="117">
        <v>0</v>
      </c>
    </row>
    <row r="1125" spans="1:5" x14ac:dyDescent="0.25">
      <c r="A1125" s="119" t="s">
        <v>1363</v>
      </c>
      <c r="B1125" s="119" t="s">
        <v>6430</v>
      </c>
      <c r="C1125" s="119" t="s">
        <v>66</v>
      </c>
      <c r="D1125" t="s">
        <v>45</v>
      </c>
      <c r="E1125" s="117">
        <v>118.4</v>
      </c>
    </row>
    <row r="1126" spans="1:5" x14ac:dyDescent="0.25">
      <c r="A1126" s="119" t="s">
        <v>1364</v>
      </c>
      <c r="B1126" s="119" t="s">
        <v>6431</v>
      </c>
      <c r="C1126" s="119" t="s">
        <v>66</v>
      </c>
      <c r="D1126" t="s">
        <v>45</v>
      </c>
      <c r="E1126" s="117">
        <v>0</v>
      </c>
    </row>
    <row r="1127" spans="1:5" x14ac:dyDescent="0.25">
      <c r="A1127" s="119" t="s">
        <v>1365</v>
      </c>
      <c r="B1127" s="119" t="s">
        <v>6432</v>
      </c>
      <c r="C1127" s="119" t="s">
        <v>66</v>
      </c>
      <c r="D1127" t="s">
        <v>45</v>
      </c>
      <c r="E1127" s="117">
        <v>0</v>
      </c>
    </row>
    <row r="1128" spans="1:5" x14ac:dyDescent="0.25">
      <c r="A1128" s="119" t="s">
        <v>1366</v>
      </c>
      <c r="B1128" s="119" t="s">
        <v>6433</v>
      </c>
      <c r="C1128" s="119" t="s">
        <v>66</v>
      </c>
      <c r="D1128" t="s">
        <v>6759</v>
      </c>
      <c r="E1128" s="117">
        <v>62.27</v>
      </c>
    </row>
    <row r="1129" spans="1:5" x14ac:dyDescent="0.25">
      <c r="A1129" s="119" t="s">
        <v>1367</v>
      </c>
      <c r="B1129" s="119" t="s">
        <v>6434</v>
      </c>
      <c r="C1129" s="119" t="s">
        <v>66</v>
      </c>
      <c r="D1129" t="s">
        <v>45</v>
      </c>
      <c r="E1129" s="117">
        <v>0</v>
      </c>
    </row>
    <row r="1130" spans="1:5" x14ac:dyDescent="0.25">
      <c r="A1130" s="119" t="s">
        <v>1368</v>
      </c>
      <c r="B1130" s="119" t="s">
        <v>6435</v>
      </c>
      <c r="C1130" s="119" t="s">
        <v>66</v>
      </c>
      <c r="D1130" t="s">
        <v>45</v>
      </c>
      <c r="E1130" s="117">
        <v>0</v>
      </c>
    </row>
    <row r="1131" spans="1:5" x14ac:dyDescent="0.25">
      <c r="A1131" s="119" t="s">
        <v>1369</v>
      </c>
      <c r="B1131" s="119" t="s">
        <v>6436</v>
      </c>
      <c r="C1131" s="119" t="s">
        <v>66</v>
      </c>
      <c r="D1131" t="s">
        <v>6759</v>
      </c>
      <c r="E1131" s="117">
        <v>149.21</v>
      </c>
    </row>
    <row r="1132" spans="1:5" x14ac:dyDescent="0.25">
      <c r="A1132" s="119" t="s">
        <v>1370</v>
      </c>
      <c r="B1132" s="119" t="s">
        <v>1371</v>
      </c>
      <c r="C1132" s="119" t="s">
        <v>66</v>
      </c>
      <c r="D1132" t="s">
        <v>49</v>
      </c>
      <c r="E1132" s="117">
        <v>41.23</v>
      </c>
    </row>
    <row r="1133" spans="1:5" x14ac:dyDescent="0.25">
      <c r="A1133" s="119" t="s">
        <v>1372</v>
      </c>
      <c r="B1133" s="119" t="s">
        <v>8827</v>
      </c>
      <c r="C1133" s="119" t="s">
        <v>66</v>
      </c>
      <c r="D1133" t="s">
        <v>6759</v>
      </c>
      <c r="E1133" s="117">
        <v>56.18</v>
      </c>
    </row>
    <row r="1134" spans="1:5" x14ac:dyDescent="0.25">
      <c r="A1134" s="119" t="s">
        <v>1373</v>
      </c>
      <c r="B1134" s="119" t="s">
        <v>8828</v>
      </c>
      <c r="C1134" s="119" t="s">
        <v>66</v>
      </c>
      <c r="D1134" t="s">
        <v>45</v>
      </c>
      <c r="E1134" s="117">
        <v>68.42</v>
      </c>
    </row>
    <row r="1135" spans="1:5" x14ac:dyDescent="0.25">
      <c r="A1135" s="119" t="s">
        <v>1374</v>
      </c>
      <c r="B1135" s="119" t="s">
        <v>8829</v>
      </c>
      <c r="C1135" s="119" t="s">
        <v>66</v>
      </c>
      <c r="D1135" t="s">
        <v>6759</v>
      </c>
      <c r="E1135" s="117">
        <v>14.61</v>
      </c>
    </row>
    <row r="1136" spans="1:5" x14ac:dyDescent="0.25">
      <c r="A1136" s="119" t="s">
        <v>1375</v>
      </c>
      <c r="B1136" s="119" t="s">
        <v>8830</v>
      </c>
      <c r="C1136" s="119" t="s">
        <v>66</v>
      </c>
      <c r="D1136" t="s">
        <v>6760</v>
      </c>
      <c r="E1136" s="117">
        <v>10.11</v>
      </c>
    </row>
    <row r="1137" spans="1:5" x14ac:dyDescent="0.25">
      <c r="A1137" s="119" t="s">
        <v>1376</v>
      </c>
      <c r="B1137" s="119" t="s">
        <v>8831</v>
      </c>
      <c r="C1137" s="119" t="s">
        <v>66</v>
      </c>
      <c r="D1137" t="s">
        <v>6759</v>
      </c>
      <c r="E1137" s="117">
        <v>68.540000000000006</v>
      </c>
    </row>
    <row r="1138" spans="1:5" x14ac:dyDescent="0.25">
      <c r="A1138" s="119" t="s">
        <v>1377</v>
      </c>
      <c r="B1138" s="119" t="s">
        <v>8832</v>
      </c>
      <c r="C1138" s="119" t="s">
        <v>66</v>
      </c>
      <c r="D1138" t="s">
        <v>6759</v>
      </c>
      <c r="E1138" s="117">
        <v>68.3</v>
      </c>
    </row>
    <row r="1139" spans="1:5" x14ac:dyDescent="0.25">
      <c r="A1139" s="119" t="s">
        <v>1378</v>
      </c>
      <c r="B1139" s="119" t="s">
        <v>1379</v>
      </c>
      <c r="C1139" s="119" t="s">
        <v>66</v>
      </c>
      <c r="D1139" t="s">
        <v>45</v>
      </c>
      <c r="E1139" s="117">
        <v>112.35</v>
      </c>
    </row>
    <row r="1140" spans="1:5" x14ac:dyDescent="0.25">
      <c r="A1140" s="119" t="s">
        <v>1380</v>
      </c>
      <c r="B1140" s="119" t="s">
        <v>1381</v>
      </c>
      <c r="C1140" s="119" t="s">
        <v>66</v>
      </c>
      <c r="D1140" t="s">
        <v>45</v>
      </c>
      <c r="E1140" s="117">
        <v>55.91</v>
      </c>
    </row>
    <row r="1141" spans="1:5" x14ac:dyDescent="0.25">
      <c r="A1141" s="119" t="s">
        <v>1382</v>
      </c>
      <c r="B1141" s="119" t="s">
        <v>1383</v>
      </c>
      <c r="C1141" s="119" t="s">
        <v>66</v>
      </c>
      <c r="D1141" t="s">
        <v>6759</v>
      </c>
      <c r="E1141" s="117">
        <v>53.09</v>
      </c>
    </row>
    <row r="1142" spans="1:5" x14ac:dyDescent="0.25">
      <c r="A1142" s="119" t="s">
        <v>1384</v>
      </c>
      <c r="B1142" s="119" t="s">
        <v>1385</v>
      </c>
      <c r="C1142" s="119" t="s">
        <v>66</v>
      </c>
      <c r="D1142" t="s">
        <v>49</v>
      </c>
      <c r="E1142" s="117">
        <v>165.15</v>
      </c>
    </row>
    <row r="1143" spans="1:5" x14ac:dyDescent="0.25">
      <c r="A1143" s="119" t="s">
        <v>1386</v>
      </c>
      <c r="B1143" s="119" t="s">
        <v>1387</v>
      </c>
      <c r="C1143" s="119" t="s">
        <v>66</v>
      </c>
      <c r="D1143" t="s">
        <v>45</v>
      </c>
      <c r="E1143" s="117">
        <v>13.65</v>
      </c>
    </row>
    <row r="1144" spans="1:5" x14ac:dyDescent="0.25">
      <c r="A1144" s="119" t="s">
        <v>1388</v>
      </c>
      <c r="B1144" s="119" t="s">
        <v>1389</v>
      </c>
      <c r="C1144" s="119" t="s">
        <v>66</v>
      </c>
      <c r="D1144" t="s">
        <v>51</v>
      </c>
      <c r="E1144" s="117">
        <v>40.950000000000003</v>
      </c>
    </row>
    <row r="1145" spans="1:5" x14ac:dyDescent="0.25">
      <c r="A1145" s="119" t="s">
        <v>1390</v>
      </c>
      <c r="B1145" s="119" t="s">
        <v>1391</v>
      </c>
      <c r="C1145" s="119" t="s">
        <v>66</v>
      </c>
      <c r="D1145" t="s">
        <v>51</v>
      </c>
      <c r="E1145" s="117">
        <v>40.950000000000003</v>
      </c>
    </row>
    <row r="1146" spans="1:5" x14ac:dyDescent="0.25">
      <c r="A1146" s="119" t="s">
        <v>1392</v>
      </c>
      <c r="B1146" s="119" t="s">
        <v>1393</v>
      </c>
      <c r="C1146" s="119" t="s">
        <v>66</v>
      </c>
      <c r="D1146" t="s">
        <v>51</v>
      </c>
      <c r="E1146" s="117">
        <v>51.45</v>
      </c>
    </row>
    <row r="1147" spans="1:5" x14ac:dyDescent="0.25">
      <c r="A1147" s="119" t="s">
        <v>1394</v>
      </c>
      <c r="B1147" s="119" t="s">
        <v>1395</v>
      </c>
      <c r="C1147" s="119" t="s">
        <v>66</v>
      </c>
      <c r="D1147" t="s">
        <v>51</v>
      </c>
      <c r="E1147" s="117">
        <v>51.45</v>
      </c>
    </row>
    <row r="1148" spans="1:5" x14ac:dyDescent="0.25">
      <c r="A1148" s="119" t="s">
        <v>1396</v>
      </c>
      <c r="B1148" s="119" t="s">
        <v>1397</v>
      </c>
      <c r="C1148" s="119" t="s">
        <v>66</v>
      </c>
      <c r="D1148" t="s">
        <v>49</v>
      </c>
      <c r="E1148" s="117">
        <v>16.91</v>
      </c>
    </row>
    <row r="1149" spans="1:5" x14ac:dyDescent="0.25">
      <c r="A1149" s="119" t="s">
        <v>1398</v>
      </c>
      <c r="B1149" s="119" t="s">
        <v>1399</v>
      </c>
      <c r="C1149" s="119" t="s">
        <v>66</v>
      </c>
      <c r="D1149" t="s">
        <v>49</v>
      </c>
      <c r="E1149" s="117">
        <v>11.55</v>
      </c>
    </row>
    <row r="1150" spans="1:5" x14ac:dyDescent="0.25">
      <c r="A1150" s="119" t="s">
        <v>1400</v>
      </c>
      <c r="B1150" s="119" t="s">
        <v>1401</v>
      </c>
      <c r="C1150" s="119" t="s">
        <v>66</v>
      </c>
      <c r="D1150" t="s">
        <v>49</v>
      </c>
      <c r="E1150" s="117">
        <v>4.3099999999999996</v>
      </c>
    </row>
    <row r="1151" spans="1:5" x14ac:dyDescent="0.25">
      <c r="A1151" s="119" t="s">
        <v>1402</v>
      </c>
      <c r="B1151" s="119" t="s">
        <v>1403</v>
      </c>
      <c r="C1151" s="119" t="s">
        <v>66</v>
      </c>
      <c r="D1151" t="s">
        <v>49</v>
      </c>
      <c r="E1151" s="117">
        <v>6.83</v>
      </c>
    </row>
    <row r="1152" spans="1:5" x14ac:dyDescent="0.25">
      <c r="A1152" s="119" t="s">
        <v>1404</v>
      </c>
      <c r="B1152" s="119" t="s">
        <v>8833</v>
      </c>
      <c r="C1152" s="119" t="s">
        <v>66</v>
      </c>
      <c r="D1152" t="s">
        <v>45</v>
      </c>
      <c r="E1152" s="117">
        <v>21.63</v>
      </c>
    </row>
    <row r="1153" spans="1:5" x14ac:dyDescent="0.25">
      <c r="A1153" s="119" t="s">
        <v>1405</v>
      </c>
      <c r="B1153" s="119" t="s">
        <v>8834</v>
      </c>
      <c r="C1153" s="119" t="s">
        <v>66</v>
      </c>
      <c r="D1153" t="s">
        <v>6760</v>
      </c>
      <c r="E1153" s="117">
        <v>4.41</v>
      </c>
    </row>
    <row r="1154" spans="1:5" x14ac:dyDescent="0.25">
      <c r="A1154" s="119" t="s">
        <v>1406</v>
      </c>
      <c r="B1154" s="119" t="s">
        <v>1407</v>
      </c>
      <c r="C1154" s="119" t="s">
        <v>66</v>
      </c>
      <c r="D1154" t="s">
        <v>49</v>
      </c>
      <c r="E1154" s="117">
        <v>8.19</v>
      </c>
    </row>
    <row r="1155" spans="1:5" x14ac:dyDescent="0.25">
      <c r="A1155" s="119" t="s">
        <v>1408</v>
      </c>
      <c r="B1155" s="119" t="s">
        <v>1409</v>
      </c>
      <c r="C1155" s="119" t="s">
        <v>66</v>
      </c>
      <c r="D1155" t="s">
        <v>6759</v>
      </c>
      <c r="E1155" s="117">
        <v>10.19</v>
      </c>
    </row>
    <row r="1156" spans="1:5" x14ac:dyDescent="0.25">
      <c r="A1156" s="119" t="s">
        <v>1410</v>
      </c>
      <c r="B1156" s="119" t="s">
        <v>1411</v>
      </c>
      <c r="C1156" s="119" t="s">
        <v>66</v>
      </c>
      <c r="D1156" t="s">
        <v>6759</v>
      </c>
      <c r="E1156" s="117">
        <v>29.19</v>
      </c>
    </row>
    <row r="1157" spans="1:5" x14ac:dyDescent="0.25">
      <c r="A1157" s="119" t="s">
        <v>1412</v>
      </c>
      <c r="B1157" s="119" t="s">
        <v>1413</v>
      </c>
      <c r="C1157" s="119" t="s">
        <v>66</v>
      </c>
      <c r="D1157" t="s">
        <v>49</v>
      </c>
      <c r="E1157" s="117">
        <v>2.63</v>
      </c>
    </row>
    <row r="1158" spans="1:5" x14ac:dyDescent="0.25">
      <c r="A1158" s="119" t="s">
        <v>1414</v>
      </c>
      <c r="B1158" s="119" t="s">
        <v>1415</v>
      </c>
      <c r="C1158" s="119" t="s">
        <v>66</v>
      </c>
      <c r="D1158" t="s">
        <v>6759</v>
      </c>
      <c r="E1158" s="117">
        <v>12.18</v>
      </c>
    </row>
    <row r="1159" spans="1:5" x14ac:dyDescent="0.25">
      <c r="A1159" s="119" t="s">
        <v>1416</v>
      </c>
      <c r="B1159" s="119" t="s">
        <v>8835</v>
      </c>
      <c r="C1159" s="119" t="s">
        <v>66</v>
      </c>
      <c r="D1159" t="s">
        <v>6759</v>
      </c>
      <c r="E1159" s="117">
        <v>12.81</v>
      </c>
    </row>
    <row r="1160" spans="1:5" x14ac:dyDescent="0.25">
      <c r="A1160" s="119" t="s">
        <v>1417</v>
      </c>
      <c r="B1160" s="119" t="s">
        <v>8836</v>
      </c>
      <c r="C1160" s="119" t="s">
        <v>66</v>
      </c>
      <c r="D1160" t="s">
        <v>6759</v>
      </c>
      <c r="E1160" s="117">
        <v>11.66</v>
      </c>
    </row>
    <row r="1161" spans="1:5" x14ac:dyDescent="0.25">
      <c r="A1161" s="119" t="s">
        <v>1418</v>
      </c>
      <c r="B1161" s="119" t="s">
        <v>8837</v>
      </c>
      <c r="C1161" s="119" t="s">
        <v>66</v>
      </c>
      <c r="D1161" t="s">
        <v>49</v>
      </c>
      <c r="E1161" s="117">
        <v>9.4499999999999993</v>
      </c>
    </row>
    <row r="1162" spans="1:5" x14ac:dyDescent="0.25">
      <c r="A1162" s="119" t="s">
        <v>1419</v>
      </c>
      <c r="B1162" s="119" t="s">
        <v>6437</v>
      </c>
      <c r="C1162" s="119" t="s">
        <v>66</v>
      </c>
      <c r="D1162" t="s">
        <v>6759</v>
      </c>
      <c r="E1162" s="117">
        <v>5.67</v>
      </c>
    </row>
    <row r="1163" spans="1:5" x14ac:dyDescent="0.25">
      <c r="A1163" s="119" t="s">
        <v>1420</v>
      </c>
      <c r="B1163" s="119" t="s">
        <v>8838</v>
      </c>
      <c r="C1163" s="119" t="s">
        <v>66</v>
      </c>
      <c r="D1163" t="s">
        <v>49</v>
      </c>
      <c r="E1163" s="117">
        <v>33.6</v>
      </c>
    </row>
    <row r="1164" spans="1:5" x14ac:dyDescent="0.25">
      <c r="A1164" s="119" t="s">
        <v>1421</v>
      </c>
      <c r="B1164" s="119" t="s">
        <v>6438</v>
      </c>
      <c r="C1164" s="119" t="s">
        <v>66</v>
      </c>
      <c r="D1164" t="s">
        <v>6760</v>
      </c>
      <c r="E1164" s="117">
        <v>73.08</v>
      </c>
    </row>
    <row r="1165" spans="1:5" x14ac:dyDescent="0.25">
      <c r="A1165" s="119" t="s">
        <v>1422</v>
      </c>
      <c r="B1165" s="119" t="s">
        <v>6439</v>
      </c>
      <c r="C1165" s="119" t="s">
        <v>66</v>
      </c>
      <c r="D1165" t="s">
        <v>6760</v>
      </c>
      <c r="E1165" s="117">
        <v>40.32</v>
      </c>
    </row>
    <row r="1166" spans="1:5" x14ac:dyDescent="0.25">
      <c r="A1166" s="119" t="s">
        <v>1423</v>
      </c>
      <c r="B1166" s="119" t="s">
        <v>6440</v>
      </c>
      <c r="C1166" s="119" t="s">
        <v>66</v>
      </c>
      <c r="D1166" t="s">
        <v>6759</v>
      </c>
      <c r="E1166" s="117">
        <v>39.380000000000003</v>
      </c>
    </row>
    <row r="1167" spans="1:5" x14ac:dyDescent="0.25">
      <c r="A1167" s="119" t="s">
        <v>1424</v>
      </c>
      <c r="B1167" s="119" t="s">
        <v>8839</v>
      </c>
      <c r="C1167" s="119" t="s">
        <v>66</v>
      </c>
      <c r="D1167" t="s">
        <v>45</v>
      </c>
      <c r="E1167" s="117">
        <v>64.89</v>
      </c>
    </row>
    <row r="1168" spans="1:5" x14ac:dyDescent="0.25">
      <c r="A1168" s="119" t="s">
        <v>1425</v>
      </c>
      <c r="B1168" s="119" t="s">
        <v>8840</v>
      </c>
      <c r="C1168" s="119" t="s">
        <v>66</v>
      </c>
      <c r="D1168" t="s">
        <v>49</v>
      </c>
      <c r="E1168" s="117">
        <v>95.55</v>
      </c>
    </row>
    <row r="1169" spans="1:5" x14ac:dyDescent="0.25">
      <c r="A1169" s="119" t="s">
        <v>1426</v>
      </c>
      <c r="B1169" s="119" t="s">
        <v>1427</v>
      </c>
      <c r="C1169" s="119" t="s">
        <v>66</v>
      </c>
      <c r="D1169" t="s">
        <v>45</v>
      </c>
      <c r="E1169" s="117">
        <v>38.64</v>
      </c>
    </row>
    <row r="1170" spans="1:5" x14ac:dyDescent="0.25">
      <c r="A1170" s="119" t="s">
        <v>1428</v>
      </c>
      <c r="B1170" s="119" t="s">
        <v>1429</v>
      </c>
      <c r="C1170" s="119" t="s">
        <v>66</v>
      </c>
      <c r="D1170" t="s">
        <v>6759</v>
      </c>
      <c r="E1170" s="117">
        <v>10.050000000000001</v>
      </c>
    </row>
    <row r="1171" spans="1:5" x14ac:dyDescent="0.25">
      <c r="A1171" s="119" t="s">
        <v>1430</v>
      </c>
      <c r="B1171" s="119" t="s">
        <v>8841</v>
      </c>
      <c r="C1171" s="119" t="s">
        <v>66</v>
      </c>
      <c r="D1171" t="s">
        <v>6759</v>
      </c>
      <c r="E1171" s="117">
        <v>48.41</v>
      </c>
    </row>
    <row r="1172" spans="1:5" x14ac:dyDescent="0.25">
      <c r="A1172" s="119" t="s">
        <v>1431</v>
      </c>
      <c r="B1172" s="119" t="s">
        <v>1432</v>
      </c>
      <c r="C1172" s="119" t="s">
        <v>66</v>
      </c>
      <c r="D1172" t="s">
        <v>45</v>
      </c>
      <c r="E1172" s="117">
        <v>4.5199999999999996</v>
      </c>
    </row>
    <row r="1173" spans="1:5" x14ac:dyDescent="0.25">
      <c r="A1173" s="119" t="s">
        <v>1433</v>
      </c>
      <c r="B1173" s="119" t="s">
        <v>1434</v>
      </c>
      <c r="C1173" s="119" t="s">
        <v>66</v>
      </c>
      <c r="D1173" t="s">
        <v>51</v>
      </c>
      <c r="E1173" s="117">
        <v>16.59</v>
      </c>
    </row>
    <row r="1174" spans="1:5" x14ac:dyDescent="0.25">
      <c r="A1174" s="119" t="s">
        <v>1435</v>
      </c>
      <c r="B1174" s="119" t="s">
        <v>1436</v>
      </c>
      <c r="C1174" s="119" t="s">
        <v>66</v>
      </c>
      <c r="D1174" t="s">
        <v>51</v>
      </c>
      <c r="E1174" s="117">
        <v>15.86</v>
      </c>
    </row>
    <row r="1175" spans="1:5" x14ac:dyDescent="0.25">
      <c r="A1175" s="119" t="s">
        <v>1437</v>
      </c>
      <c r="B1175" s="119" t="s">
        <v>8842</v>
      </c>
      <c r="C1175" s="119" t="s">
        <v>66</v>
      </c>
      <c r="D1175" t="s">
        <v>45</v>
      </c>
      <c r="E1175" s="117">
        <v>22.16</v>
      </c>
    </row>
    <row r="1176" spans="1:5" x14ac:dyDescent="0.25">
      <c r="A1176" s="119" t="s">
        <v>1438</v>
      </c>
      <c r="B1176" s="119" t="s">
        <v>6441</v>
      </c>
      <c r="C1176" s="119" t="s">
        <v>66</v>
      </c>
      <c r="D1176" t="s">
        <v>51</v>
      </c>
      <c r="E1176" s="117">
        <v>11.13</v>
      </c>
    </row>
    <row r="1177" spans="1:5" x14ac:dyDescent="0.25">
      <c r="A1177" s="119" t="s">
        <v>1439</v>
      </c>
      <c r="B1177" s="119" t="s">
        <v>8843</v>
      </c>
      <c r="C1177" s="119" t="s">
        <v>66</v>
      </c>
      <c r="D1177" t="s">
        <v>51</v>
      </c>
      <c r="E1177" s="117">
        <v>17.850000000000001</v>
      </c>
    </row>
    <row r="1178" spans="1:5" x14ac:dyDescent="0.25">
      <c r="A1178" s="119" t="s">
        <v>1440</v>
      </c>
      <c r="B1178" s="119" t="s">
        <v>6442</v>
      </c>
      <c r="C1178" s="119" t="s">
        <v>66</v>
      </c>
      <c r="D1178" t="s">
        <v>6759</v>
      </c>
      <c r="E1178" s="117">
        <v>12.92</v>
      </c>
    </row>
    <row r="1179" spans="1:5" x14ac:dyDescent="0.25">
      <c r="A1179" s="119" t="s">
        <v>1441</v>
      </c>
      <c r="B1179" s="119" t="s">
        <v>1442</v>
      </c>
      <c r="C1179" s="119" t="s">
        <v>66</v>
      </c>
      <c r="D1179" t="s">
        <v>45</v>
      </c>
      <c r="E1179" s="117">
        <v>17.329999999999998</v>
      </c>
    </row>
    <row r="1180" spans="1:5" x14ac:dyDescent="0.25">
      <c r="A1180" s="119" t="s">
        <v>1443</v>
      </c>
      <c r="B1180" s="119" t="s">
        <v>1444</v>
      </c>
      <c r="C1180" s="119" t="s">
        <v>66</v>
      </c>
      <c r="D1180" t="s">
        <v>45</v>
      </c>
      <c r="E1180" s="117">
        <v>14.91</v>
      </c>
    </row>
    <row r="1181" spans="1:5" x14ac:dyDescent="0.25">
      <c r="A1181" s="119" t="s">
        <v>1445</v>
      </c>
      <c r="B1181" s="119" t="s">
        <v>1446</v>
      </c>
      <c r="C1181" s="119" t="s">
        <v>66</v>
      </c>
      <c r="D1181" t="s">
        <v>6759</v>
      </c>
      <c r="E1181" s="117">
        <v>637.02</v>
      </c>
    </row>
    <row r="1182" spans="1:5" x14ac:dyDescent="0.25">
      <c r="A1182" s="119" t="s">
        <v>1447</v>
      </c>
      <c r="B1182" s="119" t="s">
        <v>1448</v>
      </c>
      <c r="C1182" s="119" t="s">
        <v>66</v>
      </c>
      <c r="D1182" t="s">
        <v>6759</v>
      </c>
      <c r="E1182" s="117">
        <v>637.02</v>
      </c>
    </row>
    <row r="1183" spans="1:5" x14ac:dyDescent="0.25">
      <c r="A1183" s="119" t="s">
        <v>1449</v>
      </c>
      <c r="B1183" s="119" t="s">
        <v>1450</v>
      </c>
      <c r="C1183" s="119" t="s">
        <v>66</v>
      </c>
      <c r="D1183" t="s">
        <v>6759</v>
      </c>
      <c r="E1183" s="117">
        <v>2595.29</v>
      </c>
    </row>
    <row r="1184" spans="1:5" x14ac:dyDescent="0.25">
      <c r="A1184" s="119" t="s">
        <v>1451</v>
      </c>
      <c r="B1184" s="119" t="s">
        <v>1452</v>
      </c>
      <c r="C1184" s="119" t="s">
        <v>66</v>
      </c>
      <c r="D1184" t="s">
        <v>6759</v>
      </c>
      <c r="E1184" s="117">
        <v>2595.29</v>
      </c>
    </row>
    <row r="1185" spans="1:5" x14ac:dyDescent="0.25">
      <c r="A1185" s="119" t="s">
        <v>1453</v>
      </c>
      <c r="B1185" s="119" t="s">
        <v>8844</v>
      </c>
      <c r="C1185" s="119" t="s">
        <v>66</v>
      </c>
      <c r="D1185" t="s">
        <v>6759</v>
      </c>
      <c r="E1185" s="117">
        <v>588</v>
      </c>
    </row>
    <row r="1186" spans="1:5" x14ac:dyDescent="0.25">
      <c r="A1186" s="119" t="s">
        <v>1454</v>
      </c>
      <c r="B1186" s="119" t="s">
        <v>1455</v>
      </c>
      <c r="C1186" s="119" t="s">
        <v>66</v>
      </c>
      <c r="D1186" t="s">
        <v>6759</v>
      </c>
      <c r="E1186" s="117">
        <v>592.53</v>
      </c>
    </row>
    <row r="1187" spans="1:5" x14ac:dyDescent="0.25">
      <c r="A1187" s="119" t="s">
        <v>1456</v>
      </c>
      <c r="B1187" s="119" t="s">
        <v>8845</v>
      </c>
      <c r="C1187" s="119" t="s">
        <v>66</v>
      </c>
      <c r="D1187" t="s">
        <v>6759</v>
      </c>
      <c r="E1187" s="117">
        <v>152.30000000000001</v>
      </c>
    </row>
    <row r="1188" spans="1:5" x14ac:dyDescent="0.25">
      <c r="A1188" s="119" t="s">
        <v>1457</v>
      </c>
      <c r="B1188" s="119" t="s">
        <v>1458</v>
      </c>
      <c r="C1188" s="119" t="s">
        <v>66</v>
      </c>
      <c r="D1188" t="s">
        <v>49</v>
      </c>
      <c r="E1188" s="117">
        <v>136.61000000000001</v>
      </c>
    </row>
    <row r="1189" spans="1:5" x14ac:dyDescent="0.25">
      <c r="A1189" s="119" t="s">
        <v>1459</v>
      </c>
      <c r="B1189" s="119" t="s">
        <v>1460</v>
      </c>
      <c r="C1189" s="119" t="s">
        <v>66</v>
      </c>
      <c r="D1189" t="s">
        <v>6759</v>
      </c>
      <c r="E1189" s="117">
        <v>406.75</v>
      </c>
    </row>
    <row r="1190" spans="1:5" x14ac:dyDescent="0.25">
      <c r="A1190" s="119" t="s">
        <v>1461</v>
      </c>
      <c r="B1190" s="119" t="s">
        <v>1462</v>
      </c>
      <c r="C1190" s="119" t="s">
        <v>66</v>
      </c>
      <c r="D1190" t="s">
        <v>6759</v>
      </c>
      <c r="E1190" s="117">
        <v>418.78</v>
      </c>
    </row>
    <row r="1191" spans="1:5" x14ac:dyDescent="0.25">
      <c r="A1191" s="119" t="s">
        <v>1463</v>
      </c>
      <c r="B1191" s="119" t="s">
        <v>1464</v>
      </c>
      <c r="C1191" s="119" t="s">
        <v>66</v>
      </c>
      <c r="D1191" t="s">
        <v>6759</v>
      </c>
      <c r="E1191" s="117">
        <v>1592.57</v>
      </c>
    </row>
    <row r="1192" spans="1:5" x14ac:dyDescent="0.25">
      <c r="A1192" s="119" t="s">
        <v>1465</v>
      </c>
      <c r="B1192" s="119" t="s">
        <v>1466</v>
      </c>
      <c r="C1192" s="119" t="s">
        <v>66</v>
      </c>
      <c r="D1192" t="s">
        <v>6759</v>
      </c>
      <c r="E1192" s="117">
        <v>1592.57</v>
      </c>
    </row>
    <row r="1193" spans="1:5" x14ac:dyDescent="0.25">
      <c r="A1193" s="119" t="s">
        <v>1467</v>
      </c>
      <c r="B1193" s="119" t="s">
        <v>1468</v>
      </c>
      <c r="C1193" s="119" t="s">
        <v>66</v>
      </c>
      <c r="D1193" t="s">
        <v>6759</v>
      </c>
      <c r="E1193" s="117">
        <v>353.9</v>
      </c>
    </row>
    <row r="1194" spans="1:5" x14ac:dyDescent="0.25">
      <c r="A1194" s="119" t="s">
        <v>1469</v>
      </c>
      <c r="B1194" s="119" t="s">
        <v>8846</v>
      </c>
      <c r="C1194" s="119" t="s">
        <v>66</v>
      </c>
      <c r="D1194" t="s">
        <v>6759</v>
      </c>
      <c r="E1194" s="117">
        <v>1890</v>
      </c>
    </row>
    <row r="1195" spans="1:5" x14ac:dyDescent="0.25">
      <c r="A1195" s="119" t="s">
        <v>1470</v>
      </c>
      <c r="B1195" s="119" t="s">
        <v>1471</v>
      </c>
      <c r="C1195" s="119" t="s">
        <v>66</v>
      </c>
      <c r="D1195" t="s">
        <v>6759</v>
      </c>
      <c r="E1195" s="117">
        <v>1890</v>
      </c>
    </row>
    <row r="1196" spans="1:5" x14ac:dyDescent="0.25">
      <c r="A1196" s="119" t="s">
        <v>1472</v>
      </c>
      <c r="B1196" s="119" t="s">
        <v>1473</v>
      </c>
      <c r="C1196" s="119" t="s">
        <v>66</v>
      </c>
      <c r="D1196" t="s">
        <v>6759</v>
      </c>
      <c r="E1196" s="117">
        <v>1890</v>
      </c>
    </row>
    <row r="1197" spans="1:5" x14ac:dyDescent="0.25">
      <c r="A1197" s="119" t="s">
        <v>1474</v>
      </c>
      <c r="B1197" s="119" t="s">
        <v>1475</v>
      </c>
      <c r="C1197" s="119" t="s">
        <v>66</v>
      </c>
      <c r="D1197" t="s">
        <v>6759</v>
      </c>
      <c r="E1197" s="117">
        <v>1604.36</v>
      </c>
    </row>
    <row r="1198" spans="1:5" x14ac:dyDescent="0.25">
      <c r="A1198" s="119" t="s">
        <v>1476</v>
      </c>
      <c r="B1198" s="119" t="s">
        <v>8847</v>
      </c>
      <c r="C1198" s="119" t="s">
        <v>66</v>
      </c>
      <c r="D1198" t="s">
        <v>6759</v>
      </c>
      <c r="E1198" s="117">
        <v>803.25</v>
      </c>
    </row>
    <row r="1199" spans="1:5" x14ac:dyDescent="0.25">
      <c r="A1199" s="119" t="s">
        <v>1477</v>
      </c>
      <c r="B1199" s="119" t="s">
        <v>8848</v>
      </c>
      <c r="C1199" s="119" t="s">
        <v>66</v>
      </c>
      <c r="D1199" t="s">
        <v>6759</v>
      </c>
      <c r="E1199" s="117">
        <v>803.25</v>
      </c>
    </row>
    <row r="1200" spans="1:5" x14ac:dyDescent="0.25">
      <c r="A1200" s="119" t="s">
        <v>1478</v>
      </c>
      <c r="B1200" s="119" t="s">
        <v>8849</v>
      </c>
      <c r="C1200" s="119" t="s">
        <v>66</v>
      </c>
      <c r="D1200" t="s">
        <v>6759</v>
      </c>
      <c r="E1200" s="117">
        <v>378</v>
      </c>
    </row>
    <row r="1201" spans="1:5" x14ac:dyDescent="0.25">
      <c r="A1201" s="119" t="s">
        <v>1479</v>
      </c>
      <c r="B1201" s="119" t="s">
        <v>1480</v>
      </c>
      <c r="C1201" s="119" t="s">
        <v>66</v>
      </c>
      <c r="D1201" t="s">
        <v>6759</v>
      </c>
      <c r="E1201" s="117">
        <v>393.54</v>
      </c>
    </row>
    <row r="1202" spans="1:5" x14ac:dyDescent="0.25">
      <c r="A1202" s="119" t="s">
        <v>1481</v>
      </c>
      <c r="B1202" s="119" t="s">
        <v>1482</v>
      </c>
      <c r="C1202" s="119" t="s">
        <v>66</v>
      </c>
      <c r="D1202" t="s">
        <v>6759</v>
      </c>
      <c r="E1202" s="117">
        <v>406.99</v>
      </c>
    </row>
    <row r="1203" spans="1:5" x14ac:dyDescent="0.25">
      <c r="A1203" s="119" t="s">
        <v>1483</v>
      </c>
      <c r="B1203" s="119" t="s">
        <v>8850</v>
      </c>
      <c r="C1203" s="119" t="s">
        <v>66</v>
      </c>
      <c r="D1203" t="s">
        <v>6759</v>
      </c>
      <c r="E1203" s="117">
        <v>421.97</v>
      </c>
    </row>
    <row r="1204" spans="1:5" x14ac:dyDescent="0.25">
      <c r="A1204" s="119" t="s">
        <v>1484</v>
      </c>
      <c r="B1204" s="119" t="s">
        <v>8851</v>
      </c>
      <c r="C1204" s="119" t="s">
        <v>66</v>
      </c>
      <c r="D1204" t="s">
        <v>6759</v>
      </c>
      <c r="E1204" s="117">
        <v>378</v>
      </c>
    </row>
    <row r="1205" spans="1:5" x14ac:dyDescent="0.25">
      <c r="A1205" s="119" t="s">
        <v>1485</v>
      </c>
      <c r="B1205" s="119" t="s">
        <v>1486</v>
      </c>
      <c r="C1205" s="119" t="s">
        <v>66</v>
      </c>
      <c r="D1205" t="s">
        <v>6759</v>
      </c>
      <c r="E1205" s="117">
        <v>5.99</v>
      </c>
    </row>
    <row r="1206" spans="1:5" x14ac:dyDescent="0.25">
      <c r="A1206" s="119" t="s">
        <v>1487</v>
      </c>
      <c r="B1206" s="119" t="s">
        <v>1488</v>
      </c>
      <c r="C1206" s="119" t="s">
        <v>66</v>
      </c>
      <c r="D1206" t="s">
        <v>45</v>
      </c>
      <c r="E1206" s="117">
        <v>4.9400000000000004</v>
      </c>
    </row>
    <row r="1207" spans="1:5" x14ac:dyDescent="0.25">
      <c r="A1207" s="119" t="s">
        <v>1489</v>
      </c>
      <c r="B1207" s="119" t="s">
        <v>1490</v>
      </c>
      <c r="C1207" s="119" t="s">
        <v>66</v>
      </c>
      <c r="D1207" t="s">
        <v>6759</v>
      </c>
      <c r="E1207" s="117">
        <v>9.0299999999999994</v>
      </c>
    </row>
    <row r="1208" spans="1:5" x14ac:dyDescent="0.25">
      <c r="A1208" s="119" t="s">
        <v>1491</v>
      </c>
      <c r="B1208" s="119" t="s">
        <v>1492</v>
      </c>
      <c r="C1208" s="119" t="s">
        <v>66</v>
      </c>
      <c r="D1208" t="s">
        <v>45</v>
      </c>
      <c r="E1208" s="117">
        <v>9.35</v>
      </c>
    </row>
    <row r="1209" spans="1:5" x14ac:dyDescent="0.25">
      <c r="A1209" s="119" t="s">
        <v>1493</v>
      </c>
      <c r="B1209" s="119" t="s">
        <v>1494</v>
      </c>
      <c r="C1209" s="119" t="s">
        <v>66</v>
      </c>
      <c r="D1209" t="s">
        <v>6759</v>
      </c>
      <c r="E1209" s="117">
        <v>13.02</v>
      </c>
    </row>
    <row r="1210" spans="1:5" x14ac:dyDescent="0.25">
      <c r="A1210" s="119" t="s">
        <v>1495</v>
      </c>
      <c r="B1210" s="119" t="s">
        <v>1496</v>
      </c>
      <c r="C1210" s="119" t="s">
        <v>66</v>
      </c>
      <c r="D1210" t="s">
        <v>6759</v>
      </c>
      <c r="E1210" s="117">
        <v>9.0299999999999994</v>
      </c>
    </row>
    <row r="1211" spans="1:5" x14ac:dyDescent="0.25">
      <c r="A1211" s="119" t="s">
        <v>1497</v>
      </c>
      <c r="B1211" s="119" t="s">
        <v>1498</v>
      </c>
      <c r="C1211" s="119" t="s">
        <v>66</v>
      </c>
      <c r="D1211" t="s">
        <v>6759</v>
      </c>
      <c r="E1211" s="117">
        <v>15.75</v>
      </c>
    </row>
    <row r="1212" spans="1:5" x14ac:dyDescent="0.25">
      <c r="A1212" s="119" t="s">
        <v>1499</v>
      </c>
      <c r="B1212" s="119" t="s">
        <v>1500</v>
      </c>
      <c r="C1212" s="119" t="s">
        <v>66</v>
      </c>
      <c r="D1212" t="s">
        <v>6759</v>
      </c>
      <c r="E1212" s="117">
        <v>11.87</v>
      </c>
    </row>
    <row r="1213" spans="1:5" x14ac:dyDescent="0.25">
      <c r="A1213" s="119" t="s">
        <v>12421</v>
      </c>
      <c r="B1213" s="119" t="s">
        <v>1492</v>
      </c>
      <c r="C1213" s="119" t="s">
        <v>66</v>
      </c>
      <c r="D1213" t="s">
        <v>45</v>
      </c>
      <c r="E1213" s="117">
        <v>9.35</v>
      </c>
    </row>
    <row r="1214" spans="1:5" x14ac:dyDescent="0.25">
      <c r="A1214" s="119" t="s">
        <v>1501</v>
      </c>
      <c r="B1214" s="119" t="s">
        <v>1502</v>
      </c>
      <c r="C1214" s="119" t="s">
        <v>66</v>
      </c>
      <c r="D1214" t="s">
        <v>6759</v>
      </c>
      <c r="E1214" s="117">
        <v>10.19</v>
      </c>
    </row>
    <row r="1215" spans="1:5" x14ac:dyDescent="0.25">
      <c r="A1215" s="119" t="s">
        <v>1503</v>
      </c>
      <c r="B1215" s="119" t="s">
        <v>1504</v>
      </c>
      <c r="C1215" s="119" t="s">
        <v>66</v>
      </c>
      <c r="D1215" t="s">
        <v>6759</v>
      </c>
      <c r="E1215" s="117">
        <v>18.27</v>
      </c>
    </row>
    <row r="1216" spans="1:5" x14ac:dyDescent="0.25">
      <c r="A1216" s="119" t="s">
        <v>1505</v>
      </c>
      <c r="B1216" s="119" t="s">
        <v>1506</v>
      </c>
      <c r="C1216" s="119" t="s">
        <v>66</v>
      </c>
      <c r="D1216" t="s">
        <v>6759</v>
      </c>
      <c r="E1216" s="117">
        <v>10.82</v>
      </c>
    </row>
    <row r="1217" spans="1:5" x14ac:dyDescent="0.25">
      <c r="A1217" s="119" t="s">
        <v>1507</v>
      </c>
      <c r="B1217" s="119" t="s">
        <v>1508</v>
      </c>
      <c r="C1217" s="119" t="s">
        <v>66</v>
      </c>
      <c r="D1217" t="s">
        <v>49</v>
      </c>
      <c r="E1217" s="117">
        <v>15.75</v>
      </c>
    </row>
    <row r="1218" spans="1:5" x14ac:dyDescent="0.25">
      <c r="A1218" s="119" t="s">
        <v>1509</v>
      </c>
      <c r="B1218" s="119" t="s">
        <v>1510</v>
      </c>
      <c r="C1218" s="119" t="s">
        <v>66</v>
      </c>
      <c r="D1218" t="s">
        <v>6759</v>
      </c>
      <c r="E1218" s="117">
        <v>17.43</v>
      </c>
    </row>
    <row r="1219" spans="1:5" x14ac:dyDescent="0.25">
      <c r="A1219" s="119" t="s">
        <v>1511</v>
      </c>
      <c r="B1219" s="119" t="s">
        <v>1512</v>
      </c>
      <c r="C1219" s="119" t="s">
        <v>66</v>
      </c>
      <c r="D1219" t="s">
        <v>6759</v>
      </c>
      <c r="E1219" s="117">
        <v>8.82</v>
      </c>
    </row>
    <row r="1220" spans="1:5" x14ac:dyDescent="0.25">
      <c r="A1220" s="119" t="s">
        <v>1513</v>
      </c>
      <c r="B1220" s="119" t="s">
        <v>1514</v>
      </c>
      <c r="C1220" s="119" t="s">
        <v>66</v>
      </c>
      <c r="D1220" t="s">
        <v>45</v>
      </c>
      <c r="E1220" s="117">
        <v>9.4499999999999993</v>
      </c>
    </row>
    <row r="1221" spans="1:5" x14ac:dyDescent="0.25">
      <c r="A1221" s="119" t="s">
        <v>1515</v>
      </c>
      <c r="B1221" s="119" t="s">
        <v>1516</v>
      </c>
      <c r="C1221" s="119" t="s">
        <v>66</v>
      </c>
      <c r="D1221" t="s">
        <v>6759</v>
      </c>
      <c r="E1221" s="117">
        <v>11.24</v>
      </c>
    </row>
    <row r="1222" spans="1:5" x14ac:dyDescent="0.25">
      <c r="A1222" s="119" t="s">
        <v>1517</v>
      </c>
      <c r="B1222" s="119" t="s">
        <v>1518</v>
      </c>
      <c r="C1222" s="119" t="s">
        <v>66</v>
      </c>
      <c r="D1222" t="s">
        <v>49</v>
      </c>
      <c r="E1222" s="117">
        <v>9.66</v>
      </c>
    </row>
    <row r="1223" spans="1:5" x14ac:dyDescent="0.25">
      <c r="A1223" s="119" t="s">
        <v>1519</v>
      </c>
      <c r="B1223" s="119" t="s">
        <v>1520</v>
      </c>
      <c r="C1223" s="119" t="s">
        <v>66</v>
      </c>
      <c r="D1223" t="s">
        <v>6759</v>
      </c>
      <c r="E1223" s="117">
        <v>9.98</v>
      </c>
    </row>
    <row r="1224" spans="1:5" x14ac:dyDescent="0.25">
      <c r="A1224" s="119" t="s">
        <v>1521</v>
      </c>
      <c r="B1224" s="119" t="s">
        <v>8852</v>
      </c>
      <c r="C1224" s="119" t="s">
        <v>66</v>
      </c>
      <c r="D1224" t="s">
        <v>49</v>
      </c>
      <c r="E1224" s="117">
        <v>1.42</v>
      </c>
    </row>
    <row r="1225" spans="1:5" x14ac:dyDescent="0.25">
      <c r="A1225" s="119" t="s">
        <v>1522</v>
      </c>
      <c r="B1225" s="119" t="s">
        <v>8853</v>
      </c>
      <c r="C1225" s="119" t="s">
        <v>66</v>
      </c>
      <c r="D1225" t="s">
        <v>6759</v>
      </c>
      <c r="E1225" s="117">
        <v>2.25</v>
      </c>
    </row>
    <row r="1226" spans="1:5" x14ac:dyDescent="0.25">
      <c r="A1226" s="119" t="s">
        <v>1523</v>
      </c>
      <c r="B1226" s="119" t="s">
        <v>1524</v>
      </c>
      <c r="C1226" s="119" t="s">
        <v>66</v>
      </c>
      <c r="D1226" t="s">
        <v>6759</v>
      </c>
      <c r="E1226" s="117">
        <v>1.18</v>
      </c>
    </row>
    <row r="1227" spans="1:5" x14ac:dyDescent="0.25">
      <c r="A1227" s="119" t="s">
        <v>1525</v>
      </c>
      <c r="B1227" s="119" t="s">
        <v>1526</v>
      </c>
      <c r="C1227" s="119" t="s">
        <v>66</v>
      </c>
      <c r="D1227" t="s">
        <v>49</v>
      </c>
      <c r="E1227" s="117">
        <v>4.2</v>
      </c>
    </row>
    <row r="1228" spans="1:5" x14ac:dyDescent="0.25">
      <c r="A1228" s="119" t="s">
        <v>1527</v>
      </c>
      <c r="B1228" s="119" t="s">
        <v>8854</v>
      </c>
      <c r="C1228" s="119" t="s">
        <v>66</v>
      </c>
      <c r="D1228" t="s">
        <v>45</v>
      </c>
      <c r="E1228" s="117">
        <v>2.95</v>
      </c>
    </row>
    <row r="1229" spans="1:5" x14ac:dyDescent="0.25">
      <c r="A1229" s="119" t="s">
        <v>1528</v>
      </c>
      <c r="B1229" s="119" t="s">
        <v>8855</v>
      </c>
      <c r="C1229" s="119" t="s">
        <v>66</v>
      </c>
      <c r="D1229" t="s">
        <v>6759</v>
      </c>
      <c r="E1229" s="117">
        <v>12.74</v>
      </c>
    </row>
    <row r="1230" spans="1:5" x14ac:dyDescent="0.25">
      <c r="A1230" s="119" t="s">
        <v>1529</v>
      </c>
      <c r="B1230" s="119" t="s">
        <v>8856</v>
      </c>
      <c r="C1230" s="119" t="s">
        <v>66</v>
      </c>
      <c r="D1230" t="s">
        <v>49</v>
      </c>
      <c r="E1230" s="117">
        <v>7.31</v>
      </c>
    </row>
    <row r="1231" spans="1:5" x14ac:dyDescent="0.25">
      <c r="A1231" s="119" t="s">
        <v>1530</v>
      </c>
      <c r="B1231" s="119" t="s">
        <v>8857</v>
      </c>
      <c r="C1231" s="119" t="s">
        <v>66</v>
      </c>
      <c r="D1231" t="s">
        <v>49</v>
      </c>
      <c r="E1231" s="117">
        <v>42.47</v>
      </c>
    </row>
    <row r="1232" spans="1:5" x14ac:dyDescent="0.25">
      <c r="A1232" s="119" t="s">
        <v>1531</v>
      </c>
      <c r="B1232" s="119" t="s">
        <v>8858</v>
      </c>
      <c r="C1232" s="119" t="s">
        <v>66</v>
      </c>
      <c r="D1232" t="s">
        <v>45</v>
      </c>
      <c r="E1232" s="117">
        <v>6.96</v>
      </c>
    </row>
    <row r="1233" spans="1:5" x14ac:dyDescent="0.25">
      <c r="A1233" s="119" t="s">
        <v>1532</v>
      </c>
      <c r="B1233" s="119" t="s">
        <v>8859</v>
      </c>
      <c r="C1233" s="119" t="s">
        <v>66</v>
      </c>
      <c r="D1233" t="s">
        <v>6760</v>
      </c>
      <c r="E1233" s="117">
        <v>7.91</v>
      </c>
    </row>
    <row r="1234" spans="1:5" x14ac:dyDescent="0.25">
      <c r="A1234" s="119" t="s">
        <v>1533</v>
      </c>
      <c r="B1234" s="119" t="s">
        <v>8860</v>
      </c>
      <c r="C1234" s="119" t="s">
        <v>66</v>
      </c>
      <c r="D1234" t="s">
        <v>6759</v>
      </c>
      <c r="E1234" s="117">
        <v>35.4</v>
      </c>
    </row>
    <row r="1235" spans="1:5" x14ac:dyDescent="0.25">
      <c r="A1235" s="119" t="s">
        <v>1534</v>
      </c>
      <c r="B1235" s="119" t="s">
        <v>8861</v>
      </c>
      <c r="C1235" s="119" t="s">
        <v>66</v>
      </c>
      <c r="D1235" t="s">
        <v>6759</v>
      </c>
      <c r="E1235" s="117">
        <v>30.67</v>
      </c>
    </row>
    <row r="1236" spans="1:5" x14ac:dyDescent="0.25">
      <c r="A1236" s="119" t="s">
        <v>1535</v>
      </c>
      <c r="B1236" s="119" t="s">
        <v>8862</v>
      </c>
      <c r="C1236" s="119" t="s">
        <v>66</v>
      </c>
      <c r="D1236" t="s">
        <v>6759</v>
      </c>
      <c r="E1236" s="117">
        <v>41.87</v>
      </c>
    </row>
    <row r="1237" spans="1:5" x14ac:dyDescent="0.25">
      <c r="A1237" s="119" t="s">
        <v>1536</v>
      </c>
      <c r="B1237" s="119" t="s">
        <v>8863</v>
      </c>
      <c r="C1237" s="119" t="s">
        <v>66</v>
      </c>
      <c r="D1237" t="s">
        <v>45</v>
      </c>
      <c r="E1237" s="117">
        <v>41.88</v>
      </c>
    </row>
    <row r="1238" spans="1:5" x14ac:dyDescent="0.25">
      <c r="A1238" s="119" t="s">
        <v>1537</v>
      </c>
      <c r="B1238" s="119" t="s">
        <v>8864</v>
      </c>
      <c r="C1238" s="119" t="s">
        <v>66</v>
      </c>
      <c r="D1238" t="s">
        <v>6759</v>
      </c>
      <c r="E1238" s="117">
        <v>86.12</v>
      </c>
    </row>
    <row r="1239" spans="1:5" x14ac:dyDescent="0.25">
      <c r="A1239" s="119" t="s">
        <v>1538</v>
      </c>
      <c r="B1239" s="119" t="s">
        <v>8865</v>
      </c>
      <c r="C1239" s="119" t="s">
        <v>66</v>
      </c>
      <c r="D1239" t="s">
        <v>49</v>
      </c>
      <c r="E1239" s="117">
        <v>79.28</v>
      </c>
    </row>
    <row r="1240" spans="1:5" x14ac:dyDescent="0.25">
      <c r="A1240" s="119" t="s">
        <v>1539</v>
      </c>
      <c r="B1240" s="119" t="s">
        <v>8866</v>
      </c>
      <c r="C1240" s="119" t="s">
        <v>66</v>
      </c>
      <c r="D1240" t="s">
        <v>49</v>
      </c>
      <c r="E1240" s="117">
        <v>10.29</v>
      </c>
    </row>
    <row r="1241" spans="1:5" x14ac:dyDescent="0.25">
      <c r="A1241" s="119" t="s">
        <v>1540</v>
      </c>
      <c r="B1241" s="119" t="s">
        <v>8867</v>
      </c>
      <c r="C1241" s="119" t="s">
        <v>66</v>
      </c>
      <c r="D1241" t="s">
        <v>6760</v>
      </c>
      <c r="E1241" s="117">
        <v>9.1</v>
      </c>
    </row>
    <row r="1242" spans="1:5" x14ac:dyDescent="0.25">
      <c r="A1242" s="119" t="s">
        <v>1541</v>
      </c>
      <c r="B1242" s="119" t="s">
        <v>8868</v>
      </c>
      <c r="C1242" s="119" t="s">
        <v>66</v>
      </c>
      <c r="D1242" t="s">
        <v>49</v>
      </c>
      <c r="E1242" s="117">
        <v>74.56</v>
      </c>
    </row>
    <row r="1243" spans="1:5" x14ac:dyDescent="0.25">
      <c r="A1243" s="119" t="s">
        <v>1542</v>
      </c>
      <c r="B1243" s="119" t="s">
        <v>8869</v>
      </c>
      <c r="C1243" s="119" t="s">
        <v>66</v>
      </c>
      <c r="D1243" t="s">
        <v>6759</v>
      </c>
      <c r="E1243" s="117">
        <v>76.680000000000007</v>
      </c>
    </row>
    <row r="1244" spans="1:5" x14ac:dyDescent="0.25">
      <c r="A1244" s="119" t="s">
        <v>1543</v>
      </c>
      <c r="B1244" s="119" t="s">
        <v>8870</v>
      </c>
      <c r="C1244" s="119" t="s">
        <v>66</v>
      </c>
      <c r="D1244" t="s">
        <v>6759</v>
      </c>
      <c r="E1244" s="117">
        <v>15.57</v>
      </c>
    </row>
    <row r="1245" spans="1:5" x14ac:dyDescent="0.25">
      <c r="A1245" s="119" t="s">
        <v>1544</v>
      </c>
      <c r="B1245" s="119" t="s">
        <v>8871</v>
      </c>
      <c r="C1245" s="119" t="s">
        <v>66</v>
      </c>
      <c r="D1245" t="s">
        <v>6759</v>
      </c>
      <c r="E1245" s="117">
        <v>282.87</v>
      </c>
    </row>
    <row r="1246" spans="1:5" x14ac:dyDescent="0.25">
      <c r="A1246" s="119" t="s">
        <v>1545</v>
      </c>
      <c r="B1246" s="119" t="s">
        <v>8872</v>
      </c>
      <c r="C1246" s="119" t="s">
        <v>66</v>
      </c>
      <c r="D1246" t="s">
        <v>6759</v>
      </c>
      <c r="E1246" s="117">
        <v>73</v>
      </c>
    </row>
    <row r="1247" spans="1:5" x14ac:dyDescent="0.25">
      <c r="A1247" s="119" t="s">
        <v>1546</v>
      </c>
      <c r="B1247" s="119" t="s">
        <v>8873</v>
      </c>
      <c r="C1247" s="119" t="s">
        <v>66</v>
      </c>
      <c r="D1247" t="s">
        <v>45</v>
      </c>
      <c r="E1247" s="117">
        <v>126.74</v>
      </c>
    </row>
    <row r="1248" spans="1:5" x14ac:dyDescent="0.25">
      <c r="A1248" s="119" t="s">
        <v>1547</v>
      </c>
      <c r="B1248" s="119" t="s">
        <v>8874</v>
      </c>
      <c r="C1248" s="119" t="s">
        <v>66</v>
      </c>
      <c r="D1248" t="s">
        <v>6759</v>
      </c>
      <c r="E1248" s="117">
        <v>401.94</v>
      </c>
    </row>
    <row r="1249" spans="1:5" x14ac:dyDescent="0.25">
      <c r="A1249" s="119" t="s">
        <v>1548</v>
      </c>
      <c r="B1249" s="119" t="s">
        <v>8875</v>
      </c>
      <c r="C1249" s="119" t="s">
        <v>66</v>
      </c>
      <c r="D1249" t="s">
        <v>6759</v>
      </c>
      <c r="E1249" s="117">
        <v>486.89</v>
      </c>
    </row>
    <row r="1250" spans="1:5" x14ac:dyDescent="0.25">
      <c r="A1250" s="119" t="s">
        <v>1549</v>
      </c>
      <c r="B1250" s="119" t="s">
        <v>8876</v>
      </c>
      <c r="C1250" s="119" t="s">
        <v>66</v>
      </c>
      <c r="D1250" t="s">
        <v>6759</v>
      </c>
      <c r="E1250" s="117">
        <v>189.53</v>
      </c>
    </row>
    <row r="1251" spans="1:5" x14ac:dyDescent="0.25">
      <c r="A1251" s="119" t="s">
        <v>1550</v>
      </c>
      <c r="B1251" s="119" t="s">
        <v>8877</v>
      </c>
      <c r="C1251" s="119" t="s">
        <v>66</v>
      </c>
      <c r="D1251" t="s">
        <v>45</v>
      </c>
      <c r="E1251" s="117">
        <v>1341.48</v>
      </c>
    </row>
    <row r="1252" spans="1:5" x14ac:dyDescent="0.25">
      <c r="A1252" s="119" t="s">
        <v>1551</v>
      </c>
      <c r="B1252" s="119" t="s">
        <v>1552</v>
      </c>
      <c r="C1252" s="119" t="s">
        <v>66</v>
      </c>
      <c r="D1252" t="s">
        <v>6759</v>
      </c>
      <c r="E1252" s="117">
        <v>101.12</v>
      </c>
    </row>
    <row r="1253" spans="1:5" x14ac:dyDescent="0.25">
      <c r="A1253" s="119" t="s">
        <v>1553</v>
      </c>
      <c r="B1253" s="119" t="s">
        <v>1554</v>
      </c>
      <c r="C1253" s="119" t="s">
        <v>66</v>
      </c>
      <c r="D1253" t="s">
        <v>6759</v>
      </c>
      <c r="E1253" s="117">
        <v>236.57</v>
      </c>
    </row>
    <row r="1254" spans="1:5" x14ac:dyDescent="0.25">
      <c r="A1254" s="119" t="s">
        <v>1555</v>
      </c>
      <c r="B1254" s="119" t="s">
        <v>1556</v>
      </c>
      <c r="C1254" s="119" t="s">
        <v>66</v>
      </c>
      <c r="D1254" t="s">
        <v>6759</v>
      </c>
      <c r="E1254" s="117">
        <v>326.02999999999997</v>
      </c>
    </row>
    <row r="1255" spans="1:5" x14ac:dyDescent="0.25">
      <c r="A1255" s="119" t="s">
        <v>1557</v>
      </c>
      <c r="B1255" s="119" t="s">
        <v>1558</v>
      </c>
      <c r="C1255" s="119" t="s">
        <v>66</v>
      </c>
      <c r="D1255" t="s">
        <v>6759</v>
      </c>
      <c r="E1255" s="117">
        <v>172.83</v>
      </c>
    </row>
    <row r="1256" spans="1:5" x14ac:dyDescent="0.25">
      <c r="A1256" s="119" t="s">
        <v>1559</v>
      </c>
      <c r="B1256" s="119" t="s">
        <v>1560</v>
      </c>
      <c r="C1256" s="119" t="s">
        <v>66</v>
      </c>
      <c r="D1256" t="s">
        <v>6759</v>
      </c>
      <c r="E1256" s="117">
        <v>194.46</v>
      </c>
    </row>
    <row r="1257" spans="1:5" x14ac:dyDescent="0.25">
      <c r="A1257" s="119" t="s">
        <v>1561</v>
      </c>
      <c r="B1257" s="119" t="s">
        <v>8878</v>
      </c>
      <c r="C1257" s="119" t="s">
        <v>66</v>
      </c>
      <c r="D1257" t="s">
        <v>49</v>
      </c>
      <c r="E1257" s="117">
        <v>45.99</v>
      </c>
    </row>
    <row r="1258" spans="1:5" x14ac:dyDescent="0.25">
      <c r="A1258" s="119" t="s">
        <v>1562</v>
      </c>
      <c r="B1258" s="119" t="s">
        <v>1563</v>
      </c>
      <c r="C1258" s="119" t="s">
        <v>66</v>
      </c>
      <c r="D1258" t="s">
        <v>45</v>
      </c>
      <c r="E1258" s="117">
        <v>177.2</v>
      </c>
    </row>
    <row r="1259" spans="1:5" x14ac:dyDescent="0.25">
      <c r="A1259" s="119" t="s">
        <v>1564</v>
      </c>
      <c r="B1259" s="119" t="s">
        <v>1565</v>
      </c>
      <c r="C1259" s="119" t="s">
        <v>66</v>
      </c>
      <c r="D1259" t="s">
        <v>45</v>
      </c>
      <c r="E1259" s="117">
        <v>177.2</v>
      </c>
    </row>
    <row r="1260" spans="1:5" x14ac:dyDescent="0.25">
      <c r="A1260" s="119" t="s">
        <v>1566</v>
      </c>
      <c r="B1260" s="119" t="s">
        <v>1567</v>
      </c>
      <c r="C1260" s="119" t="s">
        <v>66</v>
      </c>
      <c r="D1260" t="s">
        <v>45</v>
      </c>
      <c r="E1260" s="117">
        <v>191</v>
      </c>
    </row>
    <row r="1261" spans="1:5" x14ac:dyDescent="0.25">
      <c r="A1261" s="119" t="s">
        <v>1568</v>
      </c>
      <c r="B1261" s="119" t="s">
        <v>8879</v>
      </c>
      <c r="C1261" s="119" t="s">
        <v>66</v>
      </c>
      <c r="D1261" t="s">
        <v>45</v>
      </c>
      <c r="E1261" s="117">
        <v>178.92</v>
      </c>
    </row>
    <row r="1262" spans="1:5" x14ac:dyDescent="0.25">
      <c r="A1262" s="119" t="s">
        <v>1569</v>
      </c>
      <c r="B1262" s="119" t="s">
        <v>8880</v>
      </c>
      <c r="C1262" s="119" t="s">
        <v>66</v>
      </c>
      <c r="D1262" t="s">
        <v>6759</v>
      </c>
      <c r="E1262" s="117">
        <v>61.85</v>
      </c>
    </row>
    <row r="1263" spans="1:5" x14ac:dyDescent="0.25">
      <c r="A1263" s="119" t="s">
        <v>1570</v>
      </c>
      <c r="B1263" s="119" t="s">
        <v>8881</v>
      </c>
      <c r="C1263" s="119" t="s">
        <v>66</v>
      </c>
      <c r="D1263" t="s">
        <v>49</v>
      </c>
      <c r="E1263" s="117">
        <v>132.72</v>
      </c>
    </row>
    <row r="1264" spans="1:5" x14ac:dyDescent="0.25">
      <c r="A1264" s="119" t="s">
        <v>1571</v>
      </c>
      <c r="B1264" s="119" t="s">
        <v>8882</v>
      </c>
      <c r="C1264" s="119" t="s">
        <v>66</v>
      </c>
      <c r="D1264" t="s">
        <v>49</v>
      </c>
      <c r="E1264" s="117">
        <v>132.72</v>
      </c>
    </row>
    <row r="1265" spans="1:5" x14ac:dyDescent="0.25">
      <c r="A1265" s="119" t="s">
        <v>1572</v>
      </c>
      <c r="B1265" s="119" t="s">
        <v>8883</v>
      </c>
      <c r="C1265" s="119" t="s">
        <v>66</v>
      </c>
      <c r="D1265" t="s">
        <v>45</v>
      </c>
      <c r="E1265" s="117">
        <v>126.4</v>
      </c>
    </row>
    <row r="1266" spans="1:5" x14ac:dyDescent="0.25">
      <c r="A1266" s="119" t="s">
        <v>1573</v>
      </c>
      <c r="B1266" s="119" t="s">
        <v>8884</v>
      </c>
      <c r="C1266" s="119" t="s">
        <v>66</v>
      </c>
      <c r="D1266" t="s">
        <v>6759</v>
      </c>
      <c r="E1266" s="117">
        <v>132.72</v>
      </c>
    </row>
    <row r="1267" spans="1:5" x14ac:dyDescent="0.25">
      <c r="A1267" s="119" t="s">
        <v>1574</v>
      </c>
      <c r="B1267" s="119" t="s">
        <v>8885</v>
      </c>
      <c r="C1267" s="119" t="s">
        <v>66</v>
      </c>
      <c r="D1267" t="s">
        <v>6759</v>
      </c>
      <c r="E1267" s="117">
        <v>87.05</v>
      </c>
    </row>
    <row r="1268" spans="1:5" x14ac:dyDescent="0.25">
      <c r="A1268" s="119" t="s">
        <v>1575</v>
      </c>
      <c r="B1268" s="119" t="s">
        <v>8886</v>
      </c>
      <c r="C1268" s="119" t="s">
        <v>66</v>
      </c>
      <c r="D1268" t="s">
        <v>45</v>
      </c>
      <c r="E1268" s="117">
        <v>87.05</v>
      </c>
    </row>
    <row r="1269" spans="1:5" x14ac:dyDescent="0.25">
      <c r="A1269" s="119" t="s">
        <v>1576</v>
      </c>
      <c r="B1269" s="119" t="s">
        <v>8887</v>
      </c>
      <c r="C1269" s="119" t="s">
        <v>66</v>
      </c>
      <c r="D1269" t="s">
        <v>6759</v>
      </c>
      <c r="E1269" s="117">
        <v>87.05</v>
      </c>
    </row>
    <row r="1270" spans="1:5" x14ac:dyDescent="0.25">
      <c r="A1270" s="119" t="s">
        <v>1577</v>
      </c>
      <c r="B1270" s="119" t="s">
        <v>8888</v>
      </c>
      <c r="C1270" s="119" t="s">
        <v>66</v>
      </c>
      <c r="D1270" t="s">
        <v>45</v>
      </c>
      <c r="E1270" s="117">
        <v>82.64</v>
      </c>
    </row>
    <row r="1271" spans="1:5" x14ac:dyDescent="0.25">
      <c r="A1271" s="119" t="s">
        <v>1578</v>
      </c>
      <c r="B1271" s="119" t="s">
        <v>8889</v>
      </c>
      <c r="C1271" s="119" t="s">
        <v>66</v>
      </c>
      <c r="D1271" t="s">
        <v>6759</v>
      </c>
      <c r="E1271" s="117">
        <v>87.05</v>
      </c>
    </row>
    <row r="1272" spans="1:5" x14ac:dyDescent="0.25">
      <c r="A1272" s="119" t="s">
        <v>1579</v>
      </c>
      <c r="B1272" s="119" t="s">
        <v>8890</v>
      </c>
      <c r="C1272" s="119" t="s">
        <v>66</v>
      </c>
      <c r="D1272" t="s">
        <v>6759</v>
      </c>
      <c r="E1272" s="117">
        <v>87.05</v>
      </c>
    </row>
    <row r="1273" spans="1:5" x14ac:dyDescent="0.25">
      <c r="A1273" s="119" t="s">
        <v>1580</v>
      </c>
      <c r="B1273" s="119" t="s">
        <v>8891</v>
      </c>
      <c r="C1273" s="119" t="s">
        <v>66</v>
      </c>
      <c r="D1273" t="s">
        <v>6759</v>
      </c>
      <c r="E1273" s="117">
        <v>87.05</v>
      </c>
    </row>
    <row r="1274" spans="1:5" x14ac:dyDescent="0.25">
      <c r="A1274" s="119" t="s">
        <v>1581</v>
      </c>
      <c r="B1274" s="119" t="s">
        <v>8892</v>
      </c>
      <c r="C1274" s="119" t="s">
        <v>66</v>
      </c>
      <c r="D1274" t="s">
        <v>45</v>
      </c>
      <c r="E1274" s="117">
        <v>11.45</v>
      </c>
    </row>
    <row r="1275" spans="1:5" x14ac:dyDescent="0.25">
      <c r="A1275" s="119" t="s">
        <v>1582</v>
      </c>
      <c r="B1275" s="119" t="s">
        <v>8893</v>
      </c>
      <c r="C1275" s="119" t="s">
        <v>66</v>
      </c>
      <c r="D1275" t="s">
        <v>49</v>
      </c>
      <c r="E1275" s="117">
        <v>11.55</v>
      </c>
    </row>
    <row r="1276" spans="1:5" x14ac:dyDescent="0.25">
      <c r="A1276" s="119" t="s">
        <v>1583</v>
      </c>
      <c r="B1276" s="119" t="s">
        <v>8894</v>
      </c>
      <c r="C1276" s="119" t="s">
        <v>66</v>
      </c>
      <c r="D1276" t="s">
        <v>6760</v>
      </c>
      <c r="E1276" s="117">
        <v>11.55</v>
      </c>
    </row>
    <row r="1277" spans="1:5" x14ac:dyDescent="0.25">
      <c r="A1277" s="119" t="s">
        <v>1584</v>
      </c>
      <c r="B1277" s="119" t="s">
        <v>8895</v>
      </c>
      <c r="C1277" s="119" t="s">
        <v>66</v>
      </c>
      <c r="D1277" t="s">
        <v>49</v>
      </c>
      <c r="E1277" s="117">
        <v>109.71</v>
      </c>
    </row>
    <row r="1278" spans="1:5" x14ac:dyDescent="0.25">
      <c r="A1278" s="119" t="s">
        <v>1585</v>
      </c>
      <c r="B1278" s="119" t="s">
        <v>8896</v>
      </c>
      <c r="C1278" s="119" t="s">
        <v>66</v>
      </c>
      <c r="D1278" t="s">
        <v>45</v>
      </c>
      <c r="E1278" s="117">
        <v>7.25</v>
      </c>
    </row>
    <row r="1279" spans="1:5" x14ac:dyDescent="0.25">
      <c r="A1279" s="119" t="s">
        <v>1586</v>
      </c>
      <c r="B1279" s="119" t="s">
        <v>8897</v>
      </c>
      <c r="C1279" s="119" t="s">
        <v>66</v>
      </c>
      <c r="D1279" t="s">
        <v>6759</v>
      </c>
      <c r="E1279" s="117">
        <v>87.05</v>
      </c>
    </row>
    <row r="1280" spans="1:5" x14ac:dyDescent="0.25">
      <c r="A1280" s="119" t="s">
        <v>1587</v>
      </c>
      <c r="B1280" s="119" t="s">
        <v>8898</v>
      </c>
      <c r="C1280" s="119" t="s">
        <v>66</v>
      </c>
      <c r="D1280" t="s">
        <v>49</v>
      </c>
      <c r="E1280" s="117">
        <v>147.84</v>
      </c>
    </row>
    <row r="1281" spans="1:5" x14ac:dyDescent="0.25">
      <c r="A1281" s="119" t="s">
        <v>1588</v>
      </c>
      <c r="B1281" s="119" t="s">
        <v>8899</v>
      </c>
      <c r="C1281" s="119" t="s">
        <v>66</v>
      </c>
      <c r="D1281" t="s">
        <v>49</v>
      </c>
      <c r="E1281" s="117">
        <v>147.84</v>
      </c>
    </row>
    <row r="1282" spans="1:5" x14ac:dyDescent="0.25">
      <c r="A1282" s="119" t="s">
        <v>1589</v>
      </c>
      <c r="B1282" s="119" t="s">
        <v>8900</v>
      </c>
      <c r="C1282" s="119" t="s">
        <v>66</v>
      </c>
      <c r="D1282" t="s">
        <v>49</v>
      </c>
      <c r="E1282" s="117">
        <v>147.84</v>
      </c>
    </row>
    <row r="1283" spans="1:5" x14ac:dyDescent="0.25">
      <c r="A1283" s="119" t="s">
        <v>1590</v>
      </c>
      <c r="B1283" s="119" t="s">
        <v>8901</v>
      </c>
      <c r="C1283" s="119" t="s">
        <v>66</v>
      </c>
      <c r="D1283" t="s">
        <v>6759</v>
      </c>
      <c r="E1283" s="117">
        <v>147.84</v>
      </c>
    </row>
    <row r="1284" spans="1:5" x14ac:dyDescent="0.25">
      <c r="A1284" s="119" t="s">
        <v>1591</v>
      </c>
      <c r="B1284" s="119" t="s">
        <v>1592</v>
      </c>
      <c r="C1284" s="119" t="s">
        <v>66</v>
      </c>
      <c r="D1284" t="s">
        <v>6759</v>
      </c>
      <c r="E1284" s="117">
        <v>931.59</v>
      </c>
    </row>
    <row r="1285" spans="1:5" x14ac:dyDescent="0.25">
      <c r="A1285" s="119" t="s">
        <v>1593</v>
      </c>
      <c r="B1285" s="119" t="s">
        <v>1594</v>
      </c>
      <c r="C1285" s="119" t="s">
        <v>66</v>
      </c>
      <c r="D1285" t="s">
        <v>6759</v>
      </c>
      <c r="E1285" s="117">
        <v>1219.07</v>
      </c>
    </row>
    <row r="1286" spans="1:5" x14ac:dyDescent="0.25">
      <c r="A1286" s="119" t="s">
        <v>1595</v>
      </c>
      <c r="B1286" s="119" t="s">
        <v>1596</v>
      </c>
      <c r="C1286" s="119" t="s">
        <v>66</v>
      </c>
      <c r="D1286" t="s">
        <v>6759</v>
      </c>
      <c r="E1286" s="117">
        <v>953.78</v>
      </c>
    </row>
    <row r="1287" spans="1:5" x14ac:dyDescent="0.25">
      <c r="A1287" s="119" t="s">
        <v>1597</v>
      </c>
      <c r="B1287" s="119" t="s">
        <v>8902</v>
      </c>
      <c r="C1287" s="119" t="s">
        <v>66</v>
      </c>
      <c r="D1287" t="s">
        <v>45</v>
      </c>
      <c r="E1287" s="117">
        <v>7.88</v>
      </c>
    </row>
    <row r="1288" spans="1:5" x14ac:dyDescent="0.25">
      <c r="A1288" s="119" t="s">
        <v>1598</v>
      </c>
      <c r="B1288" s="119" t="s">
        <v>8903</v>
      </c>
      <c r="C1288" s="119" t="s">
        <v>66</v>
      </c>
      <c r="D1288" t="s">
        <v>49</v>
      </c>
      <c r="E1288" s="117">
        <v>11.55</v>
      </c>
    </row>
    <row r="1289" spans="1:5" x14ac:dyDescent="0.25">
      <c r="A1289" s="119" t="s">
        <v>1599</v>
      </c>
      <c r="B1289" s="119" t="s">
        <v>8904</v>
      </c>
      <c r="C1289" s="119" t="s">
        <v>66</v>
      </c>
      <c r="D1289" t="s">
        <v>6759</v>
      </c>
      <c r="E1289" s="117">
        <v>70</v>
      </c>
    </row>
    <row r="1290" spans="1:5" x14ac:dyDescent="0.25">
      <c r="A1290" s="119" t="s">
        <v>1600</v>
      </c>
      <c r="B1290" s="119" t="s">
        <v>8905</v>
      </c>
      <c r="C1290" s="119" t="s">
        <v>66</v>
      </c>
      <c r="D1290" t="s">
        <v>6760</v>
      </c>
      <c r="E1290" s="117">
        <v>53.66</v>
      </c>
    </row>
    <row r="1291" spans="1:5" x14ac:dyDescent="0.25">
      <c r="A1291" s="119" t="s">
        <v>1601</v>
      </c>
      <c r="B1291" s="119" t="s">
        <v>8906</v>
      </c>
      <c r="C1291" s="119" t="s">
        <v>66</v>
      </c>
      <c r="D1291" t="s">
        <v>49</v>
      </c>
      <c r="E1291" s="117">
        <v>53.66</v>
      </c>
    </row>
    <row r="1292" spans="1:5" x14ac:dyDescent="0.25">
      <c r="A1292" s="119" t="s">
        <v>1602</v>
      </c>
      <c r="B1292" s="119" t="s">
        <v>8907</v>
      </c>
      <c r="C1292" s="119" t="s">
        <v>66</v>
      </c>
      <c r="D1292" t="s">
        <v>49</v>
      </c>
      <c r="E1292" s="117">
        <v>48.3</v>
      </c>
    </row>
    <row r="1293" spans="1:5" x14ac:dyDescent="0.25">
      <c r="A1293" s="119" t="s">
        <v>1603</v>
      </c>
      <c r="B1293" s="119" t="s">
        <v>8908</v>
      </c>
      <c r="C1293" s="119" t="s">
        <v>66</v>
      </c>
      <c r="D1293" t="s">
        <v>49</v>
      </c>
      <c r="E1293" s="117">
        <v>53.66</v>
      </c>
    </row>
    <row r="1294" spans="1:5" x14ac:dyDescent="0.25">
      <c r="A1294" s="119" t="s">
        <v>1604</v>
      </c>
      <c r="B1294" s="119" t="s">
        <v>8909</v>
      </c>
      <c r="C1294" s="119" t="s">
        <v>66</v>
      </c>
      <c r="D1294" t="s">
        <v>49</v>
      </c>
      <c r="E1294" s="117">
        <v>53.66</v>
      </c>
    </row>
    <row r="1295" spans="1:5" x14ac:dyDescent="0.25">
      <c r="A1295" s="119" t="s">
        <v>1605</v>
      </c>
      <c r="B1295" s="119" t="s">
        <v>8910</v>
      </c>
      <c r="C1295" s="119" t="s">
        <v>66</v>
      </c>
      <c r="D1295" t="s">
        <v>51</v>
      </c>
      <c r="E1295" s="117">
        <v>125.27</v>
      </c>
    </row>
    <row r="1296" spans="1:5" x14ac:dyDescent="0.25">
      <c r="A1296" s="119" t="s">
        <v>1606</v>
      </c>
      <c r="B1296" s="119" t="s">
        <v>1607</v>
      </c>
      <c r="C1296" s="119" t="s">
        <v>66</v>
      </c>
      <c r="D1296" t="s">
        <v>45</v>
      </c>
      <c r="E1296" s="117">
        <v>75.260000000000005</v>
      </c>
    </row>
    <row r="1297" spans="1:5" x14ac:dyDescent="0.25">
      <c r="A1297" s="119" t="s">
        <v>1608</v>
      </c>
      <c r="B1297" s="119" t="s">
        <v>8911</v>
      </c>
      <c r="C1297" s="119" t="s">
        <v>66</v>
      </c>
      <c r="D1297" t="s">
        <v>45</v>
      </c>
      <c r="E1297" s="117">
        <v>73</v>
      </c>
    </row>
    <row r="1298" spans="1:5" x14ac:dyDescent="0.25">
      <c r="A1298" s="119" t="s">
        <v>1609</v>
      </c>
      <c r="B1298" s="119" t="s">
        <v>8912</v>
      </c>
      <c r="C1298" s="119" t="s">
        <v>66</v>
      </c>
      <c r="D1298" t="s">
        <v>51</v>
      </c>
      <c r="E1298" s="117">
        <v>76.650000000000006</v>
      </c>
    </row>
    <row r="1299" spans="1:5" x14ac:dyDescent="0.25">
      <c r="A1299" s="119" t="s">
        <v>1610</v>
      </c>
      <c r="B1299" s="119" t="s">
        <v>8913</v>
      </c>
      <c r="C1299" s="119" t="s">
        <v>66</v>
      </c>
      <c r="D1299" t="s">
        <v>45</v>
      </c>
      <c r="E1299" s="117">
        <v>76.650000000000006</v>
      </c>
    </row>
    <row r="1300" spans="1:5" x14ac:dyDescent="0.25">
      <c r="A1300" s="119" t="s">
        <v>1611</v>
      </c>
      <c r="B1300" s="119" t="s">
        <v>8914</v>
      </c>
      <c r="C1300" s="119" t="s">
        <v>66</v>
      </c>
      <c r="D1300" t="s">
        <v>49</v>
      </c>
      <c r="E1300" s="117">
        <v>76.650000000000006</v>
      </c>
    </row>
    <row r="1301" spans="1:5" x14ac:dyDescent="0.25">
      <c r="A1301" s="119" t="s">
        <v>1612</v>
      </c>
      <c r="B1301" s="119" t="s">
        <v>8915</v>
      </c>
      <c r="C1301" s="119" t="s">
        <v>66</v>
      </c>
      <c r="D1301" t="s">
        <v>49</v>
      </c>
      <c r="E1301" s="117">
        <v>76.650000000000006</v>
      </c>
    </row>
    <row r="1302" spans="1:5" x14ac:dyDescent="0.25">
      <c r="A1302" s="119" t="s">
        <v>1613</v>
      </c>
      <c r="B1302" s="119" t="s">
        <v>8916</v>
      </c>
      <c r="C1302" s="119" t="s">
        <v>66</v>
      </c>
      <c r="D1302" t="s">
        <v>49</v>
      </c>
      <c r="E1302" s="117">
        <v>76.650000000000006</v>
      </c>
    </row>
    <row r="1303" spans="1:5" x14ac:dyDescent="0.25">
      <c r="A1303" s="119" t="s">
        <v>1614</v>
      </c>
      <c r="B1303" s="119" t="s">
        <v>8917</v>
      </c>
      <c r="C1303" s="119" t="s">
        <v>66</v>
      </c>
      <c r="D1303" t="s">
        <v>49</v>
      </c>
      <c r="E1303" s="117">
        <v>76.650000000000006</v>
      </c>
    </row>
    <row r="1304" spans="1:5" x14ac:dyDescent="0.25">
      <c r="A1304" s="119" t="s">
        <v>1615</v>
      </c>
      <c r="B1304" s="119" t="s">
        <v>1616</v>
      </c>
      <c r="C1304" s="119" t="s">
        <v>66</v>
      </c>
      <c r="D1304" t="s">
        <v>45</v>
      </c>
      <c r="E1304" s="117">
        <v>0</v>
      </c>
    </row>
    <row r="1305" spans="1:5" x14ac:dyDescent="0.25">
      <c r="A1305" s="119" t="s">
        <v>1617</v>
      </c>
      <c r="B1305" s="119" t="s">
        <v>1618</v>
      </c>
      <c r="C1305" s="119" t="s">
        <v>66</v>
      </c>
      <c r="D1305" t="s">
        <v>45</v>
      </c>
      <c r="E1305" s="117">
        <v>123.05</v>
      </c>
    </row>
    <row r="1306" spans="1:5" x14ac:dyDescent="0.25">
      <c r="A1306" s="119" t="s">
        <v>1619</v>
      </c>
      <c r="B1306" s="119" t="s">
        <v>8918</v>
      </c>
      <c r="C1306" s="119" t="s">
        <v>66</v>
      </c>
      <c r="D1306" t="s">
        <v>6759</v>
      </c>
      <c r="E1306" s="117">
        <v>46.06</v>
      </c>
    </row>
    <row r="1307" spans="1:5" x14ac:dyDescent="0.25">
      <c r="A1307" s="119" t="s">
        <v>1620</v>
      </c>
      <c r="B1307" s="119" t="s">
        <v>8919</v>
      </c>
      <c r="C1307" s="119" t="s">
        <v>66</v>
      </c>
      <c r="D1307" t="s">
        <v>45</v>
      </c>
      <c r="E1307" s="117">
        <v>19.260000000000002</v>
      </c>
    </row>
    <row r="1308" spans="1:5" x14ac:dyDescent="0.25">
      <c r="A1308" s="119" t="s">
        <v>1621</v>
      </c>
      <c r="B1308" s="119" t="s">
        <v>8920</v>
      </c>
      <c r="C1308" s="119" t="s">
        <v>66</v>
      </c>
      <c r="D1308" t="s">
        <v>45</v>
      </c>
      <c r="E1308" s="117">
        <v>13.48</v>
      </c>
    </row>
    <row r="1309" spans="1:5" x14ac:dyDescent="0.25">
      <c r="A1309" s="119" t="s">
        <v>1622</v>
      </c>
      <c r="B1309" s="119" t="s">
        <v>8921</v>
      </c>
      <c r="C1309" s="119" t="s">
        <v>66</v>
      </c>
      <c r="D1309" t="s">
        <v>45</v>
      </c>
      <c r="E1309" s="117">
        <v>20.18</v>
      </c>
    </row>
    <row r="1310" spans="1:5" x14ac:dyDescent="0.25">
      <c r="A1310" s="119" t="s">
        <v>1623</v>
      </c>
      <c r="B1310" s="119" t="s">
        <v>8922</v>
      </c>
      <c r="C1310" s="119" t="s">
        <v>66</v>
      </c>
      <c r="D1310" t="s">
        <v>45</v>
      </c>
      <c r="E1310" s="117">
        <v>28.09</v>
      </c>
    </row>
    <row r="1311" spans="1:5" x14ac:dyDescent="0.25">
      <c r="A1311" s="119" t="s">
        <v>1624</v>
      </c>
      <c r="B1311" s="119" t="s">
        <v>8923</v>
      </c>
      <c r="C1311" s="119" t="s">
        <v>66</v>
      </c>
      <c r="D1311" t="s">
        <v>45</v>
      </c>
      <c r="E1311" s="117">
        <v>0</v>
      </c>
    </row>
    <row r="1312" spans="1:5" x14ac:dyDescent="0.25">
      <c r="A1312" s="119" t="s">
        <v>1625</v>
      </c>
      <c r="B1312" s="119" t="s">
        <v>8924</v>
      </c>
      <c r="C1312" s="119" t="s">
        <v>66</v>
      </c>
      <c r="D1312" t="s">
        <v>6759</v>
      </c>
      <c r="E1312" s="117">
        <v>22.47</v>
      </c>
    </row>
    <row r="1313" spans="1:5" x14ac:dyDescent="0.25">
      <c r="A1313" s="119" t="s">
        <v>1626</v>
      </c>
      <c r="B1313" s="119" t="s">
        <v>8925</v>
      </c>
      <c r="C1313" s="119" t="s">
        <v>66</v>
      </c>
      <c r="D1313" t="s">
        <v>49</v>
      </c>
      <c r="E1313" s="117">
        <v>49.31</v>
      </c>
    </row>
    <row r="1314" spans="1:5" x14ac:dyDescent="0.25">
      <c r="A1314" s="119" t="s">
        <v>1627</v>
      </c>
      <c r="B1314" s="119" t="s">
        <v>1628</v>
      </c>
      <c r="C1314" s="119" t="s">
        <v>66</v>
      </c>
      <c r="D1314" t="s">
        <v>49</v>
      </c>
      <c r="E1314" s="117">
        <v>266.81</v>
      </c>
    </row>
    <row r="1315" spans="1:5" x14ac:dyDescent="0.25">
      <c r="A1315" s="119" t="s">
        <v>1629</v>
      </c>
      <c r="B1315" s="119" t="s">
        <v>1630</v>
      </c>
      <c r="C1315" s="119" t="s">
        <v>66</v>
      </c>
      <c r="D1315" t="s">
        <v>6759</v>
      </c>
      <c r="E1315" s="117">
        <v>808.92</v>
      </c>
    </row>
    <row r="1316" spans="1:5" x14ac:dyDescent="0.25">
      <c r="A1316" s="119" t="s">
        <v>1631</v>
      </c>
      <c r="B1316" s="119" t="s">
        <v>7407</v>
      </c>
      <c r="C1316" s="119" t="s">
        <v>66</v>
      </c>
      <c r="D1316" t="s">
        <v>49</v>
      </c>
      <c r="E1316" s="117">
        <v>329</v>
      </c>
    </row>
    <row r="1317" spans="1:5" x14ac:dyDescent="0.25">
      <c r="A1317" s="119" t="s">
        <v>7408</v>
      </c>
      <c r="B1317" s="119" t="s">
        <v>1632</v>
      </c>
      <c r="C1317" s="119" t="s">
        <v>66</v>
      </c>
      <c r="D1317" t="s">
        <v>49</v>
      </c>
      <c r="E1317" s="117">
        <v>329</v>
      </c>
    </row>
    <row r="1318" spans="1:5" x14ac:dyDescent="0.25">
      <c r="A1318" s="119" t="s">
        <v>8115</v>
      </c>
      <c r="B1318" s="119" t="s">
        <v>8116</v>
      </c>
      <c r="C1318" s="119" t="s">
        <v>66</v>
      </c>
      <c r="D1318" t="s">
        <v>6759</v>
      </c>
      <c r="E1318" s="117">
        <v>9999</v>
      </c>
    </row>
    <row r="1319" spans="1:5" x14ac:dyDescent="0.25">
      <c r="A1319" s="119" t="s">
        <v>1633</v>
      </c>
      <c r="B1319" s="119" t="s">
        <v>1634</v>
      </c>
      <c r="C1319" s="119" t="s">
        <v>66</v>
      </c>
      <c r="D1319" t="s">
        <v>6759</v>
      </c>
      <c r="E1319" s="117">
        <v>57.44</v>
      </c>
    </row>
    <row r="1320" spans="1:5" x14ac:dyDescent="0.25">
      <c r="A1320" s="119" t="s">
        <v>1635</v>
      </c>
      <c r="B1320" s="119" t="s">
        <v>1636</v>
      </c>
      <c r="C1320" s="119" t="s">
        <v>66</v>
      </c>
      <c r="D1320" t="s">
        <v>6759</v>
      </c>
      <c r="E1320" s="117">
        <v>71.61</v>
      </c>
    </row>
    <row r="1321" spans="1:5" x14ac:dyDescent="0.25">
      <c r="A1321" s="119" t="s">
        <v>1637</v>
      </c>
      <c r="B1321" s="119" t="s">
        <v>1638</v>
      </c>
      <c r="C1321" s="119" t="s">
        <v>66</v>
      </c>
      <c r="D1321" t="s">
        <v>45</v>
      </c>
      <c r="E1321" s="117">
        <v>90</v>
      </c>
    </row>
    <row r="1322" spans="1:5" x14ac:dyDescent="0.25">
      <c r="A1322" s="119" t="s">
        <v>1639</v>
      </c>
      <c r="B1322" s="119" t="s">
        <v>1640</v>
      </c>
      <c r="C1322" s="119" t="s">
        <v>66</v>
      </c>
      <c r="D1322" t="s">
        <v>49</v>
      </c>
      <c r="E1322" s="117">
        <v>63</v>
      </c>
    </row>
    <row r="1323" spans="1:5" x14ac:dyDescent="0.25">
      <c r="A1323" s="119" t="s">
        <v>1641</v>
      </c>
      <c r="B1323" s="119" t="s">
        <v>1642</v>
      </c>
      <c r="C1323" s="119" t="s">
        <v>66</v>
      </c>
      <c r="D1323" t="s">
        <v>45</v>
      </c>
      <c r="E1323" s="117">
        <v>0</v>
      </c>
    </row>
    <row r="1324" spans="1:5" x14ac:dyDescent="0.25">
      <c r="A1324" s="119" t="s">
        <v>1643</v>
      </c>
      <c r="B1324" s="119" t="s">
        <v>1644</v>
      </c>
      <c r="C1324" s="119" t="s">
        <v>66</v>
      </c>
      <c r="D1324" t="s">
        <v>6759</v>
      </c>
      <c r="E1324" s="117">
        <v>57.75</v>
      </c>
    </row>
    <row r="1325" spans="1:5" x14ac:dyDescent="0.25">
      <c r="A1325" s="119" t="s">
        <v>1645</v>
      </c>
      <c r="B1325" s="119" t="s">
        <v>1646</v>
      </c>
      <c r="C1325" s="119" t="s">
        <v>66</v>
      </c>
      <c r="D1325" t="s">
        <v>49</v>
      </c>
      <c r="E1325" s="117">
        <v>0</v>
      </c>
    </row>
    <row r="1326" spans="1:5" x14ac:dyDescent="0.25">
      <c r="A1326" s="119" t="s">
        <v>6673</v>
      </c>
      <c r="B1326" s="119" t="s">
        <v>8926</v>
      </c>
      <c r="C1326" s="119" t="s">
        <v>301</v>
      </c>
      <c r="D1326" t="s">
        <v>45</v>
      </c>
      <c r="E1326" s="117">
        <v>1163.07</v>
      </c>
    </row>
    <row r="1327" spans="1:5" x14ac:dyDescent="0.25">
      <c r="A1327" s="119" t="s">
        <v>6674</v>
      </c>
      <c r="B1327" s="119" t="s">
        <v>8927</v>
      </c>
      <c r="C1327" s="119" t="s">
        <v>301</v>
      </c>
      <c r="D1327" t="s">
        <v>6759</v>
      </c>
      <c r="E1327" s="117">
        <v>936.38</v>
      </c>
    </row>
    <row r="1328" spans="1:5" x14ac:dyDescent="0.25">
      <c r="A1328" s="119" t="s">
        <v>1647</v>
      </c>
      <c r="B1328" s="119" t="s">
        <v>8928</v>
      </c>
      <c r="C1328" s="119" t="s">
        <v>301</v>
      </c>
      <c r="D1328" t="s">
        <v>49</v>
      </c>
      <c r="E1328" s="117">
        <v>236.55</v>
      </c>
    </row>
    <row r="1329" spans="1:5" x14ac:dyDescent="0.25">
      <c r="A1329" s="119" t="s">
        <v>1648</v>
      </c>
      <c r="B1329" s="119" t="s">
        <v>8929</v>
      </c>
      <c r="C1329" s="119" t="s">
        <v>301</v>
      </c>
      <c r="D1329" t="s">
        <v>45</v>
      </c>
      <c r="E1329" s="117">
        <v>236.55</v>
      </c>
    </row>
    <row r="1330" spans="1:5" x14ac:dyDescent="0.25">
      <c r="A1330" s="119" t="s">
        <v>6675</v>
      </c>
      <c r="B1330" s="119" t="s">
        <v>8930</v>
      </c>
      <c r="C1330" s="119" t="s">
        <v>301</v>
      </c>
      <c r="D1330" t="s">
        <v>6759</v>
      </c>
      <c r="E1330" s="117">
        <v>1049.73</v>
      </c>
    </row>
    <row r="1331" spans="1:5" x14ac:dyDescent="0.25">
      <c r="A1331" s="119" t="s">
        <v>6676</v>
      </c>
      <c r="B1331" s="119" t="s">
        <v>8931</v>
      </c>
      <c r="C1331" s="119" t="s">
        <v>301</v>
      </c>
      <c r="D1331" t="s">
        <v>45</v>
      </c>
      <c r="E1331" s="117">
        <v>0</v>
      </c>
    </row>
    <row r="1332" spans="1:5" x14ac:dyDescent="0.25">
      <c r="A1332" s="119" t="s">
        <v>1649</v>
      </c>
      <c r="B1332" s="119" t="s">
        <v>8932</v>
      </c>
      <c r="C1332" s="119" t="s">
        <v>301</v>
      </c>
      <c r="D1332" t="s">
        <v>6759</v>
      </c>
      <c r="E1332" s="117">
        <v>1271.5</v>
      </c>
    </row>
    <row r="1333" spans="1:5" x14ac:dyDescent="0.25">
      <c r="A1333" s="119" t="s">
        <v>6677</v>
      </c>
      <c r="B1333" s="119" t="s">
        <v>8933</v>
      </c>
      <c r="C1333" s="119" t="s">
        <v>301</v>
      </c>
      <c r="D1333" t="s">
        <v>45</v>
      </c>
      <c r="E1333" s="117">
        <v>1660.84</v>
      </c>
    </row>
    <row r="1334" spans="1:5" x14ac:dyDescent="0.25">
      <c r="A1334" s="119" t="s">
        <v>6678</v>
      </c>
      <c r="B1334" s="119" t="s">
        <v>8934</v>
      </c>
      <c r="C1334" s="119" t="s">
        <v>66</v>
      </c>
      <c r="D1334" t="s">
        <v>45</v>
      </c>
      <c r="E1334" s="117">
        <v>31.5</v>
      </c>
    </row>
    <row r="1335" spans="1:5" x14ac:dyDescent="0.25">
      <c r="A1335" s="119" t="s">
        <v>6679</v>
      </c>
      <c r="B1335" s="119" t="s">
        <v>1650</v>
      </c>
      <c r="C1335" s="119" t="s">
        <v>66</v>
      </c>
      <c r="D1335" t="s">
        <v>49</v>
      </c>
      <c r="E1335" s="117">
        <v>14.7</v>
      </c>
    </row>
    <row r="1336" spans="1:5" x14ac:dyDescent="0.25">
      <c r="A1336" s="119" t="s">
        <v>6680</v>
      </c>
      <c r="B1336" s="119" t="s">
        <v>1651</v>
      </c>
      <c r="C1336" s="119" t="s">
        <v>66</v>
      </c>
      <c r="D1336" t="s">
        <v>6759</v>
      </c>
      <c r="E1336" s="117">
        <v>15.23</v>
      </c>
    </row>
    <row r="1337" spans="1:5" x14ac:dyDescent="0.25">
      <c r="A1337" s="119" t="s">
        <v>6681</v>
      </c>
      <c r="B1337" s="119" t="s">
        <v>1652</v>
      </c>
      <c r="C1337" s="119" t="s">
        <v>66</v>
      </c>
      <c r="D1337" t="s">
        <v>6759</v>
      </c>
      <c r="E1337" s="117">
        <v>36</v>
      </c>
    </row>
    <row r="1338" spans="1:5" x14ac:dyDescent="0.25">
      <c r="A1338" s="119" t="s">
        <v>6682</v>
      </c>
      <c r="B1338" s="119" t="s">
        <v>6443</v>
      </c>
      <c r="C1338" s="119" t="s">
        <v>66</v>
      </c>
      <c r="D1338" t="s">
        <v>6759</v>
      </c>
      <c r="E1338" s="117">
        <v>52.5</v>
      </c>
    </row>
    <row r="1339" spans="1:5" x14ac:dyDescent="0.25">
      <c r="A1339" s="119" t="s">
        <v>6683</v>
      </c>
      <c r="B1339" s="119" t="s">
        <v>1653</v>
      </c>
      <c r="C1339" s="119" t="s">
        <v>66</v>
      </c>
      <c r="D1339" t="s">
        <v>6759</v>
      </c>
      <c r="E1339" s="117">
        <v>36.75</v>
      </c>
    </row>
    <row r="1340" spans="1:5" x14ac:dyDescent="0.25">
      <c r="A1340" s="119" t="s">
        <v>6684</v>
      </c>
      <c r="B1340" s="119" t="s">
        <v>1654</v>
      </c>
      <c r="C1340" s="119" t="s">
        <v>66</v>
      </c>
      <c r="D1340" t="s">
        <v>6759</v>
      </c>
      <c r="E1340" s="117">
        <v>1201.53</v>
      </c>
    </row>
    <row r="1341" spans="1:5" x14ac:dyDescent="0.25">
      <c r="A1341" s="119" t="s">
        <v>6685</v>
      </c>
      <c r="B1341" s="119" t="s">
        <v>8935</v>
      </c>
      <c r="C1341" s="119" t="s">
        <v>66</v>
      </c>
      <c r="D1341" t="s">
        <v>51</v>
      </c>
      <c r="E1341" s="117">
        <v>7.23</v>
      </c>
    </row>
    <row r="1342" spans="1:5" x14ac:dyDescent="0.25">
      <c r="A1342" s="119" t="s">
        <v>6686</v>
      </c>
      <c r="B1342" s="119" t="s">
        <v>1655</v>
      </c>
      <c r="C1342" s="119" t="s">
        <v>66</v>
      </c>
      <c r="D1342" t="s">
        <v>45</v>
      </c>
      <c r="E1342" s="117">
        <v>20.52</v>
      </c>
    </row>
    <row r="1343" spans="1:5" x14ac:dyDescent="0.25">
      <c r="A1343" s="119" t="s">
        <v>6687</v>
      </c>
      <c r="B1343" s="119" t="s">
        <v>8936</v>
      </c>
      <c r="C1343" s="119" t="s">
        <v>66</v>
      </c>
      <c r="D1343" t="s">
        <v>45</v>
      </c>
      <c r="E1343" s="117">
        <v>7.72</v>
      </c>
    </row>
    <row r="1344" spans="1:5" x14ac:dyDescent="0.25">
      <c r="A1344" s="119" t="s">
        <v>6688</v>
      </c>
      <c r="B1344" s="119" t="s">
        <v>8937</v>
      </c>
      <c r="C1344" s="119" t="s">
        <v>66</v>
      </c>
      <c r="D1344" t="s">
        <v>45</v>
      </c>
      <c r="E1344" s="117">
        <v>7</v>
      </c>
    </row>
    <row r="1345" spans="1:5" x14ac:dyDescent="0.25">
      <c r="A1345" s="119" t="s">
        <v>6689</v>
      </c>
      <c r="B1345" s="119" t="s">
        <v>1656</v>
      </c>
      <c r="C1345" s="119" t="s">
        <v>66</v>
      </c>
      <c r="D1345" t="s">
        <v>49</v>
      </c>
      <c r="E1345" s="117">
        <v>9.85</v>
      </c>
    </row>
    <row r="1346" spans="1:5" x14ac:dyDescent="0.25">
      <c r="A1346" s="119" t="s">
        <v>6690</v>
      </c>
      <c r="B1346" s="119" t="s">
        <v>1657</v>
      </c>
      <c r="C1346" s="119" t="s">
        <v>66</v>
      </c>
      <c r="D1346" t="s">
        <v>45</v>
      </c>
      <c r="E1346" s="117">
        <v>47.25</v>
      </c>
    </row>
    <row r="1347" spans="1:5" x14ac:dyDescent="0.25">
      <c r="A1347" s="119" t="s">
        <v>6691</v>
      </c>
      <c r="B1347" s="119" t="s">
        <v>1658</v>
      </c>
      <c r="C1347" s="119" t="s">
        <v>66</v>
      </c>
      <c r="D1347" t="s">
        <v>45</v>
      </c>
      <c r="E1347" s="117">
        <v>0</v>
      </c>
    </row>
    <row r="1348" spans="1:5" x14ac:dyDescent="0.25">
      <c r="A1348" s="119" t="s">
        <v>6692</v>
      </c>
      <c r="B1348" s="119" t="s">
        <v>1659</v>
      </c>
      <c r="C1348" s="119" t="s">
        <v>66</v>
      </c>
      <c r="D1348" t="s">
        <v>45</v>
      </c>
      <c r="E1348" s="117">
        <v>34.65</v>
      </c>
    </row>
    <row r="1349" spans="1:5" x14ac:dyDescent="0.25">
      <c r="A1349" s="119" t="s">
        <v>6693</v>
      </c>
      <c r="B1349" s="119" t="s">
        <v>1660</v>
      </c>
      <c r="C1349" s="119" t="s">
        <v>66</v>
      </c>
      <c r="D1349" t="s">
        <v>45</v>
      </c>
      <c r="E1349" s="117">
        <v>0</v>
      </c>
    </row>
    <row r="1350" spans="1:5" x14ac:dyDescent="0.25">
      <c r="A1350" s="119" t="s">
        <v>6694</v>
      </c>
      <c r="B1350" s="119" t="s">
        <v>6444</v>
      </c>
      <c r="C1350" s="119" t="s">
        <v>66</v>
      </c>
      <c r="D1350" t="s">
        <v>49</v>
      </c>
      <c r="E1350" s="117">
        <v>18.48</v>
      </c>
    </row>
    <row r="1351" spans="1:5" x14ac:dyDescent="0.25">
      <c r="A1351" s="119" t="s">
        <v>1661</v>
      </c>
      <c r="B1351" s="119" t="s">
        <v>8938</v>
      </c>
      <c r="C1351" s="119" t="s">
        <v>301</v>
      </c>
      <c r="D1351" t="s">
        <v>45</v>
      </c>
      <c r="E1351" s="117">
        <v>323.86</v>
      </c>
    </row>
    <row r="1352" spans="1:5" x14ac:dyDescent="0.25">
      <c r="A1352" s="119" t="s">
        <v>1662</v>
      </c>
      <c r="B1352" s="119" t="s">
        <v>8939</v>
      </c>
      <c r="C1352" s="119" t="s">
        <v>301</v>
      </c>
      <c r="D1352" t="s">
        <v>45</v>
      </c>
      <c r="E1352" s="117">
        <v>0</v>
      </c>
    </row>
    <row r="1353" spans="1:5" x14ac:dyDescent="0.25">
      <c r="A1353" s="119" t="s">
        <v>1663</v>
      </c>
      <c r="B1353" s="119" t="s">
        <v>8940</v>
      </c>
      <c r="C1353" s="119" t="s">
        <v>301</v>
      </c>
      <c r="D1353" t="s">
        <v>51</v>
      </c>
      <c r="E1353" s="117">
        <v>304.57</v>
      </c>
    </row>
    <row r="1354" spans="1:5" x14ac:dyDescent="0.25">
      <c r="A1354" s="119" t="s">
        <v>1664</v>
      </c>
      <c r="B1354" s="119" t="s">
        <v>8941</v>
      </c>
      <c r="C1354" s="119" t="s">
        <v>301</v>
      </c>
      <c r="D1354" t="s">
        <v>45</v>
      </c>
      <c r="E1354" s="117">
        <v>0</v>
      </c>
    </row>
    <row r="1355" spans="1:5" x14ac:dyDescent="0.25">
      <c r="A1355" s="119" t="s">
        <v>1665</v>
      </c>
      <c r="B1355" s="119" t="s">
        <v>8942</v>
      </c>
      <c r="C1355" s="119" t="s">
        <v>301</v>
      </c>
      <c r="D1355" t="s">
        <v>51</v>
      </c>
      <c r="E1355" s="117">
        <v>541.13</v>
      </c>
    </row>
    <row r="1356" spans="1:5" x14ac:dyDescent="0.25">
      <c r="A1356" s="119" t="s">
        <v>1666</v>
      </c>
      <c r="B1356" s="119" t="s">
        <v>7409</v>
      </c>
      <c r="C1356" s="119" t="s">
        <v>301</v>
      </c>
      <c r="D1356" t="s">
        <v>45</v>
      </c>
      <c r="E1356" s="117">
        <v>718.55</v>
      </c>
    </row>
    <row r="1357" spans="1:5" x14ac:dyDescent="0.25">
      <c r="A1357" s="119" t="s">
        <v>1667</v>
      </c>
      <c r="B1357" s="119" t="s">
        <v>8943</v>
      </c>
      <c r="C1357" s="119" t="s">
        <v>301</v>
      </c>
      <c r="D1357" t="s">
        <v>6759</v>
      </c>
      <c r="E1357" s="117">
        <v>826.97</v>
      </c>
    </row>
    <row r="1358" spans="1:5" x14ac:dyDescent="0.25">
      <c r="A1358" s="119" t="s">
        <v>6695</v>
      </c>
      <c r="B1358" s="119" t="s">
        <v>6445</v>
      </c>
      <c r="C1358" s="119" t="s">
        <v>66</v>
      </c>
      <c r="D1358" t="s">
        <v>45</v>
      </c>
      <c r="E1358" s="117">
        <v>3650.25</v>
      </c>
    </row>
    <row r="1359" spans="1:5" x14ac:dyDescent="0.25">
      <c r="A1359" s="119" t="s">
        <v>6696</v>
      </c>
      <c r="B1359" s="119" t="s">
        <v>6446</v>
      </c>
      <c r="C1359" s="119" t="s">
        <v>66</v>
      </c>
      <c r="D1359" t="s">
        <v>45</v>
      </c>
      <c r="E1359" s="117">
        <v>1510.1</v>
      </c>
    </row>
    <row r="1360" spans="1:5" x14ac:dyDescent="0.25">
      <c r="A1360" s="119" t="s">
        <v>6697</v>
      </c>
      <c r="B1360" s="119" t="s">
        <v>1668</v>
      </c>
      <c r="C1360" s="119" t="s">
        <v>66</v>
      </c>
      <c r="D1360" t="s">
        <v>6759</v>
      </c>
      <c r="E1360" s="117">
        <v>31.37</v>
      </c>
    </row>
    <row r="1361" spans="1:5" x14ac:dyDescent="0.25">
      <c r="A1361" s="119" t="s">
        <v>6698</v>
      </c>
      <c r="B1361" s="119" t="s">
        <v>8944</v>
      </c>
      <c r="C1361" s="119" t="s">
        <v>66</v>
      </c>
      <c r="D1361" t="s">
        <v>6759</v>
      </c>
      <c r="E1361" s="117">
        <v>3097.5</v>
      </c>
    </row>
    <row r="1362" spans="1:5" x14ac:dyDescent="0.25">
      <c r="A1362" s="119" t="s">
        <v>6699</v>
      </c>
      <c r="B1362" s="119" t="s">
        <v>1669</v>
      </c>
      <c r="C1362" s="119" t="s">
        <v>66</v>
      </c>
      <c r="D1362" t="s">
        <v>6759</v>
      </c>
      <c r="E1362" s="117">
        <v>446.28</v>
      </c>
    </row>
    <row r="1363" spans="1:5" x14ac:dyDescent="0.25">
      <c r="A1363" s="119" t="s">
        <v>6700</v>
      </c>
      <c r="B1363" s="119" t="s">
        <v>1281</v>
      </c>
      <c r="C1363" s="119" t="s">
        <v>66</v>
      </c>
      <c r="D1363" t="s">
        <v>6759</v>
      </c>
      <c r="E1363" s="117">
        <v>1801.29</v>
      </c>
    </row>
    <row r="1364" spans="1:5" x14ac:dyDescent="0.25">
      <c r="A1364" s="119" t="s">
        <v>6701</v>
      </c>
      <c r="B1364" s="119" t="s">
        <v>1670</v>
      </c>
      <c r="C1364" s="119" t="s">
        <v>66</v>
      </c>
      <c r="D1364" t="s">
        <v>51</v>
      </c>
      <c r="E1364" s="117">
        <v>24.19</v>
      </c>
    </row>
    <row r="1365" spans="1:5" x14ac:dyDescent="0.25">
      <c r="A1365" s="119" t="s">
        <v>6702</v>
      </c>
      <c r="B1365" s="119" t="s">
        <v>8945</v>
      </c>
      <c r="C1365" s="119" t="s">
        <v>66</v>
      </c>
      <c r="D1365" t="s">
        <v>6759</v>
      </c>
      <c r="E1365" s="117">
        <v>2719.5</v>
      </c>
    </row>
    <row r="1366" spans="1:5" x14ac:dyDescent="0.25">
      <c r="A1366" s="119" t="s">
        <v>6703</v>
      </c>
      <c r="B1366" s="119" t="s">
        <v>8946</v>
      </c>
      <c r="C1366" s="119" t="s">
        <v>301</v>
      </c>
      <c r="D1366" t="s">
        <v>45</v>
      </c>
      <c r="E1366" s="117">
        <v>1306</v>
      </c>
    </row>
    <row r="1367" spans="1:5" x14ac:dyDescent="0.25">
      <c r="A1367" s="119" t="s">
        <v>6704</v>
      </c>
      <c r="B1367" s="119" t="s">
        <v>8947</v>
      </c>
      <c r="C1367" s="119" t="s">
        <v>66</v>
      </c>
      <c r="D1367" t="s">
        <v>45</v>
      </c>
      <c r="E1367" s="117">
        <v>4.9000000000000004</v>
      </c>
    </row>
    <row r="1368" spans="1:5" x14ac:dyDescent="0.25">
      <c r="A1368" s="119" t="s">
        <v>6705</v>
      </c>
      <c r="B1368" s="119" t="s">
        <v>1671</v>
      </c>
      <c r="C1368" s="119" t="s">
        <v>66</v>
      </c>
      <c r="D1368" t="s">
        <v>49</v>
      </c>
      <c r="E1368" s="117">
        <v>38.85</v>
      </c>
    </row>
    <row r="1369" spans="1:5" x14ac:dyDescent="0.25">
      <c r="A1369" s="119" t="s">
        <v>6706</v>
      </c>
      <c r="B1369" s="119" t="s">
        <v>335</v>
      </c>
      <c r="C1369" s="119" t="s">
        <v>66</v>
      </c>
      <c r="D1369" t="s">
        <v>45</v>
      </c>
      <c r="E1369" s="117">
        <v>35</v>
      </c>
    </row>
    <row r="1370" spans="1:5" x14ac:dyDescent="0.25">
      <c r="A1370" s="119" t="s">
        <v>6707</v>
      </c>
      <c r="B1370" s="119" t="s">
        <v>1672</v>
      </c>
      <c r="C1370" s="119" t="s">
        <v>66</v>
      </c>
      <c r="D1370" t="s">
        <v>45</v>
      </c>
      <c r="E1370" s="117">
        <v>169.79</v>
      </c>
    </row>
    <row r="1371" spans="1:5" x14ac:dyDescent="0.25">
      <c r="A1371" s="119" t="s">
        <v>6708</v>
      </c>
      <c r="B1371" s="119" t="s">
        <v>1672</v>
      </c>
      <c r="C1371" s="119" t="s">
        <v>66</v>
      </c>
      <c r="D1371" t="s">
        <v>49</v>
      </c>
      <c r="E1371" s="117">
        <v>329</v>
      </c>
    </row>
    <row r="1372" spans="1:5" x14ac:dyDescent="0.25">
      <c r="A1372" s="119" t="s">
        <v>6709</v>
      </c>
      <c r="B1372" s="119" t="s">
        <v>1673</v>
      </c>
      <c r="C1372" s="119" t="s">
        <v>66</v>
      </c>
      <c r="D1372" t="s">
        <v>45</v>
      </c>
      <c r="E1372" s="117">
        <v>0</v>
      </c>
    </row>
    <row r="1373" spans="1:5" x14ac:dyDescent="0.25">
      <c r="A1373" s="119" t="s">
        <v>6710</v>
      </c>
      <c r="B1373" s="119" t="s">
        <v>1674</v>
      </c>
      <c r="C1373" s="119" t="s">
        <v>66</v>
      </c>
      <c r="D1373" t="s">
        <v>6759</v>
      </c>
      <c r="E1373" s="117">
        <v>635.25</v>
      </c>
    </row>
    <row r="1374" spans="1:5" x14ac:dyDescent="0.25">
      <c r="A1374" s="119" t="s">
        <v>6711</v>
      </c>
      <c r="B1374" s="119" t="s">
        <v>1675</v>
      </c>
      <c r="C1374" s="119" t="s">
        <v>66</v>
      </c>
      <c r="D1374" t="s">
        <v>45</v>
      </c>
      <c r="E1374" s="117">
        <v>0</v>
      </c>
    </row>
    <row r="1375" spans="1:5" x14ac:dyDescent="0.25">
      <c r="A1375" s="119" t="s">
        <v>6712</v>
      </c>
      <c r="B1375" s="119" t="s">
        <v>1676</v>
      </c>
      <c r="C1375" s="119" t="s">
        <v>66</v>
      </c>
      <c r="D1375" t="s">
        <v>45</v>
      </c>
      <c r="E1375" s="117">
        <v>0</v>
      </c>
    </row>
    <row r="1376" spans="1:5" x14ac:dyDescent="0.25">
      <c r="A1376" s="119" t="s">
        <v>6713</v>
      </c>
      <c r="B1376" s="119" t="s">
        <v>1677</v>
      </c>
      <c r="C1376" s="119" t="s">
        <v>66</v>
      </c>
      <c r="D1376" t="s">
        <v>45</v>
      </c>
      <c r="E1376" s="117">
        <v>0</v>
      </c>
    </row>
    <row r="1377" spans="1:5" x14ac:dyDescent="0.25">
      <c r="A1377" s="119" t="s">
        <v>6714</v>
      </c>
      <c r="B1377" s="119" t="s">
        <v>8948</v>
      </c>
      <c r="C1377" s="119" t="s">
        <v>66</v>
      </c>
      <c r="D1377" t="s">
        <v>6759</v>
      </c>
      <c r="E1377" s="117">
        <v>427.35</v>
      </c>
    </row>
    <row r="1378" spans="1:5" x14ac:dyDescent="0.25">
      <c r="A1378" s="119" t="s">
        <v>6715</v>
      </c>
      <c r="B1378" s="119" t="s">
        <v>1678</v>
      </c>
      <c r="C1378" s="119" t="s">
        <v>66</v>
      </c>
      <c r="D1378" t="s">
        <v>6759</v>
      </c>
      <c r="E1378" s="117">
        <v>157.5</v>
      </c>
    </row>
    <row r="1379" spans="1:5" x14ac:dyDescent="0.25">
      <c r="A1379" s="119" t="s">
        <v>6716</v>
      </c>
      <c r="B1379" s="119" t="s">
        <v>8949</v>
      </c>
      <c r="C1379" s="119" t="s">
        <v>301</v>
      </c>
      <c r="D1379" t="s">
        <v>45</v>
      </c>
      <c r="E1379" s="117">
        <v>586.47</v>
      </c>
    </row>
    <row r="1380" spans="1:5" x14ac:dyDescent="0.25">
      <c r="A1380" s="119" t="s">
        <v>6717</v>
      </c>
      <c r="B1380" s="119" t="s">
        <v>8950</v>
      </c>
      <c r="C1380" s="119" t="s">
        <v>301</v>
      </c>
      <c r="D1380" t="s">
        <v>6759</v>
      </c>
      <c r="E1380" s="117">
        <v>670.25</v>
      </c>
    </row>
    <row r="1381" spans="1:5" x14ac:dyDescent="0.25">
      <c r="A1381" s="119" t="s">
        <v>1679</v>
      </c>
      <c r="B1381" s="119" t="s">
        <v>8951</v>
      </c>
      <c r="C1381" s="119" t="s">
        <v>66</v>
      </c>
      <c r="D1381" t="s">
        <v>51</v>
      </c>
      <c r="E1381" s="117">
        <v>57.57</v>
      </c>
    </row>
    <row r="1382" spans="1:5" x14ac:dyDescent="0.25">
      <c r="A1382" s="119" t="s">
        <v>1680</v>
      </c>
      <c r="B1382" s="119" t="s">
        <v>8952</v>
      </c>
      <c r="C1382" s="119" t="s">
        <v>66</v>
      </c>
      <c r="D1382" t="s">
        <v>45</v>
      </c>
      <c r="E1382" s="117">
        <v>210</v>
      </c>
    </row>
    <row r="1383" spans="1:5" x14ac:dyDescent="0.25">
      <c r="A1383" s="119" t="s">
        <v>1682</v>
      </c>
      <c r="B1383" s="119" t="s">
        <v>8953</v>
      </c>
      <c r="C1383" s="119" t="s">
        <v>66</v>
      </c>
      <c r="D1383" t="s">
        <v>49</v>
      </c>
      <c r="E1383" s="117">
        <v>49.25</v>
      </c>
    </row>
    <row r="1384" spans="1:5" x14ac:dyDescent="0.25">
      <c r="A1384" s="119" t="s">
        <v>1683</v>
      </c>
      <c r="B1384" s="119" t="s">
        <v>8954</v>
      </c>
      <c r="C1384" s="119" t="s">
        <v>66</v>
      </c>
      <c r="D1384" t="s">
        <v>45</v>
      </c>
      <c r="E1384" s="117">
        <v>48.51</v>
      </c>
    </row>
    <row r="1385" spans="1:5" x14ac:dyDescent="0.25">
      <c r="A1385" s="119" t="s">
        <v>1684</v>
      </c>
      <c r="B1385" s="119" t="s">
        <v>1685</v>
      </c>
      <c r="C1385" s="119" t="s">
        <v>66</v>
      </c>
      <c r="D1385" t="s">
        <v>6759</v>
      </c>
      <c r="E1385" s="117">
        <v>530.88</v>
      </c>
    </row>
    <row r="1386" spans="1:5" x14ac:dyDescent="0.25">
      <c r="A1386" s="119" t="s">
        <v>1686</v>
      </c>
      <c r="B1386" s="119" t="s">
        <v>8955</v>
      </c>
      <c r="C1386" s="119" t="s">
        <v>66</v>
      </c>
      <c r="D1386" t="s">
        <v>6759</v>
      </c>
      <c r="E1386" s="117">
        <v>141.65</v>
      </c>
    </row>
    <row r="1387" spans="1:5" x14ac:dyDescent="0.25">
      <c r="A1387" s="119" t="s">
        <v>1687</v>
      </c>
      <c r="B1387" s="119" t="s">
        <v>8956</v>
      </c>
      <c r="C1387" s="119" t="s">
        <v>66</v>
      </c>
      <c r="D1387" t="s">
        <v>45</v>
      </c>
      <c r="E1387" s="117">
        <v>237.62</v>
      </c>
    </row>
    <row r="1388" spans="1:5" x14ac:dyDescent="0.25">
      <c r="A1388" s="119" t="s">
        <v>1688</v>
      </c>
      <c r="B1388" s="119" t="s">
        <v>8957</v>
      </c>
      <c r="C1388" s="119" t="s">
        <v>66</v>
      </c>
      <c r="D1388" t="s">
        <v>49</v>
      </c>
      <c r="E1388" s="117">
        <v>98.18</v>
      </c>
    </row>
    <row r="1389" spans="1:5" x14ac:dyDescent="0.25">
      <c r="A1389" s="119" t="s">
        <v>1689</v>
      </c>
      <c r="B1389" s="119" t="s">
        <v>8958</v>
      </c>
      <c r="C1389" s="119" t="s">
        <v>66</v>
      </c>
      <c r="D1389" t="s">
        <v>6759</v>
      </c>
      <c r="E1389" s="117">
        <v>210</v>
      </c>
    </row>
    <row r="1390" spans="1:5" x14ac:dyDescent="0.25">
      <c r="A1390" s="119" t="s">
        <v>1690</v>
      </c>
      <c r="B1390" s="119" t="s">
        <v>8959</v>
      </c>
      <c r="C1390" s="119" t="s">
        <v>66</v>
      </c>
      <c r="D1390" t="s">
        <v>6759</v>
      </c>
      <c r="E1390" s="117">
        <v>970.83</v>
      </c>
    </row>
    <row r="1391" spans="1:5" x14ac:dyDescent="0.25">
      <c r="A1391" s="119" t="s">
        <v>1691</v>
      </c>
      <c r="B1391" s="119" t="s">
        <v>1692</v>
      </c>
      <c r="C1391" s="119" t="s">
        <v>66</v>
      </c>
      <c r="D1391" t="s">
        <v>6759</v>
      </c>
      <c r="E1391" s="117">
        <v>77.81</v>
      </c>
    </row>
    <row r="1392" spans="1:5" x14ac:dyDescent="0.25">
      <c r="A1392" s="119" t="s">
        <v>1693</v>
      </c>
      <c r="B1392" s="119" t="s">
        <v>8960</v>
      </c>
      <c r="C1392" s="119" t="s">
        <v>66</v>
      </c>
      <c r="D1392" t="s">
        <v>6760</v>
      </c>
      <c r="E1392" s="117">
        <v>117.55</v>
      </c>
    </row>
    <row r="1393" spans="1:5" x14ac:dyDescent="0.25">
      <c r="A1393" s="119" t="s">
        <v>1694</v>
      </c>
      <c r="B1393" s="119" t="s">
        <v>8961</v>
      </c>
      <c r="C1393" s="119" t="s">
        <v>66</v>
      </c>
      <c r="D1393" t="s">
        <v>6759</v>
      </c>
      <c r="E1393" s="117">
        <v>31.5</v>
      </c>
    </row>
    <row r="1394" spans="1:5" x14ac:dyDescent="0.25">
      <c r="A1394" s="119" t="s">
        <v>1695</v>
      </c>
      <c r="B1394" s="119" t="s">
        <v>8962</v>
      </c>
      <c r="C1394" s="119" t="s">
        <v>66</v>
      </c>
      <c r="D1394" t="s">
        <v>49</v>
      </c>
      <c r="E1394" s="117">
        <v>31.5</v>
      </c>
    </row>
    <row r="1395" spans="1:5" x14ac:dyDescent="0.25">
      <c r="A1395" s="119" t="s">
        <v>1696</v>
      </c>
      <c r="B1395" s="119" t="s">
        <v>8963</v>
      </c>
      <c r="C1395" s="119" t="s">
        <v>66</v>
      </c>
      <c r="D1395" t="s">
        <v>51</v>
      </c>
      <c r="E1395" s="117">
        <v>31.5</v>
      </c>
    </row>
    <row r="1396" spans="1:5" x14ac:dyDescent="0.25">
      <c r="A1396" s="119" t="s">
        <v>1697</v>
      </c>
      <c r="B1396" s="119" t="s">
        <v>8964</v>
      </c>
      <c r="C1396" s="119" t="s">
        <v>66</v>
      </c>
      <c r="D1396" t="s">
        <v>6759</v>
      </c>
      <c r="E1396" s="117">
        <v>372</v>
      </c>
    </row>
    <row r="1397" spans="1:5" x14ac:dyDescent="0.25">
      <c r="A1397" s="119" t="s">
        <v>1698</v>
      </c>
      <c r="B1397" s="119" t="s">
        <v>1699</v>
      </c>
      <c r="C1397" s="119" t="s">
        <v>66</v>
      </c>
      <c r="D1397" t="s">
        <v>6760</v>
      </c>
      <c r="E1397" s="117">
        <v>226.49</v>
      </c>
    </row>
    <row r="1398" spans="1:5" x14ac:dyDescent="0.25">
      <c r="A1398" s="119" t="s">
        <v>1700</v>
      </c>
      <c r="B1398" s="119" t="s">
        <v>1701</v>
      </c>
      <c r="C1398" s="119" t="s">
        <v>66</v>
      </c>
      <c r="D1398" t="s">
        <v>6760</v>
      </c>
      <c r="E1398" s="117">
        <v>181.02</v>
      </c>
    </row>
    <row r="1399" spans="1:5" x14ac:dyDescent="0.25">
      <c r="A1399" s="119" t="s">
        <v>1702</v>
      </c>
      <c r="B1399" s="119" t="s">
        <v>8965</v>
      </c>
      <c r="C1399" s="119" t="s">
        <v>66</v>
      </c>
      <c r="D1399" t="s">
        <v>45</v>
      </c>
      <c r="E1399" s="117">
        <v>121.4</v>
      </c>
    </row>
    <row r="1400" spans="1:5" x14ac:dyDescent="0.25">
      <c r="A1400" s="119" t="s">
        <v>1703</v>
      </c>
      <c r="B1400" s="119" t="s">
        <v>8966</v>
      </c>
      <c r="C1400" s="119" t="s">
        <v>66</v>
      </c>
      <c r="D1400" t="s">
        <v>6759</v>
      </c>
      <c r="E1400" s="117">
        <v>104.06</v>
      </c>
    </row>
    <row r="1401" spans="1:5" x14ac:dyDescent="0.25">
      <c r="A1401" s="119" t="s">
        <v>1704</v>
      </c>
      <c r="B1401" s="119" t="s">
        <v>1705</v>
      </c>
      <c r="C1401" s="119" t="s">
        <v>66</v>
      </c>
      <c r="D1401" t="s">
        <v>6759</v>
      </c>
      <c r="E1401" s="117">
        <v>284.55</v>
      </c>
    </row>
    <row r="1402" spans="1:5" x14ac:dyDescent="0.25">
      <c r="A1402" s="119" t="s">
        <v>1706</v>
      </c>
      <c r="B1402" s="119" t="s">
        <v>1707</v>
      </c>
      <c r="C1402" s="119" t="s">
        <v>66</v>
      </c>
      <c r="D1402" t="s">
        <v>6759</v>
      </c>
      <c r="E1402" s="117">
        <v>10.5</v>
      </c>
    </row>
    <row r="1403" spans="1:5" x14ac:dyDescent="0.25">
      <c r="A1403" s="119" t="s">
        <v>1708</v>
      </c>
      <c r="B1403" s="119" t="s">
        <v>1709</v>
      </c>
      <c r="C1403" s="119" t="s">
        <v>66</v>
      </c>
      <c r="D1403" t="s">
        <v>49</v>
      </c>
      <c r="E1403" s="117">
        <v>18.899999999999999</v>
      </c>
    </row>
    <row r="1404" spans="1:5" x14ac:dyDescent="0.25">
      <c r="A1404" s="119" t="s">
        <v>1710</v>
      </c>
      <c r="B1404" s="119" t="s">
        <v>1711</v>
      </c>
      <c r="C1404" s="119" t="s">
        <v>66</v>
      </c>
      <c r="D1404" t="s">
        <v>6759</v>
      </c>
      <c r="E1404" s="117">
        <v>355.62</v>
      </c>
    </row>
    <row r="1405" spans="1:5" x14ac:dyDescent="0.25">
      <c r="A1405" s="119" t="s">
        <v>1712</v>
      </c>
      <c r="B1405" s="119" t="s">
        <v>8967</v>
      </c>
      <c r="C1405" s="119" t="s">
        <v>66</v>
      </c>
      <c r="D1405" t="s">
        <v>6759</v>
      </c>
      <c r="E1405" s="117">
        <v>266.81</v>
      </c>
    </row>
    <row r="1406" spans="1:5" x14ac:dyDescent="0.25">
      <c r="A1406" s="119" t="s">
        <v>1713</v>
      </c>
      <c r="B1406" s="119" t="s">
        <v>8968</v>
      </c>
      <c r="C1406" s="119" t="s">
        <v>66</v>
      </c>
      <c r="D1406" t="s">
        <v>6759</v>
      </c>
      <c r="E1406" s="117">
        <v>162.38999999999999</v>
      </c>
    </row>
    <row r="1407" spans="1:5" x14ac:dyDescent="0.25">
      <c r="A1407" s="119" t="s">
        <v>1714</v>
      </c>
      <c r="B1407" s="119" t="s">
        <v>8969</v>
      </c>
      <c r="C1407" s="119" t="s">
        <v>66</v>
      </c>
      <c r="D1407" t="s">
        <v>6759</v>
      </c>
      <c r="E1407" s="117">
        <v>83.69</v>
      </c>
    </row>
    <row r="1408" spans="1:5" x14ac:dyDescent="0.25">
      <c r="A1408" s="119" t="s">
        <v>1715</v>
      </c>
      <c r="B1408" s="119" t="s">
        <v>8970</v>
      </c>
      <c r="C1408" s="119" t="s">
        <v>66</v>
      </c>
      <c r="D1408" t="s">
        <v>49</v>
      </c>
      <c r="E1408" s="117">
        <v>94.29</v>
      </c>
    </row>
    <row r="1409" spans="1:5" x14ac:dyDescent="0.25">
      <c r="A1409" s="119" t="s">
        <v>1716</v>
      </c>
      <c r="B1409" s="119" t="s">
        <v>8971</v>
      </c>
      <c r="C1409" s="119" t="s">
        <v>66</v>
      </c>
      <c r="D1409" t="s">
        <v>49</v>
      </c>
      <c r="E1409" s="117">
        <v>74.66</v>
      </c>
    </row>
    <row r="1410" spans="1:5" x14ac:dyDescent="0.25">
      <c r="A1410" s="119" t="s">
        <v>1717</v>
      </c>
      <c r="B1410" s="119" t="s">
        <v>8972</v>
      </c>
      <c r="C1410" s="119" t="s">
        <v>66</v>
      </c>
      <c r="D1410" t="s">
        <v>6759</v>
      </c>
      <c r="E1410" s="117">
        <v>89.57</v>
      </c>
    </row>
    <row r="1411" spans="1:5" x14ac:dyDescent="0.25">
      <c r="A1411" s="119" t="s">
        <v>1718</v>
      </c>
      <c r="B1411" s="119" t="s">
        <v>8973</v>
      </c>
      <c r="C1411" s="119" t="s">
        <v>66</v>
      </c>
      <c r="D1411" t="s">
        <v>6759</v>
      </c>
      <c r="E1411" s="117">
        <v>83.9</v>
      </c>
    </row>
    <row r="1412" spans="1:5" x14ac:dyDescent="0.25">
      <c r="A1412" s="119" t="s">
        <v>1719</v>
      </c>
      <c r="B1412" s="119" t="s">
        <v>8974</v>
      </c>
      <c r="C1412" s="119" t="s">
        <v>66</v>
      </c>
      <c r="D1412" t="s">
        <v>6759</v>
      </c>
      <c r="E1412" s="117">
        <v>88.94</v>
      </c>
    </row>
    <row r="1413" spans="1:5" x14ac:dyDescent="0.25">
      <c r="A1413" s="119" t="s">
        <v>1720</v>
      </c>
      <c r="B1413" s="119" t="s">
        <v>8975</v>
      </c>
      <c r="C1413" s="119" t="s">
        <v>66</v>
      </c>
      <c r="D1413" t="s">
        <v>49</v>
      </c>
      <c r="E1413" s="117">
        <v>78.540000000000006</v>
      </c>
    </row>
    <row r="1414" spans="1:5" x14ac:dyDescent="0.25">
      <c r="A1414" s="119" t="s">
        <v>1721</v>
      </c>
      <c r="B1414" s="119" t="s">
        <v>1722</v>
      </c>
      <c r="C1414" s="119" t="s">
        <v>66</v>
      </c>
      <c r="D1414" t="s">
        <v>6759</v>
      </c>
      <c r="E1414" s="117">
        <v>452.34</v>
      </c>
    </row>
    <row r="1415" spans="1:5" x14ac:dyDescent="0.25">
      <c r="A1415" s="119" t="s">
        <v>1723</v>
      </c>
      <c r="B1415" s="119" t="s">
        <v>1724</v>
      </c>
      <c r="C1415" s="119" t="s">
        <v>66</v>
      </c>
      <c r="D1415" t="s">
        <v>45</v>
      </c>
      <c r="E1415" s="117">
        <v>0</v>
      </c>
    </row>
    <row r="1416" spans="1:5" x14ac:dyDescent="0.25">
      <c r="A1416" s="119" t="s">
        <v>1725</v>
      </c>
      <c r="B1416" s="119" t="s">
        <v>8976</v>
      </c>
      <c r="C1416" s="119" t="s">
        <v>66</v>
      </c>
      <c r="D1416" t="s">
        <v>6759</v>
      </c>
      <c r="E1416" s="117">
        <v>162.38999999999999</v>
      </c>
    </row>
    <row r="1417" spans="1:5" x14ac:dyDescent="0.25">
      <c r="A1417" s="119" t="s">
        <v>1726</v>
      </c>
      <c r="B1417" s="119" t="s">
        <v>8977</v>
      </c>
      <c r="C1417" s="119" t="s">
        <v>66</v>
      </c>
      <c r="D1417" t="s">
        <v>6759</v>
      </c>
      <c r="E1417" s="117">
        <v>62.08</v>
      </c>
    </row>
    <row r="1418" spans="1:5" x14ac:dyDescent="0.25">
      <c r="A1418" s="119" t="s">
        <v>1727</v>
      </c>
      <c r="B1418" s="119" t="s">
        <v>8978</v>
      </c>
      <c r="C1418" s="119" t="s">
        <v>66</v>
      </c>
      <c r="D1418" t="s">
        <v>6759</v>
      </c>
      <c r="E1418" s="117">
        <v>935.55</v>
      </c>
    </row>
    <row r="1419" spans="1:5" x14ac:dyDescent="0.25">
      <c r="A1419" s="119" t="s">
        <v>1728</v>
      </c>
      <c r="B1419" s="119" t="s">
        <v>8979</v>
      </c>
      <c r="C1419" s="119" t="s">
        <v>66</v>
      </c>
      <c r="D1419" t="s">
        <v>6759</v>
      </c>
      <c r="E1419" s="117">
        <v>60</v>
      </c>
    </row>
    <row r="1420" spans="1:5" x14ac:dyDescent="0.25">
      <c r="A1420" s="119" t="s">
        <v>1729</v>
      </c>
      <c r="B1420" s="119" t="s">
        <v>8980</v>
      </c>
      <c r="C1420" s="119" t="s">
        <v>66</v>
      </c>
      <c r="D1420" t="s">
        <v>45</v>
      </c>
      <c r="E1420" s="117">
        <v>56.63</v>
      </c>
    </row>
    <row r="1421" spans="1:5" x14ac:dyDescent="0.25">
      <c r="A1421" s="119" t="s">
        <v>1730</v>
      </c>
      <c r="B1421" s="119" t="s">
        <v>8981</v>
      </c>
      <c r="C1421" s="119" t="s">
        <v>66</v>
      </c>
      <c r="D1421" t="s">
        <v>45</v>
      </c>
      <c r="E1421" s="117">
        <v>54.58</v>
      </c>
    </row>
    <row r="1422" spans="1:5" x14ac:dyDescent="0.25">
      <c r="A1422" s="119" t="s">
        <v>1731</v>
      </c>
      <c r="B1422" s="119" t="s">
        <v>1732</v>
      </c>
      <c r="C1422" s="119" t="s">
        <v>66</v>
      </c>
      <c r="D1422" t="s">
        <v>45</v>
      </c>
      <c r="E1422" s="117">
        <v>42.47</v>
      </c>
    </row>
    <row r="1423" spans="1:5" x14ac:dyDescent="0.25">
      <c r="A1423" s="119" t="s">
        <v>1733</v>
      </c>
      <c r="B1423" s="119" t="s">
        <v>284</v>
      </c>
      <c r="C1423" s="119" t="s">
        <v>66</v>
      </c>
      <c r="D1423" t="s">
        <v>6759</v>
      </c>
      <c r="E1423" s="117">
        <v>16.8</v>
      </c>
    </row>
    <row r="1424" spans="1:5" x14ac:dyDescent="0.25">
      <c r="A1424" s="119" t="s">
        <v>1734</v>
      </c>
      <c r="B1424" s="119" t="s">
        <v>7410</v>
      </c>
      <c r="C1424" s="119" t="s">
        <v>66</v>
      </c>
      <c r="D1424" t="s">
        <v>6760</v>
      </c>
      <c r="E1424" s="117">
        <v>233.74</v>
      </c>
    </row>
    <row r="1425" spans="1:5" x14ac:dyDescent="0.25">
      <c r="A1425" s="119" t="s">
        <v>1735</v>
      </c>
      <c r="B1425" s="119" t="s">
        <v>8982</v>
      </c>
      <c r="C1425" s="119" t="s">
        <v>66</v>
      </c>
      <c r="D1425" t="s">
        <v>45</v>
      </c>
      <c r="E1425" s="117">
        <v>280</v>
      </c>
    </row>
    <row r="1426" spans="1:5" x14ac:dyDescent="0.25">
      <c r="A1426" s="119" t="s">
        <v>1736</v>
      </c>
      <c r="B1426" s="119" t="s">
        <v>8983</v>
      </c>
      <c r="C1426" s="119" t="s">
        <v>66</v>
      </c>
      <c r="D1426" t="s">
        <v>45</v>
      </c>
      <c r="E1426" s="117">
        <v>457.28</v>
      </c>
    </row>
    <row r="1427" spans="1:5" x14ac:dyDescent="0.25">
      <c r="A1427" s="119" t="s">
        <v>1737</v>
      </c>
      <c r="B1427" s="119" t="s">
        <v>7411</v>
      </c>
      <c r="C1427" s="119" t="s">
        <v>66</v>
      </c>
      <c r="D1427" t="s">
        <v>51</v>
      </c>
      <c r="E1427" s="117">
        <v>41.69</v>
      </c>
    </row>
    <row r="1428" spans="1:5" x14ac:dyDescent="0.25">
      <c r="A1428" s="119" t="s">
        <v>1738</v>
      </c>
      <c r="B1428" s="119" t="s">
        <v>8984</v>
      </c>
      <c r="C1428" s="119" t="s">
        <v>66</v>
      </c>
      <c r="D1428" t="s">
        <v>6759</v>
      </c>
      <c r="E1428" s="117">
        <v>153.62</v>
      </c>
    </row>
    <row r="1429" spans="1:5" x14ac:dyDescent="0.25">
      <c r="A1429" s="119" t="s">
        <v>1739</v>
      </c>
      <c r="B1429" s="119" t="s">
        <v>8985</v>
      </c>
      <c r="C1429" s="119" t="s">
        <v>66</v>
      </c>
      <c r="D1429" t="s">
        <v>6759</v>
      </c>
      <c r="E1429" s="117">
        <v>191.31</v>
      </c>
    </row>
    <row r="1430" spans="1:5" x14ac:dyDescent="0.25">
      <c r="A1430" s="119" t="s">
        <v>1740</v>
      </c>
      <c r="B1430" s="119" t="s">
        <v>1741</v>
      </c>
      <c r="C1430" s="119" t="s">
        <v>66</v>
      </c>
      <c r="D1430" t="s">
        <v>6759</v>
      </c>
      <c r="E1430" s="117">
        <v>985.32</v>
      </c>
    </row>
    <row r="1431" spans="1:5" x14ac:dyDescent="0.25">
      <c r="A1431" s="119" t="s">
        <v>1742</v>
      </c>
      <c r="B1431" s="119" t="s">
        <v>1743</v>
      </c>
      <c r="C1431" s="119" t="s">
        <v>66</v>
      </c>
      <c r="D1431" t="s">
        <v>6759</v>
      </c>
      <c r="E1431" s="117">
        <v>1159.73</v>
      </c>
    </row>
    <row r="1432" spans="1:5" x14ac:dyDescent="0.25">
      <c r="A1432" s="119" t="s">
        <v>1744</v>
      </c>
      <c r="B1432" s="119" t="s">
        <v>1745</v>
      </c>
      <c r="C1432" s="119" t="s">
        <v>66</v>
      </c>
      <c r="D1432" t="s">
        <v>6759</v>
      </c>
      <c r="E1432" s="117">
        <v>1273.23</v>
      </c>
    </row>
    <row r="1433" spans="1:5" x14ac:dyDescent="0.25">
      <c r="A1433" s="119" t="s">
        <v>1746</v>
      </c>
      <c r="B1433" s="119" t="s">
        <v>1747</v>
      </c>
      <c r="C1433" s="119" t="s">
        <v>66</v>
      </c>
      <c r="D1433" t="s">
        <v>6759</v>
      </c>
      <c r="E1433" s="117">
        <v>94.4</v>
      </c>
    </row>
    <row r="1434" spans="1:5" x14ac:dyDescent="0.25">
      <c r="A1434" s="119" t="s">
        <v>1748</v>
      </c>
      <c r="B1434" s="119" t="s">
        <v>1749</v>
      </c>
      <c r="C1434" s="119" t="s">
        <v>66</v>
      </c>
      <c r="D1434" t="s">
        <v>6759</v>
      </c>
      <c r="E1434" s="117">
        <v>138.71</v>
      </c>
    </row>
    <row r="1435" spans="1:5" x14ac:dyDescent="0.25">
      <c r="A1435" s="119" t="s">
        <v>1750</v>
      </c>
      <c r="B1435" s="119" t="s">
        <v>8986</v>
      </c>
      <c r="C1435" s="119" t="s">
        <v>66</v>
      </c>
      <c r="D1435" t="s">
        <v>45</v>
      </c>
      <c r="E1435" s="117">
        <v>74.760000000000005</v>
      </c>
    </row>
    <row r="1436" spans="1:5" x14ac:dyDescent="0.25">
      <c r="A1436" s="119" t="s">
        <v>1751</v>
      </c>
      <c r="B1436" s="119" t="s">
        <v>8987</v>
      </c>
      <c r="C1436" s="119" t="s">
        <v>66</v>
      </c>
      <c r="D1436" t="s">
        <v>49</v>
      </c>
      <c r="E1436" s="117">
        <v>73.19</v>
      </c>
    </row>
    <row r="1437" spans="1:5" x14ac:dyDescent="0.25">
      <c r="A1437" s="119" t="s">
        <v>1752</v>
      </c>
      <c r="B1437" s="119" t="s">
        <v>8988</v>
      </c>
      <c r="C1437" s="119" t="s">
        <v>66</v>
      </c>
      <c r="D1437" t="s">
        <v>45</v>
      </c>
      <c r="E1437" s="117">
        <v>0</v>
      </c>
    </row>
    <row r="1438" spans="1:5" x14ac:dyDescent="0.25">
      <c r="A1438" s="119" t="s">
        <v>1753</v>
      </c>
      <c r="B1438" s="119" t="s">
        <v>8989</v>
      </c>
      <c r="C1438" s="119" t="s">
        <v>66</v>
      </c>
      <c r="D1438" t="s">
        <v>51</v>
      </c>
      <c r="E1438" s="117">
        <v>84.74</v>
      </c>
    </row>
    <row r="1439" spans="1:5" x14ac:dyDescent="0.25">
      <c r="A1439" s="119" t="s">
        <v>1754</v>
      </c>
      <c r="B1439" s="119" t="s">
        <v>8990</v>
      </c>
      <c r="C1439" s="119" t="s">
        <v>66</v>
      </c>
      <c r="D1439" t="s">
        <v>51</v>
      </c>
      <c r="E1439" s="117">
        <v>78.650000000000006</v>
      </c>
    </row>
    <row r="1440" spans="1:5" x14ac:dyDescent="0.25">
      <c r="A1440" s="119" t="s">
        <v>1755</v>
      </c>
      <c r="B1440" s="119" t="s">
        <v>8991</v>
      </c>
      <c r="C1440" s="119" t="s">
        <v>66</v>
      </c>
      <c r="D1440" t="s">
        <v>51</v>
      </c>
      <c r="E1440" s="117">
        <v>78.650000000000006</v>
      </c>
    </row>
    <row r="1441" spans="1:5" x14ac:dyDescent="0.25">
      <c r="A1441" s="119" t="s">
        <v>1756</v>
      </c>
      <c r="B1441" s="119" t="s">
        <v>8992</v>
      </c>
      <c r="C1441" s="119" t="s">
        <v>66</v>
      </c>
      <c r="D1441" t="s">
        <v>45</v>
      </c>
      <c r="E1441" s="117">
        <v>0</v>
      </c>
    </row>
    <row r="1442" spans="1:5" x14ac:dyDescent="0.25">
      <c r="A1442" s="119" t="s">
        <v>1757</v>
      </c>
      <c r="B1442" s="119" t="s">
        <v>8993</v>
      </c>
      <c r="C1442" s="119" t="s">
        <v>66</v>
      </c>
      <c r="D1442" t="s">
        <v>45</v>
      </c>
      <c r="E1442" s="117">
        <v>0</v>
      </c>
    </row>
    <row r="1443" spans="1:5" x14ac:dyDescent="0.25">
      <c r="A1443" s="119" t="s">
        <v>1758</v>
      </c>
      <c r="B1443" s="119" t="s">
        <v>8994</v>
      </c>
      <c r="C1443" s="119" t="s">
        <v>66</v>
      </c>
      <c r="D1443" t="s">
        <v>51</v>
      </c>
      <c r="E1443" s="117">
        <v>5.9</v>
      </c>
    </row>
    <row r="1444" spans="1:5" x14ac:dyDescent="0.25">
      <c r="A1444" s="119" t="s">
        <v>1759</v>
      </c>
      <c r="B1444" s="119" t="s">
        <v>8995</v>
      </c>
      <c r="C1444" s="119" t="s">
        <v>66</v>
      </c>
      <c r="D1444" t="s">
        <v>45</v>
      </c>
      <c r="E1444" s="117">
        <v>0</v>
      </c>
    </row>
    <row r="1445" spans="1:5" x14ac:dyDescent="0.25">
      <c r="A1445" s="119" t="s">
        <v>1760</v>
      </c>
      <c r="B1445" s="119" t="s">
        <v>8996</v>
      </c>
      <c r="C1445" s="119" t="s">
        <v>66</v>
      </c>
      <c r="D1445" t="s">
        <v>45</v>
      </c>
      <c r="E1445" s="117">
        <v>0</v>
      </c>
    </row>
    <row r="1446" spans="1:5" x14ac:dyDescent="0.25">
      <c r="A1446" s="119" t="s">
        <v>1761</v>
      </c>
      <c r="B1446" s="119" t="s">
        <v>8997</v>
      </c>
      <c r="C1446" s="119" t="s">
        <v>66</v>
      </c>
      <c r="D1446" t="s">
        <v>6759</v>
      </c>
      <c r="E1446" s="117">
        <v>247.8</v>
      </c>
    </row>
    <row r="1447" spans="1:5" x14ac:dyDescent="0.25">
      <c r="A1447" s="119" t="s">
        <v>1762</v>
      </c>
      <c r="B1447" s="119" t="s">
        <v>8998</v>
      </c>
      <c r="C1447" s="119" t="s">
        <v>66</v>
      </c>
      <c r="D1447" t="s">
        <v>6759</v>
      </c>
      <c r="E1447" s="117">
        <v>312.69</v>
      </c>
    </row>
    <row r="1448" spans="1:5" x14ac:dyDescent="0.25">
      <c r="A1448" s="119" t="s">
        <v>1763</v>
      </c>
      <c r="B1448" s="119" t="s">
        <v>1764</v>
      </c>
      <c r="C1448" s="119" t="s">
        <v>66</v>
      </c>
      <c r="D1448" t="s">
        <v>45</v>
      </c>
      <c r="E1448" s="117">
        <v>330.33</v>
      </c>
    </row>
    <row r="1449" spans="1:5" x14ac:dyDescent="0.25">
      <c r="A1449" s="119" t="s">
        <v>1765</v>
      </c>
      <c r="B1449" s="119" t="s">
        <v>1766</v>
      </c>
      <c r="C1449" s="119" t="s">
        <v>66</v>
      </c>
      <c r="D1449" t="s">
        <v>49</v>
      </c>
      <c r="E1449" s="117">
        <v>184.8</v>
      </c>
    </row>
    <row r="1450" spans="1:5" x14ac:dyDescent="0.25">
      <c r="A1450" s="119" t="s">
        <v>1767</v>
      </c>
      <c r="B1450" s="119" t="s">
        <v>8999</v>
      </c>
      <c r="C1450" s="119" t="s">
        <v>66</v>
      </c>
      <c r="D1450" t="s">
        <v>6759</v>
      </c>
      <c r="E1450" s="117">
        <v>134.82</v>
      </c>
    </row>
    <row r="1451" spans="1:5" x14ac:dyDescent="0.25">
      <c r="A1451" s="119" t="s">
        <v>1768</v>
      </c>
      <c r="B1451" s="119" t="s">
        <v>9000</v>
      </c>
      <c r="C1451" s="119" t="s">
        <v>66</v>
      </c>
      <c r="D1451" t="s">
        <v>45</v>
      </c>
      <c r="E1451" s="117">
        <v>0</v>
      </c>
    </row>
    <row r="1452" spans="1:5" x14ac:dyDescent="0.25">
      <c r="A1452" s="119" t="s">
        <v>1769</v>
      </c>
      <c r="B1452" s="119" t="s">
        <v>9001</v>
      </c>
      <c r="C1452" s="119" t="s">
        <v>66</v>
      </c>
      <c r="D1452" t="s">
        <v>45</v>
      </c>
      <c r="E1452" s="117">
        <v>272.16000000000003</v>
      </c>
    </row>
    <row r="1453" spans="1:5" x14ac:dyDescent="0.25">
      <c r="A1453" s="119" t="s">
        <v>1770</v>
      </c>
      <c r="B1453" s="119" t="s">
        <v>9002</v>
      </c>
      <c r="C1453" s="119" t="s">
        <v>66</v>
      </c>
      <c r="D1453" t="s">
        <v>6759</v>
      </c>
      <c r="E1453" s="117">
        <v>309.33</v>
      </c>
    </row>
    <row r="1454" spans="1:5" x14ac:dyDescent="0.25">
      <c r="A1454" s="119" t="s">
        <v>1771</v>
      </c>
      <c r="B1454" s="119" t="s">
        <v>9003</v>
      </c>
      <c r="C1454" s="119" t="s">
        <v>66</v>
      </c>
      <c r="D1454" t="s">
        <v>45</v>
      </c>
      <c r="E1454" s="117">
        <v>346.61</v>
      </c>
    </row>
    <row r="1455" spans="1:5" x14ac:dyDescent="0.25">
      <c r="A1455" s="119" t="s">
        <v>1772</v>
      </c>
      <c r="B1455" s="119" t="s">
        <v>9004</v>
      </c>
      <c r="C1455" s="119" t="s">
        <v>66</v>
      </c>
      <c r="D1455" t="s">
        <v>6759</v>
      </c>
      <c r="E1455" s="117">
        <v>382.83</v>
      </c>
    </row>
    <row r="1456" spans="1:5" x14ac:dyDescent="0.25">
      <c r="A1456" s="119" t="s">
        <v>1773</v>
      </c>
      <c r="B1456" s="119" t="s">
        <v>9005</v>
      </c>
      <c r="C1456" s="119" t="s">
        <v>66</v>
      </c>
      <c r="D1456" t="s">
        <v>6759</v>
      </c>
      <c r="E1456" s="117">
        <v>412.97</v>
      </c>
    </row>
    <row r="1457" spans="1:5" x14ac:dyDescent="0.25">
      <c r="A1457" s="119" t="s">
        <v>1774</v>
      </c>
      <c r="B1457" s="119" t="s">
        <v>1775</v>
      </c>
      <c r="C1457" s="119" t="s">
        <v>66</v>
      </c>
      <c r="D1457" t="s">
        <v>6759</v>
      </c>
      <c r="E1457" s="117">
        <v>401.1</v>
      </c>
    </row>
    <row r="1458" spans="1:5" x14ac:dyDescent="0.25">
      <c r="A1458" s="119" t="s">
        <v>1776</v>
      </c>
      <c r="B1458" s="119" t="s">
        <v>9006</v>
      </c>
      <c r="C1458" s="119" t="s">
        <v>66</v>
      </c>
      <c r="D1458" t="s">
        <v>45</v>
      </c>
      <c r="E1458" s="117">
        <v>136.5</v>
      </c>
    </row>
    <row r="1459" spans="1:5" x14ac:dyDescent="0.25">
      <c r="A1459" s="119" t="s">
        <v>1777</v>
      </c>
      <c r="B1459" s="119" t="s">
        <v>9007</v>
      </c>
      <c r="C1459" s="119" t="s">
        <v>66</v>
      </c>
      <c r="D1459" t="s">
        <v>45</v>
      </c>
      <c r="E1459" s="117">
        <v>247.28</v>
      </c>
    </row>
    <row r="1460" spans="1:5" x14ac:dyDescent="0.25">
      <c r="A1460" s="119" t="s">
        <v>1778</v>
      </c>
      <c r="B1460" s="119" t="s">
        <v>9008</v>
      </c>
      <c r="C1460" s="119" t="s">
        <v>66</v>
      </c>
      <c r="D1460" t="s">
        <v>45</v>
      </c>
      <c r="E1460" s="117">
        <v>4.24</v>
      </c>
    </row>
    <row r="1461" spans="1:5" x14ac:dyDescent="0.25">
      <c r="A1461" s="119" t="s">
        <v>1779</v>
      </c>
      <c r="B1461" s="119" t="s">
        <v>9009</v>
      </c>
      <c r="C1461" s="119" t="s">
        <v>66</v>
      </c>
      <c r="D1461" t="s">
        <v>45</v>
      </c>
      <c r="E1461" s="117">
        <v>0</v>
      </c>
    </row>
    <row r="1462" spans="1:5" x14ac:dyDescent="0.25">
      <c r="A1462" s="119" t="s">
        <v>1780</v>
      </c>
      <c r="B1462" s="119" t="s">
        <v>9010</v>
      </c>
      <c r="C1462" s="119" t="s">
        <v>66</v>
      </c>
      <c r="D1462" t="s">
        <v>45</v>
      </c>
      <c r="E1462" s="117">
        <v>11.8</v>
      </c>
    </row>
    <row r="1463" spans="1:5" x14ac:dyDescent="0.25">
      <c r="A1463" s="119" t="s">
        <v>1781</v>
      </c>
      <c r="B1463" s="119" t="s">
        <v>9011</v>
      </c>
      <c r="C1463" s="119" t="s">
        <v>66</v>
      </c>
      <c r="D1463" t="s">
        <v>51</v>
      </c>
      <c r="E1463" s="117">
        <v>236.15</v>
      </c>
    </row>
    <row r="1464" spans="1:5" x14ac:dyDescent="0.25">
      <c r="A1464" s="119" t="s">
        <v>1782</v>
      </c>
      <c r="B1464" s="119" t="s">
        <v>9012</v>
      </c>
      <c r="C1464" s="119" t="s">
        <v>66</v>
      </c>
      <c r="D1464" t="s">
        <v>49</v>
      </c>
      <c r="E1464" s="117">
        <v>435.75</v>
      </c>
    </row>
    <row r="1465" spans="1:5" x14ac:dyDescent="0.25">
      <c r="A1465" s="119" t="s">
        <v>1783</v>
      </c>
      <c r="B1465" s="119" t="s">
        <v>9013</v>
      </c>
      <c r="C1465" s="119" t="s">
        <v>66</v>
      </c>
      <c r="D1465" t="s">
        <v>45</v>
      </c>
      <c r="E1465" s="117">
        <v>260.19</v>
      </c>
    </row>
    <row r="1466" spans="1:5" x14ac:dyDescent="0.25">
      <c r="A1466" s="119" t="s">
        <v>1784</v>
      </c>
      <c r="B1466" s="119" t="s">
        <v>8984</v>
      </c>
      <c r="C1466" s="119" t="s">
        <v>66</v>
      </c>
      <c r="D1466" t="s">
        <v>51</v>
      </c>
      <c r="E1466" s="117">
        <v>153.62</v>
      </c>
    </row>
    <row r="1467" spans="1:5" x14ac:dyDescent="0.25">
      <c r="A1467" s="119" t="s">
        <v>1785</v>
      </c>
      <c r="B1467" s="119" t="s">
        <v>9014</v>
      </c>
      <c r="C1467" s="119" t="s">
        <v>66</v>
      </c>
      <c r="D1467" t="s">
        <v>51</v>
      </c>
      <c r="E1467" s="117">
        <v>79.790000000000006</v>
      </c>
    </row>
    <row r="1468" spans="1:5" x14ac:dyDescent="0.25">
      <c r="A1468" s="119" t="s">
        <v>1786</v>
      </c>
      <c r="B1468" s="119" t="s">
        <v>9015</v>
      </c>
      <c r="C1468" s="119" t="s">
        <v>66</v>
      </c>
      <c r="D1468" t="s">
        <v>51</v>
      </c>
      <c r="E1468" s="117">
        <v>61.64</v>
      </c>
    </row>
    <row r="1469" spans="1:5" x14ac:dyDescent="0.25">
      <c r="A1469" s="119" t="s">
        <v>1787</v>
      </c>
      <c r="B1469" s="119" t="s">
        <v>9016</v>
      </c>
      <c r="C1469" s="119" t="s">
        <v>66</v>
      </c>
      <c r="D1469" t="s">
        <v>49</v>
      </c>
      <c r="E1469" s="117">
        <v>117.08</v>
      </c>
    </row>
    <row r="1470" spans="1:5" x14ac:dyDescent="0.25">
      <c r="A1470" s="119" t="s">
        <v>1788</v>
      </c>
      <c r="B1470" s="119" t="s">
        <v>1789</v>
      </c>
      <c r="C1470" s="119" t="s">
        <v>66</v>
      </c>
      <c r="D1470" t="s">
        <v>6759</v>
      </c>
      <c r="E1470" s="117">
        <v>818.48</v>
      </c>
    </row>
    <row r="1471" spans="1:5" x14ac:dyDescent="0.25">
      <c r="A1471" s="119" t="s">
        <v>1790</v>
      </c>
      <c r="B1471" s="119" t="s">
        <v>1791</v>
      </c>
      <c r="C1471" s="119" t="s">
        <v>66</v>
      </c>
      <c r="D1471" t="s">
        <v>6759</v>
      </c>
      <c r="E1471" s="117">
        <v>848.82</v>
      </c>
    </row>
    <row r="1472" spans="1:5" x14ac:dyDescent="0.25">
      <c r="A1472" s="119" t="s">
        <v>1792</v>
      </c>
      <c r="B1472" s="119" t="s">
        <v>1793</v>
      </c>
      <c r="C1472" s="119" t="s">
        <v>66</v>
      </c>
      <c r="D1472" t="s">
        <v>6759</v>
      </c>
      <c r="E1472" s="117">
        <v>894.29</v>
      </c>
    </row>
    <row r="1473" spans="1:5" x14ac:dyDescent="0.25">
      <c r="A1473" s="119" t="s">
        <v>1794</v>
      </c>
      <c r="B1473" s="119" t="s">
        <v>1795</v>
      </c>
      <c r="C1473" s="119" t="s">
        <v>66</v>
      </c>
      <c r="D1473" t="s">
        <v>6759</v>
      </c>
      <c r="E1473" s="117">
        <v>932.4</v>
      </c>
    </row>
    <row r="1474" spans="1:5" x14ac:dyDescent="0.25">
      <c r="A1474" s="119" t="s">
        <v>1796</v>
      </c>
      <c r="B1474" s="119" t="s">
        <v>1797</v>
      </c>
      <c r="C1474" s="119" t="s">
        <v>66</v>
      </c>
      <c r="D1474" t="s">
        <v>6759</v>
      </c>
      <c r="E1474" s="117">
        <v>954.87</v>
      </c>
    </row>
    <row r="1475" spans="1:5" x14ac:dyDescent="0.25">
      <c r="A1475" s="119" t="s">
        <v>1798</v>
      </c>
      <c r="B1475" s="119" t="s">
        <v>1799</v>
      </c>
      <c r="C1475" s="119" t="s">
        <v>66</v>
      </c>
      <c r="D1475" t="s">
        <v>6759</v>
      </c>
      <c r="E1475" s="117">
        <v>1045.9100000000001</v>
      </c>
    </row>
    <row r="1476" spans="1:5" x14ac:dyDescent="0.25">
      <c r="A1476" s="119" t="s">
        <v>1800</v>
      </c>
      <c r="B1476" s="119" t="s">
        <v>9017</v>
      </c>
      <c r="C1476" s="119" t="s">
        <v>66</v>
      </c>
      <c r="D1476" t="s">
        <v>51</v>
      </c>
      <c r="E1476" s="117">
        <v>16.75</v>
      </c>
    </row>
    <row r="1477" spans="1:5" x14ac:dyDescent="0.25">
      <c r="A1477" s="119" t="s">
        <v>1801</v>
      </c>
      <c r="B1477" s="119" t="s">
        <v>9018</v>
      </c>
      <c r="C1477" s="119" t="s">
        <v>66</v>
      </c>
      <c r="D1477" t="s">
        <v>51</v>
      </c>
      <c r="E1477" s="117">
        <v>4.71</v>
      </c>
    </row>
    <row r="1478" spans="1:5" x14ac:dyDescent="0.25">
      <c r="A1478" s="119" t="s">
        <v>1802</v>
      </c>
      <c r="B1478" s="119" t="s">
        <v>9019</v>
      </c>
      <c r="C1478" s="119" t="s">
        <v>66</v>
      </c>
      <c r="D1478" t="s">
        <v>45</v>
      </c>
      <c r="E1478" s="117">
        <v>5.89</v>
      </c>
    </row>
    <row r="1479" spans="1:5" x14ac:dyDescent="0.25">
      <c r="A1479" s="119" t="s">
        <v>1803</v>
      </c>
      <c r="B1479" s="119" t="s">
        <v>9020</v>
      </c>
      <c r="C1479" s="119" t="s">
        <v>66</v>
      </c>
      <c r="D1479" t="s">
        <v>6759</v>
      </c>
      <c r="E1479" s="117">
        <v>8.85</v>
      </c>
    </row>
    <row r="1480" spans="1:5" x14ac:dyDescent="0.25">
      <c r="A1480" s="119" t="s">
        <v>1804</v>
      </c>
      <c r="B1480" s="119" t="s">
        <v>9021</v>
      </c>
      <c r="C1480" s="119" t="s">
        <v>66</v>
      </c>
      <c r="D1480" t="s">
        <v>51</v>
      </c>
      <c r="E1480" s="117">
        <v>10.68</v>
      </c>
    </row>
    <row r="1481" spans="1:5" x14ac:dyDescent="0.25">
      <c r="A1481" s="119" t="s">
        <v>1805</v>
      </c>
      <c r="B1481" s="119" t="s">
        <v>9022</v>
      </c>
      <c r="C1481" s="119" t="s">
        <v>66</v>
      </c>
      <c r="D1481" t="s">
        <v>51</v>
      </c>
      <c r="E1481" s="117">
        <v>234.89</v>
      </c>
    </row>
    <row r="1482" spans="1:5" x14ac:dyDescent="0.25">
      <c r="A1482" s="119" t="s">
        <v>1806</v>
      </c>
      <c r="B1482" s="119" t="s">
        <v>9023</v>
      </c>
      <c r="C1482" s="119" t="s">
        <v>66</v>
      </c>
      <c r="D1482" t="s">
        <v>6759</v>
      </c>
      <c r="E1482" s="117">
        <v>75.599999999999994</v>
      </c>
    </row>
    <row r="1483" spans="1:5" x14ac:dyDescent="0.25">
      <c r="A1483" s="119" t="s">
        <v>1807</v>
      </c>
      <c r="B1483" s="119" t="s">
        <v>9024</v>
      </c>
      <c r="C1483" s="119" t="s">
        <v>66</v>
      </c>
      <c r="D1483" t="s">
        <v>6759</v>
      </c>
      <c r="E1483" s="117">
        <v>77.7</v>
      </c>
    </row>
    <row r="1484" spans="1:5" x14ac:dyDescent="0.25">
      <c r="A1484" s="119" t="s">
        <v>1808</v>
      </c>
      <c r="B1484" s="119" t="s">
        <v>9025</v>
      </c>
      <c r="C1484" s="119" t="s">
        <v>66</v>
      </c>
      <c r="D1484" t="s">
        <v>45</v>
      </c>
      <c r="E1484" s="117">
        <v>39.76</v>
      </c>
    </row>
    <row r="1485" spans="1:5" x14ac:dyDescent="0.25">
      <c r="A1485" s="119" t="s">
        <v>1809</v>
      </c>
      <c r="B1485" s="119" t="s">
        <v>1810</v>
      </c>
      <c r="C1485" s="119" t="s">
        <v>66</v>
      </c>
      <c r="D1485" t="s">
        <v>6759</v>
      </c>
      <c r="E1485" s="117">
        <v>1568.91</v>
      </c>
    </row>
    <row r="1486" spans="1:5" x14ac:dyDescent="0.25">
      <c r="A1486" s="119" t="s">
        <v>1811</v>
      </c>
      <c r="B1486" s="119" t="s">
        <v>1812</v>
      </c>
      <c r="C1486" s="119" t="s">
        <v>66</v>
      </c>
      <c r="D1486" t="s">
        <v>6759</v>
      </c>
      <c r="E1486" s="117">
        <v>1561.14</v>
      </c>
    </row>
    <row r="1487" spans="1:5" x14ac:dyDescent="0.25">
      <c r="A1487" s="119" t="s">
        <v>1813</v>
      </c>
      <c r="B1487" s="119" t="s">
        <v>7412</v>
      </c>
      <c r="C1487" s="119" t="s">
        <v>66</v>
      </c>
      <c r="D1487" t="s">
        <v>51</v>
      </c>
      <c r="E1487" s="117">
        <v>28.35</v>
      </c>
    </row>
    <row r="1488" spans="1:5" x14ac:dyDescent="0.25">
      <c r="A1488" s="119" t="s">
        <v>1814</v>
      </c>
      <c r="B1488" s="119" t="s">
        <v>7413</v>
      </c>
      <c r="C1488" s="119" t="s">
        <v>66</v>
      </c>
      <c r="D1488" t="s">
        <v>49</v>
      </c>
      <c r="E1488" s="117">
        <v>29.93</v>
      </c>
    </row>
    <row r="1489" spans="1:5" x14ac:dyDescent="0.25">
      <c r="A1489" s="119" t="s">
        <v>1815</v>
      </c>
      <c r="B1489" s="119" t="s">
        <v>7414</v>
      </c>
      <c r="C1489" s="119" t="s">
        <v>66</v>
      </c>
      <c r="D1489" t="s">
        <v>49</v>
      </c>
      <c r="E1489" s="117">
        <v>21.21</v>
      </c>
    </row>
    <row r="1490" spans="1:5" x14ac:dyDescent="0.25">
      <c r="A1490" s="119" t="s">
        <v>1816</v>
      </c>
      <c r="B1490" s="119" t="s">
        <v>7415</v>
      </c>
      <c r="C1490" s="119" t="s">
        <v>66</v>
      </c>
      <c r="D1490" t="s">
        <v>49</v>
      </c>
      <c r="E1490" s="117">
        <v>17.75</v>
      </c>
    </row>
    <row r="1491" spans="1:5" x14ac:dyDescent="0.25">
      <c r="A1491" s="119" t="s">
        <v>1817</v>
      </c>
      <c r="B1491" s="119" t="s">
        <v>7416</v>
      </c>
      <c r="C1491" s="119" t="s">
        <v>66</v>
      </c>
      <c r="D1491" t="s">
        <v>49</v>
      </c>
      <c r="E1491" s="117">
        <v>27.09</v>
      </c>
    </row>
    <row r="1492" spans="1:5" x14ac:dyDescent="0.25">
      <c r="A1492" s="119" t="s">
        <v>1818</v>
      </c>
      <c r="B1492" s="119" t="s">
        <v>7417</v>
      </c>
      <c r="C1492" s="119" t="s">
        <v>66</v>
      </c>
      <c r="D1492" t="s">
        <v>6759</v>
      </c>
      <c r="E1492" s="117">
        <v>23.63</v>
      </c>
    </row>
    <row r="1493" spans="1:5" x14ac:dyDescent="0.25">
      <c r="A1493" s="119" t="s">
        <v>1819</v>
      </c>
      <c r="B1493" s="119" t="s">
        <v>7418</v>
      </c>
      <c r="C1493" s="119" t="s">
        <v>66</v>
      </c>
      <c r="D1493" t="s">
        <v>6760</v>
      </c>
      <c r="E1493" s="117">
        <v>21.21</v>
      </c>
    </row>
    <row r="1494" spans="1:5" x14ac:dyDescent="0.25">
      <c r="A1494" s="119" t="s">
        <v>1820</v>
      </c>
      <c r="B1494" s="119" t="s">
        <v>7419</v>
      </c>
      <c r="C1494" s="119" t="s">
        <v>66</v>
      </c>
      <c r="D1494" t="s">
        <v>45</v>
      </c>
      <c r="E1494" s="117">
        <v>29.3</v>
      </c>
    </row>
    <row r="1495" spans="1:5" x14ac:dyDescent="0.25">
      <c r="A1495" s="119" t="s">
        <v>1821</v>
      </c>
      <c r="B1495" s="119" t="s">
        <v>7420</v>
      </c>
      <c r="C1495" s="119" t="s">
        <v>66</v>
      </c>
      <c r="D1495" t="s">
        <v>51</v>
      </c>
      <c r="E1495" s="117">
        <v>37.380000000000003</v>
      </c>
    </row>
    <row r="1496" spans="1:5" x14ac:dyDescent="0.25">
      <c r="A1496" s="119" t="s">
        <v>1822</v>
      </c>
      <c r="B1496" s="119" t="s">
        <v>7421</v>
      </c>
      <c r="C1496" s="119" t="s">
        <v>66</v>
      </c>
      <c r="D1496" t="s">
        <v>6760</v>
      </c>
      <c r="E1496" s="117">
        <v>25.41</v>
      </c>
    </row>
    <row r="1497" spans="1:5" x14ac:dyDescent="0.25">
      <c r="A1497" s="119" t="s">
        <v>1823</v>
      </c>
      <c r="B1497" s="119" t="s">
        <v>7422</v>
      </c>
      <c r="C1497" s="119" t="s">
        <v>66</v>
      </c>
      <c r="D1497" t="s">
        <v>49</v>
      </c>
      <c r="E1497" s="117">
        <v>21.42</v>
      </c>
    </row>
    <row r="1498" spans="1:5" x14ac:dyDescent="0.25">
      <c r="A1498" s="119" t="s">
        <v>1824</v>
      </c>
      <c r="B1498" s="119" t="s">
        <v>7423</v>
      </c>
      <c r="C1498" s="119" t="s">
        <v>66</v>
      </c>
      <c r="D1498" t="s">
        <v>49</v>
      </c>
      <c r="E1498" s="117">
        <v>21.21</v>
      </c>
    </row>
    <row r="1499" spans="1:5" x14ac:dyDescent="0.25">
      <c r="A1499" s="119" t="s">
        <v>1825</v>
      </c>
      <c r="B1499" s="119" t="s">
        <v>7424</v>
      </c>
      <c r="C1499" s="119" t="s">
        <v>66</v>
      </c>
      <c r="D1499" t="s">
        <v>49</v>
      </c>
      <c r="E1499" s="117">
        <v>23.63</v>
      </c>
    </row>
    <row r="1500" spans="1:5" x14ac:dyDescent="0.25">
      <c r="A1500" s="119" t="s">
        <v>1826</v>
      </c>
      <c r="B1500" s="119" t="s">
        <v>1827</v>
      </c>
      <c r="C1500" s="119" t="s">
        <v>66</v>
      </c>
      <c r="D1500" t="s">
        <v>45</v>
      </c>
      <c r="E1500" s="117">
        <v>19.22</v>
      </c>
    </row>
    <row r="1501" spans="1:5" x14ac:dyDescent="0.25">
      <c r="A1501" s="119" t="s">
        <v>1828</v>
      </c>
      <c r="B1501" s="119" t="s">
        <v>1829</v>
      </c>
      <c r="C1501" s="119" t="s">
        <v>66</v>
      </c>
      <c r="D1501" t="s">
        <v>49</v>
      </c>
      <c r="E1501" s="117">
        <v>20.58</v>
      </c>
    </row>
    <row r="1502" spans="1:5" x14ac:dyDescent="0.25">
      <c r="A1502" s="119" t="s">
        <v>1830</v>
      </c>
      <c r="B1502" s="119" t="s">
        <v>1831</v>
      </c>
      <c r="C1502" s="119" t="s">
        <v>66</v>
      </c>
      <c r="D1502" t="s">
        <v>51</v>
      </c>
      <c r="E1502" s="117">
        <v>27.93</v>
      </c>
    </row>
    <row r="1503" spans="1:5" x14ac:dyDescent="0.25">
      <c r="A1503" s="119" t="s">
        <v>1832</v>
      </c>
      <c r="B1503" s="119" t="s">
        <v>1833</v>
      </c>
      <c r="C1503" s="119" t="s">
        <v>66</v>
      </c>
      <c r="D1503" t="s">
        <v>6760</v>
      </c>
      <c r="E1503" s="117">
        <v>28.98</v>
      </c>
    </row>
    <row r="1504" spans="1:5" x14ac:dyDescent="0.25">
      <c r="A1504" s="119" t="s">
        <v>1834</v>
      </c>
      <c r="B1504" s="119" t="s">
        <v>1835</v>
      </c>
      <c r="C1504" s="119" t="s">
        <v>66</v>
      </c>
      <c r="D1504" t="s">
        <v>6759</v>
      </c>
      <c r="E1504" s="117">
        <v>21</v>
      </c>
    </row>
    <row r="1505" spans="1:5" x14ac:dyDescent="0.25">
      <c r="A1505" s="119" t="s">
        <v>1836</v>
      </c>
      <c r="B1505" s="119" t="s">
        <v>9026</v>
      </c>
      <c r="C1505" s="119" t="s">
        <v>66</v>
      </c>
      <c r="D1505" t="s">
        <v>45</v>
      </c>
      <c r="E1505" s="117">
        <v>141.65</v>
      </c>
    </row>
    <row r="1506" spans="1:5" x14ac:dyDescent="0.25">
      <c r="A1506" s="119" t="s">
        <v>1837</v>
      </c>
      <c r="B1506" s="119" t="s">
        <v>9027</v>
      </c>
      <c r="C1506" s="119" t="s">
        <v>66</v>
      </c>
      <c r="D1506" t="s">
        <v>49</v>
      </c>
      <c r="E1506" s="117">
        <v>294.95</v>
      </c>
    </row>
    <row r="1507" spans="1:5" x14ac:dyDescent="0.25">
      <c r="A1507" s="119" t="s">
        <v>1838</v>
      </c>
      <c r="B1507" s="119" t="s">
        <v>1839</v>
      </c>
      <c r="C1507" s="119" t="s">
        <v>66</v>
      </c>
      <c r="D1507" t="s">
        <v>49</v>
      </c>
      <c r="E1507" s="117">
        <v>23.63</v>
      </c>
    </row>
    <row r="1508" spans="1:5" x14ac:dyDescent="0.25">
      <c r="A1508" s="119" t="s">
        <v>1840</v>
      </c>
      <c r="B1508" s="119" t="s">
        <v>1841</v>
      </c>
      <c r="C1508" s="119" t="s">
        <v>66</v>
      </c>
      <c r="D1508" t="s">
        <v>6759</v>
      </c>
      <c r="E1508" s="117">
        <v>252</v>
      </c>
    </row>
    <row r="1509" spans="1:5" x14ac:dyDescent="0.25">
      <c r="A1509" s="119" t="s">
        <v>1842</v>
      </c>
      <c r="B1509" s="119" t="s">
        <v>1843</v>
      </c>
      <c r="C1509" s="119" t="s">
        <v>66</v>
      </c>
      <c r="D1509" t="s">
        <v>6759</v>
      </c>
      <c r="E1509" s="117">
        <v>156.4</v>
      </c>
    </row>
    <row r="1510" spans="1:5" x14ac:dyDescent="0.25">
      <c r="A1510" s="119" t="s">
        <v>1844</v>
      </c>
      <c r="B1510" s="119" t="s">
        <v>1845</v>
      </c>
      <c r="C1510" s="119" t="s">
        <v>66</v>
      </c>
      <c r="D1510" t="s">
        <v>6759</v>
      </c>
      <c r="E1510" s="117">
        <v>365.72</v>
      </c>
    </row>
    <row r="1511" spans="1:5" x14ac:dyDescent="0.25">
      <c r="A1511" s="119" t="s">
        <v>1846</v>
      </c>
      <c r="B1511" s="119" t="s">
        <v>9028</v>
      </c>
      <c r="C1511" s="119" t="s">
        <v>66</v>
      </c>
      <c r="D1511" t="s">
        <v>49</v>
      </c>
      <c r="E1511" s="117">
        <v>21.21</v>
      </c>
    </row>
    <row r="1512" spans="1:5" x14ac:dyDescent="0.25">
      <c r="A1512" s="119" t="s">
        <v>1847</v>
      </c>
      <c r="B1512" s="119" t="s">
        <v>9029</v>
      </c>
      <c r="C1512" s="119" t="s">
        <v>66</v>
      </c>
      <c r="D1512" t="s">
        <v>49</v>
      </c>
      <c r="E1512" s="117">
        <v>707.81</v>
      </c>
    </row>
    <row r="1513" spans="1:5" x14ac:dyDescent="0.25">
      <c r="A1513" s="119" t="s">
        <v>1848</v>
      </c>
      <c r="B1513" s="119" t="s">
        <v>9030</v>
      </c>
      <c r="C1513" s="119" t="s">
        <v>66</v>
      </c>
      <c r="D1513" t="s">
        <v>45</v>
      </c>
      <c r="E1513" s="117">
        <v>483</v>
      </c>
    </row>
    <row r="1514" spans="1:5" x14ac:dyDescent="0.25">
      <c r="A1514" s="119" t="s">
        <v>1849</v>
      </c>
      <c r="B1514" s="119" t="s">
        <v>9031</v>
      </c>
      <c r="C1514" s="119" t="s">
        <v>66</v>
      </c>
      <c r="D1514" t="s">
        <v>6759</v>
      </c>
      <c r="E1514" s="117">
        <v>903.87</v>
      </c>
    </row>
    <row r="1515" spans="1:5" x14ac:dyDescent="0.25">
      <c r="A1515" s="119" t="s">
        <v>1850</v>
      </c>
      <c r="B1515" s="119" t="s">
        <v>9032</v>
      </c>
      <c r="C1515" s="119" t="s">
        <v>66</v>
      </c>
      <c r="D1515" t="s">
        <v>6760</v>
      </c>
      <c r="E1515" s="117">
        <v>98.18</v>
      </c>
    </row>
    <row r="1516" spans="1:5" x14ac:dyDescent="0.25">
      <c r="A1516" s="119" t="s">
        <v>1851</v>
      </c>
      <c r="B1516" s="119" t="s">
        <v>9033</v>
      </c>
      <c r="C1516" s="119" t="s">
        <v>66</v>
      </c>
      <c r="D1516" t="s">
        <v>45</v>
      </c>
      <c r="E1516" s="117">
        <v>101.85</v>
      </c>
    </row>
    <row r="1517" spans="1:5" x14ac:dyDescent="0.25">
      <c r="A1517" s="119" t="s">
        <v>1852</v>
      </c>
      <c r="B1517" s="119" t="s">
        <v>9034</v>
      </c>
      <c r="C1517" s="119" t="s">
        <v>66</v>
      </c>
      <c r="D1517" t="s">
        <v>6759</v>
      </c>
      <c r="E1517" s="117">
        <v>1043.7</v>
      </c>
    </row>
    <row r="1518" spans="1:5" x14ac:dyDescent="0.25">
      <c r="A1518" s="119" t="s">
        <v>1853</v>
      </c>
      <c r="B1518" s="119" t="s">
        <v>1854</v>
      </c>
      <c r="C1518" s="119" t="s">
        <v>66</v>
      </c>
      <c r="D1518" t="s">
        <v>49</v>
      </c>
      <c r="E1518" s="117">
        <v>419</v>
      </c>
    </row>
    <row r="1519" spans="1:5" x14ac:dyDescent="0.25">
      <c r="A1519" s="119" t="s">
        <v>1855</v>
      </c>
      <c r="B1519" s="119" t="s">
        <v>9035</v>
      </c>
      <c r="C1519" s="119" t="s">
        <v>66</v>
      </c>
      <c r="D1519" t="s">
        <v>51</v>
      </c>
      <c r="E1519" s="117">
        <v>39.380000000000003</v>
      </c>
    </row>
    <row r="1520" spans="1:5" x14ac:dyDescent="0.25">
      <c r="A1520" s="119" t="s">
        <v>1856</v>
      </c>
      <c r="B1520" s="119" t="s">
        <v>9036</v>
      </c>
      <c r="C1520" s="119" t="s">
        <v>66</v>
      </c>
      <c r="D1520" t="s">
        <v>45</v>
      </c>
      <c r="E1520" s="117">
        <v>0</v>
      </c>
    </row>
    <row r="1521" spans="1:5" x14ac:dyDescent="0.25">
      <c r="A1521" s="119" t="s">
        <v>1857</v>
      </c>
      <c r="B1521" s="119" t="s">
        <v>1858</v>
      </c>
      <c r="C1521" s="119" t="s">
        <v>66</v>
      </c>
      <c r="D1521" t="s">
        <v>6759</v>
      </c>
      <c r="E1521" s="117">
        <v>235.94</v>
      </c>
    </row>
    <row r="1522" spans="1:5" x14ac:dyDescent="0.25">
      <c r="A1522" s="119" t="s">
        <v>1859</v>
      </c>
      <c r="B1522" s="119" t="s">
        <v>1860</v>
      </c>
      <c r="C1522" s="119" t="s">
        <v>66</v>
      </c>
      <c r="D1522" t="s">
        <v>49</v>
      </c>
      <c r="E1522" s="117">
        <v>80.849999999999994</v>
      </c>
    </row>
    <row r="1523" spans="1:5" x14ac:dyDescent="0.25">
      <c r="A1523" s="119" t="s">
        <v>1861</v>
      </c>
      <c r="B1523" s="119" t="s">
        <v>1862</v>
      </c>
      <c r="C1523" s="119" t="s">
        <v>66</v>
      </c>
      <c r="D1523" t="s">
        <v>45</v>
      </c>
      <c r="E1523" s="117">
        <v>87.74</v>
      </c>
    </row>
    <row r="1524" spans="1:5" x14ac:dyDescent="0.25">
      <c r="A1524" s="119" t="s">
        <v>1863</v>
      </c>
      <c r="B1524" s="119" t="s">
        <v>9037</v>
      </c>
      <c r="C1524" s="119" t="s">
        <v>66</v>
      </c>
      <c r="D1524" t="s">
        <v>6759</v>
      </c>
      <c r="E1524" s="117">
        <v>98.18</v>
      </c>
    </row>
    <row r="1525" spans="1:5" x14ac:dyDescent="0.25">
      <c r="A1525" s="119" t="s">
        <v>1864</v>
      </c>
      <c r="B1525" s="119" t="s">
        <v>1865</v>
      </c>
      <c r="C1525" s="119" t="s">
        <v>66</v>
      </c>
      <c r="D1525" t="s">
        <v>6759</v>
      </c>
      <c r="E1525" s="117">
        <v>1443.75</v>
      </c>
    </row>
    <row r="1526" spans="1:5" x14ac:dyDescent="0.25">
      <c r="A1526" s="119" t="s">
        <v>1866</v>
      </c>
      <c r="B1526" s="119" t="s">
        <v>9038</v>
      </c>
      <c r="C1526" s="119" t="s">
        <v>66</v>
      </c>
      <c r="D1526" t="s">
        <v>45</v>
      </c>
      <c r="E1526" s="117">
        <v>10.14</v>
      </c>
    </row>
    <row r="1527" spans="1:5" x14ac:dyDescent="0.25">
      <c r="A1527" s="119" t="s">
        <v>1867</v>
      </c>
      <c r="B1527" s="119" t="s">
        <v>9039</v>
      </c>
      <c r="C1527" s="119" t="s">
        <v>66</v>
      </c>
      <c r="D1527" t="s">
        <v>6759</v>
      </c>
      <c r="E1527" s="117">
        <v>106.79</v>
      </c>
    </row>
    <row r="1528" spans="1:5" x14ac:dyDescent="0.25">
      <c r="A1528" s="119" t="s">
        <v>1868</v>
      </c>
      <c r="B1528" s="119" t="s">
        <v>9040</v>
      </c>
      <c r="C1528" s="119" t="s">
        <v>66</v>
      </c>
      <c r="D1528" t="s">
        <v>6759</v>
      </c>
      <c r="E1528" s="117">
        <v>187.74</v>
      </c>
    </row>
    <row r="1529" spans="1:5" x14ac:dyDescent="0.25">
      <c r="A1529" s="119" t="s">
        <v>1869</v>
      </c>
      <c r="B1529" s="119" t="s">
        <v>9041</v>
      </c>
      <c r="C1529" s="119" t="s">
        <v>66</v>
      </c>
      <c r="D1529" t="s">
        <v>6759</v>
      </c>
      <c r="E1529" s="117">
        <v>224.28</v>
      </c>
    </row>
    <row r="1530" spans="1:5" x14ac:dyDescent="0.25">
      <c r="A1530" s="119" t="s">
        <v>1870</v>
      </c>
      <c r="B1530" s="119" t="s">
        <v>9042</v>
      </c>
      <c r="C1530" s="119" t="s">
        <v>66</v>
      </c>
      <c r="D1530" t="s">
        <v>6760</v>
      </c>
      <c r="E1530" s="117">
        <v>23.63</v>
      </c>
    </row>
    <row r="1531" spans="1:5" x14ac:dyDescent="0.25">
      <c r="A1531" s="119" t="s">
        <v>1871</v>
      </c>
      <c r="B1531" s="119" t="s">
        <v>9043</v>
      </c>
      <c r="C1531" s="119" t="s">
        <v>66</v>
      </c>
      <c r="D1531" t="s">
        <v>49</v>
      </c>
      <c r="E1531" s="117">
        <v>318.57</v>
      </c>
    </row>
    <row r="1532" spans="1:5" x14ac:dyDescent="0.25">
      <c r="A1532" s="119" t="s">
        <v>1872</v>
      </c>
      <c r="B1532" s="119" t="s">
        <v>1873</v>
      </c>
      <c r="C1532" s="119" t="s">
        <v>66</v>
      </c>
      <c r="D1532" t="s">
        <v>49</v>
      </c>
      <c r="E1532" s="117">
        <v>197.72</v>
      </c>
    </row>
    <row r="1533" spans="1:5" x14ac:dyDescent="0.25">
      <c r="A1533" s="119" t="s">
        <v>1874</v>
      </c>
      <c r="B1533" s="119" t="s">
        <v>9044</v>
      </c>
      <c r="C1533" s="119" t="s">
        <v>66</v>
      </c>
      <c r="D1533" t="s">
        <v>45</v>
      </c>
      <c r="E1533" s="117">
        <v>389.34</v>
      </c>
    </row>
    <row r="1534" spans="1:5" x14ac:dyDescent="0.25">
      <c r="A1534" s="119" t="s">
        <v>1875</v>
      </c>
      <c r="B1534" s="119" t="s">
        <v>9045</v>
      </c>
      <c r="C1534" s="119" t="s">
        <v>66</v>
      </c>
      <c r="D1534" t="s">
        <v>6759</v>
      </c>
      <c r="E1534" s="117">
        <v>17.46</v>
      </c>
    </row>
    <row r="1535" spans="1:5" x14ac:dyDescent="0.25">
      <c r="A1535" s="119" t="s">
        <v>1876</v>
      </c>
      <c r="B1535" s="119" t="s">
        <v>9046</v>
      </c>
      <c r="C1535" s="119" t="s">
        <v>66</v>
      </c>
      <c r="D1535" t="s">
        <v>6759</v>
      </c>
      <c r="E1535" s="117">
        <v>17.46</v>
      </c>
    </row>
    <row r="1536" spans="1:5" x14ac:dyDescent="0.25">
      <c r="A1536" s="119" t="s">
        <v>1877</v>
      </c>
      <c r="B1536" s="119" t="s">
        <v>9047</v>
      </c>
      <c r="C1536" s="119" t="s">
        <v>66</v>
      </c>
      <c r="D1536" t="s">
        <v>6759</v>
      </c>
      <c r="E1536" s="117">
        <v>17.46</v>
      </c>
    </row>
    <row r="1537" spans="1:5" x14ac:dyDescent="0.25">
      <c r="A1537" s="119" t="s">
        <v>1878</v>
      </c>
      <c r="B1537" s="119" t="s">
        <v>9048</v>
      </c>
      <c r="C1537" s="119" t="s">
        <v>66</v>
      </c>
      <c r="D1537" t="s">
        <v>45</v>
      </c>
      <c r="E1537" s="117">
        <v>19.940000000000001</v>
      </c>
    </row>
    <row r="1538" spans="1:5" x14ac:dyDescent="0.25">
      <c r="A1538" s="119" t="s">
        <v>1879</v>
      </c>
      <c r="B1538" s="119" t="s">
        <v>9049</v>
      </c>
      <c r="C1538" s="119" t="s">
        <v>66</v>
      </c>
      <c r="D1538" t="s">
        <v>49</v>
      </c>
      <c r="E1538" s="117">
        <v>19.940000000000001</v>
      </c>
    </row>
    <row r="1539" spans="1:5" x14ac:dyDescent="0.25">
      <c r="A1539" s="119" t="s">
        <v>1880</v>
      </c>
      <c r="B1539" s="119" t="s">
        <v>9050</v>
      </c>
      <c r="C1539" s="119" t="s">
        <v>66</v>
      </c>
      <c r="D1539" t="s">
        <v>45</v>
      </c>
      <c r="E1539" s="117">
        <v>22.42</v>
      </c>
    </row>
    <row r="1540" spans="1:5" x14ac:dyDescent="0.25">
      <c r="A1540" s="119" t="s">
        <v>1881</v>
      </c>
      <c r="B1540" s="119" t="s">
        <v>9051</v>
      </c>
      <c r="C1540" s="119" t="s">
        <v>66</v>
      </c>
      <c r="D1540" t="s">
        <v>45</v>
      </c>
      <c r="E1540" s="117">
        <v>24.9</v>
      </c>
    </row>
    <row r="1541" spans="1:5" x14ac:dyDescent="0.25">
      <c r="A1541" s="119" t="s">
        <v>1882</v>
      </c>
      <c r="B1541" s="119" t="s">
        <v>9052</v>
      </c>
      <c r="C1541" s="119" t="s">
        <v>66</v>
      </c>
      <c r="D1541" t="s">
        <v>6759</v>
      </c>
      <c r="E1541" s="117">
        <v>29.85</v>
      </c>
    </row>
    <row r="1542" spans="1:5" x14ac:dyDescent="0.25">
      <c r="A1542" s="119" t="s">
        <v>1883</v>
      </c>
      <c r="B1542" s="119" t="s">
        <v>9053</v>
      </c>
      <c r="C1542" s="119" t="s">
        <v>66</v>
      </c>
      <c r="D1542" t="s">
        <v>51</v>
      </c>
      <c r="E1542" s="117">
        <v>32.32</v>
      </c>
    </row>
    <row r="1543" spans="1:5" x14ac:dyDescent="0.25">
      <c r="A1543" s="119" t="s">
        <v>1884</v>
      </c>
      <c r="B1543" s="119" t="s">
        <v>9054</v>
      </c>
      <c r="C1543" s="119" t="s">
        <v>66</v>
      </c>
      <c r="D1543" t="s">
        <v>6759</v>
      </c>
      <c r="E1543" s="117">
        <v>35.979999999999997</v>
      </c>
    </row>
    <row r="1544" spans="1:5" x14ac:dyDescent="0.25">
      <c r="A1544" s="119" t="s">
        <v>1885</v>
      </c>
      <c r="B1544" s="119" t="s">
        <v>9055</v>
      </c>
      <c r="C1544" s="119" t="s">
        <v>66</v>
      </c>
      <c r="D1544" t="s">
        <v>49</v>
      </c>
      <c r="E1544" s="117">
        <v>37.28</v>
      </c>
    </row>
    <row r="1545" spans="1:5" x14ac:dyDescent="0.25">
      <c r="A1545" s="119" t="s">
        <v>1886</v>
      </c>
      <c r="B1545" s="119" t="s">
        <v>9056</v>
      </c>
      <c r="C1545" s="119" t="s">
        <v>66</v>
      </c>
      <c r="D1545" t="s">
        <v>49</v>
      </c>
      <c r="E1545" s="117">
        <v>39.76</v>
      </c>
    </row>
    <row r="1546" spans="1:5" x14ac:dyDescent="0.25">
      <c r="A1546" s="119" t="s">
        <v>1887</v>
      </c>
      <c r="B1546" s="119" t="s">
        <v>9057</v>
      </c>
      <c r="C1546" s="119" t="s">
        <v>66</v>
      </c>
      <c r="D1546" t="s">
        <v>45</v>
      </c>
      <c r="E1546" s="117">
        <v>44.72</v>
      </c>
    </row>
    <row r="1547" spans="1:5" x14ac:dyDescent="0.25">
      <c r="A1547" s="119" t="s">
        <v>1888</v>
      </c>
      <c r="B1547" s="119" t="s">
        <v>9058</v>
      </c>
      <c r="C1547" s="119" t="s">
        <v>66</v>
      </c>
      <c r="D1547" t="s">
        <v>49</v>
      </c>
      <c r="E1547" s="117">
        <v>49.67</v>
      </c>
    </row>
    <row r="1548" spans="1:5" x14ac:dyDescent="0.25">
      <c r="A1548" s="119" t="s">
        <v>1889</v>
      </c>
      <c r="B1548" s="119" t="s">
        <v>9059</v>
      </c>
      <c r="C1548" s="119" t="s">
        <v>301</v>
      </c>
      <c r="D1548" t="s">
        <v>45</v>
      </c>
      <c r="E1548" s="117">
        <v>2100</v>
      </c>
    </row>
    <row r="1549" spans="1:5" x14ac:dyDescent="0.25">
      <c r="A1549" s="119" t="s">
        <v>1890</v>
      </c>
      <c r="B1549" s="119" t="s">
        <v>1891</v>
      </c>
      <c r="C1549" s="119" t="s">
        <v>301</v>
      </c>
      <c r="D1549" t="s">
        <v>45</v>
      </c>
      <c r="E1549" s="117">
        <v>999999</v>
      </c>
    </row>
    <row r="1550" spans="1:5" x14ac:dyDescent="0.25">
      <c r="A1550" s="119" t="s">
        <v>1892</v>
      </c>
      <c r="B1550" s="119" t="s">
        <v>1893</v>
      </c>
      <c r="C1550" s="119" t="s">
        <v>66</v>
      </c>
      <c r="D1550" t="s">
        <v>49</v>
      </c>
      <c r="E1550" s="117">
        <v>196.15</v>
      </c>
    </row>
    <row r="1551" spans="1:5" x14ac:dyDescent="0.25">
      <c r="A1551" s="119" t="s">
        <v>11615</v>
      </c>
      <c r="B1551" s="119" t="s">
        <v>1893</v>
      </c>
      <c r="C1551" s="119" t="s">
        <v>66</v>
      </c>
      <c r="D1551" t="s">
        <v>45</v>
      </c>
      <c r="E1551" s="117">
        <v>999999</v>
      </c>
    </row>
    <row r="1552" spans="1:5" x14ac:dyDescent="0.25">
      <c r="A1552" s="119" t="s">
        <v>1894</v>
      </c>
      <c r="B1552" s="119" t="s">
        <v>1893</v>
      </c>
      <c r="C1552" s="119" t="s">
        <v>66</v>
      </c>
      <c r="D1552" t="s">
        <v>49</v>
      </c>
      <c r="E1552" s="117">
        <v>128.13</v>
      </c>
    </row>
    <row r="1553" spans="1:5" x14ac:dyDescent="0.25">
      <c r="A1553" s="119" t="s">
        <v>1895</v>
      </c>
      <c r="B1553" s="119" t="s">
        <v>1896</v>
      </c>
      <c r="C1553" s="119" t="s">
        <v>66</v>
      </c>
      <c r="D1553" t="s">
        <v>45</v>
      </c>
      <c r="E1553" s="117">
        <v>0</v>
      </c>
    </row>
    <row r="1554" spans="1:5" x14ac:dyDescent="0.25">
      <c r="A1554" s="119" t="s">
        <v>1897</v>
      </c>
      <c r="B1554" s="119" t="s">
        <v>1898</v>
      </c>
      <c r="C1554" s="119" t="s">
        <v>66</v>
      </c>
      <c r="D1554" t="s">
        <v>49</v>
      </c>
      <c r="E1554" s="117">
        <v>102.51</v>
      </c>
    </row>
    <row r="1555" spans="1:5" x14ac:dyDescent="0.25">
      <c r="A1555" s="119" t="s">
        <v>11616</v>
      </c>
      <c r="B1555" s="119" t="s">
        <v>1898</v>
      </c>
      <c r="C1555" s="119" t="s">
        <v>66</v>
      </c>
      <c r="D1555" t="s">
        <v>45</v>
      </c>
      <c r="E1555" s="117">
        <v>0</v>
      </c>
    </row>
    <row r="1556" spans="1:5" x14ac:dyDescent="0.25">
      <c r="A1556" s="119" t="s">
        <v>1899</v>
      </c>
      <c r="B1556" s="119" t="s">
        <v>9060</v>
      </c>
      <c r="C1556" s="119" t="s">
        <v>301</v>
      </c>
      <c r="D1556" t="s">
        <v>45</v>
      </c>
      <c r="E1556" s="117">
        <v>554.19000000000005</v>
      </c>
    </row>
    <row r="1557" spans="1:5" x14ac:dyDescent="0.25">
      <c r="A1557" s="119" t="s">
        <v>1900</v>
      </c>
      <c r="B1557" s="119" t="s">
        <v>9061</v>
      </c>
      <c r="C1557" s="119" t="s">
        <v>301</v>
      </c>
      <c r="D1557" t="s">
        <v>45</v>
      </c>
      <c r="E1557" s="117">
        <v>0</v>
      </c>
    </row>
    <row r="1558" spans="1:5" x14ac:dyDescent="0.25">
      <c r="A1558" s="119" t="s">
        <v>1901</v>
      </c>
      <c r="B1558" s="119" t="s">
        <v>9062</v>
      </c>
      <c r="C1558" s="119" t="s">
        <v>301</v>
      </c>
      <c r="D1558" t="s">
        <v>45</v>
      </c>
      <c r="E1558" s="117">
        <v>0</v>
      </c>
    </row>
    <row r="1559" spans="1:5" x14ac:dyDescent="0.25">
      <c r="A1559" s="119" t="s">
        <v>1902</v>
      </c>
      <c r="B1559" s="119" t="s">
        <v>9063</v>
      </c>
      <c r="C1559" s="119" t="s">
        <v>301</v>
      </c>
      <c r="D1559" t="s">
        <v>45</v>
      </c>
      <c r="E1559" s="117">
        <v>492.83</v>
      </c>
    </row>
    <row r="1560" spans="1:5" x14ac:dyDescent="0.25">
      <c r="A1560" s="119" t="s">
        <v>1903</v>
      </c>
      <c r="B1560" s="119" t="s">
        <v>9064</v>
      </c>
      <c r="C1560" s="119" t="s">
        <v>301</v>
      </c>
      <c r="D1560" t="s">
        <v>49</v>
      </c>
      <c r="E1560" s="117">
        <v>596.33000000000004</v>
      </c>
    </row>
    <row r="1561" spans="1:5" x14ac:dyDescent="0.25">
      <c r="A1561" s="119" t="s">
        <v>1904</v>
      </c>
      <c r="B1561" s="119" t="s">
        <v>9065</v>
      </c>
      <c r="C1561" s="119" t="s">
        <v>301</v>
      </c>
      <c r="D1561" t="s">
        <v>45</v>
      </c>
      <c r="E1561" s="117">
        <v>665.32</v>
      </c>
    </row>
    <row r="1562" spans="1:5" x14ac:dyDescent="0.25">
      <c r="A1562" s="119" t="s">
        <v>7425</v>
      </c>
      <c r="B1562" s="119" t="s">
        <v>7426</v>
      </c>
      <c r="C1562" s="119" t="s">
        <v>66</v>
      </c>
      <c r="D1562" t="s">
        <v>6759</v>
      </c>
      <c r="E1562" s="117">
        <v>9999</v>
      </c>
    </row>
    <row r="1563" spans="1:5" x14ac:dyDescent="0.25">
      <c r="A1563" s="119" t="s">
        <v>7427</v>
      </c>
      <c r="B1563" s="119" t="s">
        <v>7428</v>
      </c>
      <c r="C1563" s="119" t="s">
        <v>66</v>
      </c>
      <c r="D1563" t="s">
        <v>6759</v>
      </c>
      <c r="E1563" s="117">
        <v>9999</v>
      </c>
    </row>
    <row r="1564" spans="1:5" x14ac:dyDescent="0.25">
      <c r="A1564" s="119" t="s">
        <v>1905</v>
      </c>
      <c r="B1564" s="119" t="s">
        <v>9066</v>
      </c>
      <c r="C1564" s="119" t="s">
        <v>301</v>
      </c>
      <c r="D1564" t="s">
        <v>45</v>
      </c>
      <c r="E1564" s="117">
        <v>0</v>
      </c>
    </row>
    <row r="1565" spans="1:5" x14ac:dyDescent="0.25">
      <c r="A1565" s="119" t="s">
        <v>1906</v>
      </c>
      <c r="B1565" s="119" t="s">
        <v>1907</v>
      </c>
      <c r="C1565" s="119" t="s">
        <v>301</v>
      </c>
      <c r="D1565" t="s">
        <v>45</v>
      </c>
      <c r="E1565" s="117">
        <v>0</v>
      </c>
    </row>
    <row r="1566" spans="1:5" x14ac:dyDescent="0.25">
      <c r="A1566" s="119" t="s">
        <v>1908</v>
      </c>
      <c r="B1566" s="119" t="s">
        <v>9067</v>
      </c>
      <c r="C1566" s="119" t="s">
        <v>301</v>
      </c>
      <c r="D1566" t="s">
        <v>45</v>
      </c>
      <c r="E1566" s="117">
        <v>1576.07</v>
      </c>
    </row>
    <row r="1567" spans="1:5" x14ac:dyDescent="0.25">
      <c r="A1567" s="119" t="s">
        <v>1909</v>
      </c>
      <c r="B1567" s="119" t="s">
        <v>9068</v>
      </c>
      <c r="C1567" s="119" t="s">
        <v>301</v>
      </c>
      <c r="D1567" t="s">
        <v>6760</v>
      </c>
      <c r="E1567" s="117">
        <v>787.54</v>
      </c>
    </row>
    <row r="1568" spans="1:5" x14ac:dyDescent="0.25">
      <c r="A1568" s="119" t="s">
        <v>1910</v>
      </c>
      <c r="B1568" s="119" t="s">
        <v>1911</v>
      </c>
      <c r="C1568" s="119" t="s">
        <v>301</v>
      </c>
      <c r="D1568" t="s">
        <v>45</v>
      </c>
      <c r="E1568" s="117">
        <v>0</v>
      </c>
    </row>
    <row r="1569" spans="1:5" x14ac:dyDescent="0.25">
      <c r="A1569" s="119" t="s">
        <v>1912</v>
      </c>
      <c r="B1569" s="119" t="s">
        <v>1913</v>
      </c>
      <c r="C1569" s="119" t="s">
        <v>66</v>
      </c>
      <c r="D1569" t="s">
        <v>45</v>
      </c>
      <c r="E1569" s="117">
        <v>38.43</v>
      </c>
    </row>
    <row r="1570" spans="1:5" x14ac:dyDescent="0.25">
      <c r="A1570" s="119" t="s">
        <v>1914</v>
      </c>
      <c r="B1570" s="119" t="s">
        <v>9069</v>
      </c>
      <c r="C1570" s="119" t="s">
        <v>301</v>
      </c>
      <c r="D1570" t="s">
        <v>6759</v>
      </c>
      <c r="E1570" s="117">
        <v>473.12</v>
      </c>
    </row>
    <row r="1571" spans="1:5" x14ac:dyDescent="0.25">
      <c r="A1571" s="119" t="s">
        <v>1915</v>
      </c>
      <c r="B1571" s="119" t="s">
        <v>1916</v>
      </c>
      <c r="C1571" s="119" t="s">
        <v>66</v>
      </c>
      <c r="D1571" t="s">
        <v>45</v>
      </c>
      <c r="E1571" s="117">
        <v>0</v>
      </c>
    </row>
    <row r="1572" spans="1:5" x14ac:dyDescent="0.25">
      <c r="A1572" s="119" t="s">
        <v>1917</v>
      </c>
      <c r="B1572" s="119" t="s">
        <v>9070</v>
      </c>
      <c r="C1572" s="119" t="s">
        <v>66</v>
      </c>
      <c r="D1572" t="s">
        <v>6759</v>
      </c>
      <c r="E1572" s="117">
        <v>361.41</v>
      </c>
    </row>
    <row r="1573" spans="1:5" x14ac:dyDescent="0.25">
      <c r="A1573" s="119" t="s">
        <v>1918</v>
      </c>
      <c r="B1573" s="119" t="s">
        <v>9071</v>
      </c>
      <c r="C1573" s="119" t="s">
        <v>66</v>
      </c>
      <c r="D1573" t="s">
        <v>6759</v>
      </c>
      <c r="E1573" s="117">
        <v>84.63</v>
      </c>
    </row>
    <row r="1574" spans="1:5" x14ac:dyDescent="0.25">
      <c r="A1574" s="119" t="s">
        <v>1919</v>
      </c>
      <c r="B1574" s="119" t="s">
        <v>7429</v>
      </c>
      <c r="C1574" s="119" t="s">
        <v>66</v>
      </c>
      <c r="D1574" t="s">
        <v>49</v>
      </c>
      <c r="E1574" s="117">
        <v>14.91</v>
      </c>
    </row>
    <row r="1575" spans="1:5" x14ac:dyDescent="0.25">
      <c r="A1575" s="119" t="s">
        <v>1920</v>
      </c>
      <c r="B1575" s="119" t="s">
        <v>7430</v>
      </c>
      <c r="C1575" s="119" t="s">
        <v>66</v>
      </c>
      <c r="D1575" t="s">
        <v>45</v>
      </c>
      <c r="E1575" s="117">
        <v>14.18</v>
      </c>
    </row>
    <row r="1576" spans="1:5" x14ac:dyDescent="0.25">
      <c r="A1576" s="119" t="s">
        <v>1921</v>
      </c>
      <c r="B1576" s="119" t="s">
        <v>9072</v>
      </c>
      <c r="C1576" s="119" t="s">
        <v>66</v>
      </c>
      <c r="D1576" t="s">
        <v>49</v>
      </c>
      <c r="E1576" s="117">
        <v>446.15</v>
      </c>
    </row>
    <row r="1577" spans="1:5" x14ac:dyDescent="0.25">
      <c r="A1577" s="119" t="s">
        <v>1922</v>
      </c>
      <c r="B1577" s="119" t="s">
        <v>9073</v>
      </c>
      <c r="C1577" s="119" t="s">
        <v>66</v>
      </c>
      <c r="D1577" t="s">
        <v>49</v>
      </c>
      <c r="E1577" s="117">
        <v>10.76</v>
      </c>
    </row>
    <row r="1578" spans="1:5" x14ac:dyDescent="0.25">
      <c r="A1578" s="119" t="s">
        <v>1923</v>
      </c>
      <c r="B1578" s="119" t="s">
        <v>9074</v>
      </c>
      <c r="C1578" s="119" t="s">
        <v>66</v>
      </c>
      <c r="D1578" t="s">
        <v>49</v>
      </c>
      <c r="E1578" s="117">
        <v>337.05</v>
      </c>
    </row>
    <row r="1579" spans="1:5" x14ac:dyDescent="0.25">
      <c r="A1579" s="119" t="s">
        <v>1924</v>
      </c>
      <c r="B1579" s="119" t="s">
        <v>9075</v>
      </c>
      <c r="C1579" s="119" t="s">
        <v>66</v>
      </c>
      <c r="D1579" t="s">
        <v>6759</v>
      </c>
      <c r="E1579" s="117">
        <v>523.11</v>
      </c>
    </row>
    <row r="1580" spans="1:5" x14ac:dyDescent="0.25">
      <c r="A1580" s="119" t="s">
        <v>1925</v>
      </c>
      <c r="B1580" s="119" t="s">
        <v>1926</v>
      </c>
      <c r="C1580" s="119" t="s">
        <v>66</v>
      </c>
      <c r="D1580" t="s">
        <v>6759</v>
      </c>
      <c r="E1580" s="117">
        <v>815.22</v>
      </c>
    </row>
    <row r="1581" spans="1:5" x14ac:dyDescent="0.25">
      <c r="A1581" s="119" t="s">
        <v>1927</v>
      </c>
      <c r="B1581" s="119" t="s">
        <v>1928</v>
      </c>
      <c r="C1581" s="119" t="s">
        <v>66</v>
      </c>
      <c r="D1581" t="s">
        <v>6759</v>
      </c>
      <c r="E1581" s="117">
        <v>765.56</v>
      </c>
    </row>
    <row r="1582" spans="1:5" x14ac:dyDescent="0.25">
      <c r="A1582" s="119" t="s">
        <v>1929</v>
      </c>
      <c r="B1582" s="119" t="s">
        <v>9076</v>
      </c>
      <c r="C1582" s="119" t="s">
        <v>66</v>
      </c>
      <c r="D1582" t="s">
        <v>49</v>
      </c>
      <c r="E1582" s="117">
        <v>100.07</v>
      </c>
    </row>
    <row r="1583" spans="1:5" x14ac:dyDescent="0.25">
      <c r="A1583" s="119" t="s">
        <v>1930</v>
      </c>
      <c r="B1583" s="119" t="s">
        <v>9077</v>
      </c>
      <c r="C1583" s="119" t="s">
        <v>66</v>
      </c>
      <c r="D1583" t="s">
        <v>6759</v>
      </c>
      <c r="E1583" s="117">
        <v>247.17</v>
      </c>
    </row>
    <row r="1584" spans="1:5" x14ac:dyDescent="0.25">
      <c r="A1584" s="119" t="s">
        <v>1931</v>
      </c>
      <c r="B1584" s="119" t="s">
        <v>1932</v>
      </c>
      <c r="C1584" s="119" t="s">
        <v>66</v>
      </c>
      <c r="D1584" t="s">
        <v>6759</v>
      </c>
      <c r="E1584" s="117">
        <v>62.59</v>
      </c>
    </row>
    <row r="1585" spans="1:5" x14ac:dyDescent="0.25">
      <c r="A1585" s="119" t="s">
        <v>1933</v>
      </c>
      <c r="B1585" s="119" t="s">
        <v>9078</v>
      </c>
      <c r="C1585" s="119" t="s">
        <v>66</v>
      </c>
      <c r="D1585" t="s">
        <v>49</v>
      </c>
      <c r="E1585" s="117">
        <v>243.08</v>
      </c>
    </row>
    <row r="1586" spans="1:5" x14ac:dyDescent="0.25">
      <c r="A1586" s="119" t="s">
        <v>1934</v>
      </c>
      <c r="B1586" s="119" t="s">
        <v>9079</v>
      </c>
      <c r="C1586" s="119" t="s">
        <v>66</v>
      </c>
      <c r="D1586" t="s">
        <v>49</v>
      </c>
      <c r="E1586" s="117">
        <v>396.38</v>
      </c>
    </row>
    <row r="1587" spans="1:5" x14ac:dyDescent="0.25">
      <c r="A1587" s="119" t="s">
        <v>1935</v>
      </c>
      <c r="B1587" s="119" t="s">
        <v>9080</v>
      </c>
      <c r="C1587" s="119" t="s">
        <v>66</v>
      </c>
      <c r="D1587" t="s">
        <v>49</v>
      </c>
      <c r="E1587" s="117">
        <v>131.36000000000001</v>
      </c>
    </row>
    <row r="1588" spans="1:5" x14ac:dyDescent="0.25">
      <c r="A1588" s="119" t="s">
        <v>1936</v>
      </c>
      <c r="B1588" s="119" t="s">
        <v>9081</v>
      </c>
      <c r="C1588" s="119" t="s">
        <v>66</v>
      </c>
      <c r="D1588" t="s">
        <v>45</v>
      </c>
      <c r="E1588" s="117">
        <v>346.61</v>
      </c>
    </row>
    <row r="1589" spans="1:5" x14ac:dyDescent="0.25">
      <c r="A1589" s="119" t="s">
        <v>1937</v>
      </c>
      <c r="B1589" s="119" t="s">
        <v>9082</v>
      </c>
      <c r="C1589" s="119" t="s">
        <v>66</v>
      </c>
      <c r="D1589" t="s">
        <v>45</v>
      </c>
      <c r="E1589" s="117">
        <v>0</v>
      </c>
    </row>
    <row r="1590" spans="1:5" x14ac:dyDescent="0.25">
      <c r="A1590" s="119" t="s">
        <v>1938</v>
      </c>
      <c r="B1590" s="119" t="s">
        <v>9083</v>
      </c>
      <c r="C1590" s="119" t="s">
        <v>66</v>
      </c>
      <c r="D1590" t="s">
        <v>45</v>
      </c>
      <c r="E1590" s="117">
        <v>210</v>
      </c>
    </row>
    <row r="1591" spans="1:5" x14ac:dyDescent="0.25">
      <c r="A1591" s="119" t="s">
        <v>1939</v>
      </c>
      <c r="B1591" s="119" t="s">
        <v>9084</v>
      </c>
      <c r="C1591" s="119" t="s">
        <v>66</v>
      </c>
      <c r="D1591" t="s">
        <v>45</v>
      </c>
      <c r="E1591" s="117">
        <v>0</v>
      </c>
    </row>
    <row r="1592" spans="1:5" x14ac:dyDescent="0.25">
      <c r="A1592" s="119" t="s">
        <v>1940</v>
      </c>
      <c r="B1592" s="119" t="s">
        <v>9085</v>
      </c>
      <c r="C1592" s="119" t="s">
        <v>66</v>
      </c>
      <c r="D1592" t="s">
        <v>45</v>
      </c>
      <c r="E1592" s="117">
        <v>353.8</v>
      </c>
    </row>
    <row r="1593" spans="1:5" x14ac:dyDescent="0.25">
      <c r="A1593" s="119" t="s">
        <v>1941</v>
      </c>
      <c r="B1593" s="119" t="s">
        <v>9086</v>
      </c>
      <c r="C1593" s="119" t="s">
        <v>66</v>
      </c>
      <c r="D1593" t="s">
        <v>6759</v>
      </c>
      <c r="E1593" s="117">
        <v>129.26</v>
      </c>
    </row>
    <row r="1594" spans="1:5" x14ac:dyDescent="0.25">
      <c r="A1594" s="119" t="s">
        <v>1942</v>
      </c>
      <c r="B1594" s="119" t="s">
        <v>9087</v>
      </c>
      <c r="C1594" s="119" t="s">
        <v>66</v>
      </c>
      <c r="D1594" t="s">
        <v>45</v>
      </c>
      <c r="E1594" s="117">
        <v>377.58</v>
      </c>
    </row>
    <row r="1595" spans="1:5" x14ac:dyDescent="0.25">
      <c r="A1595" s="119" t="s">
        <v>1943</v>
      </c>
      <c r="B1595" s="119" t="s">
        <v>1944</v>
      </c>
      <c r="C1595" s="119" t="s">
        <v>66</v>
      </c>
      <c r="D1595" t="s">
        <v>6759</v>
      </c>
      <c r="E1595" s="117">
        <v>739</v>
      </c>
    </row>
    <row r="1596" spans="1:5" x14ac:dyDescent="0.25">
      <c r="A1596" s="119" t="s">
        <v>1945</v>
      </c>
      <c r="B1596" s="119" t="s">
        <v>1946</v>
      </c>
      <c r="C1596" s="119" t="s">
        <v>66</v>
      </c>
      <c r="D1596" t="s">
        <v>45</v>
      </c>
      <c r="E1596" s="117">
        <v>140.5</v>
      </c>
    </row>
    <row r="1597" spans="1:5" x14ac:dyDescent="0.25">
      <c r="A1597" s="119" t="s">
        <v>1947</v>
      </c>
      <c r="B1597" s="119" t="s">
        <v>9088</v>
      </c>
      <c r="C1597" s="119" t="s">
        <v>66</v>
      </c>
      <c r="D1597" t="s">
        <v>45</v>
      </c>
      <c r="E1597" s="117">
        <v>91</v>
      </c>
    </row>
    <row r="1598" spans="1:5" x14ac:dyDescent="0.25">
      <c r="A1598" s="119" t="s">
        <v>1948</v>
      </c>
      <c r="B1598" s="119" t="s">
        <v>9089</v>
      </c>
      <c r="C1598" s="119" t="s">
        <v>66</v>
      </c>
      <c r="D1598" t="s">
        <v>49</v>
      </c>
      <c r="E1598" s="117">
        <v>95.55</v>
      </c>
    </row>
    <row r="1599" spans="1:5" x14ac:dyDescent="0.25">
      <c r="A1599" s="119" t="s">
        <v>1949</v>
      </c>
      <c r="B1599" s="119" t="s">
        <v>9090</v>
      </c>
      <c r="C1599" s="119" t="s">
        <v>66</v>
      </c>
      <c r="D1599" t="s">
        <v>49</v>
      </c>
      <c r="E1599" s="117">
        <v>109.15</v>
      </c>
    </row>
    <row r="1600" spans="1:5" x14ac:dyDescent="0.25">
      <c r="A1600" s="119" t="s">
        <v>1950</v>
      </c>
      <c r="B1600" s="119" t="s">
        <v>9091</v>
      </c>
      <c r="C1600" s="119" t="s">
        <v>66</v>
      </c>
      <c r="D1600" t="s">
        <v>6759</v>
      </c>
      <c r="E1600" s="117">
        <v>112.88</v>
      </c>
    </row>
    <row r="1601" spans="1:5" x14ac:dyDescent="0.25">
      <c r="A1601" s="119" t="s">
        <v>1951</v>
      </c>
      <c r="B1601" s="119" t="s">
        <v>9092</v>
      </c>
      <c r="C1601" s="119" t="s">
        <v>66</v>
      </c>
      <c r="D1601" t="s">
        <v>6760</v>
      </c>
      <c r="E1601" s="117">
        <v>97.13</v>
      </c>
    </row>
    <row r="1602" spans="1:5" x14ac:dyDescent="0.25">
      <c r="A1602" s="119" t="s">
        <v>1952</v>
      </c>
      <c r="B1602" s="119" t="s">
        <v>9093</v>
      </c>
      <c r="C1602" s="119" t="s">
        <v>66</v>
      </c>
      <c r="D1602" t="s">
        <v>45</v>
      </c>
      <c r="E1602" s="117">
        <v>76.760000000000005</v>
      </c>
    </row>
    <row r="1603" spans="1:5" x14ac:dyDescent="0.25">
      <c r="A1603" s="119" t="s">
        <v>1953</v>
      </c>
      <c r="B1603" s="119" t="s">
        <v>9094</v>
      </c>
      <c r="C1603" s="119" t="s">
        <v>66</v>
      </c>
      <c r="D1603" t="s">
        <v>6759</v>
      </c>
      <c r="E1603" s="117">
        <v>94.5</v>
      </c>
    </row>
    <row r="1604" spans="1:5" x14ac:dyDescent="0.25">
      <c r="A1604" s="119" t="s">
        <v>1954</v>
      </c>
      <c r="B1604" s="119" t="s">
        <v>9095</v>
      </c>
      <c r="C1604" s="119" t="s">
        <v>66</v>
      </c>
      <c r="D1604" t="s">
        <v>6759</v>
      </c>
      <c r="E1604" s="117">
        <v>69.3</v>
      </c>
    </row>
    <row r="1605" spans="1:5" x14ac:dyDescent="0.25">
      <c r="A1605" s="119" t="s">
        <v>1955</v>
      </c>
      <c r="B1605" s="119" t="s">
        <v>9096</v>
      </c>
      <c r="C1605" s="119" t="s">
        <v>66</v>
      </c>
      <c r="D1605" t="s">
        <v>6759</v>
      </c>
      <c r="E1605" s="117">
        <v>141.75</v>
      </c>
    </row>
    <row r="1606" spans="1:5" x14ac:dyDescent="0.25">
      <c r="A1606" s="119" t="s">
        <v>1956</v>
      </c>
      <c r="B1606" s="119" t="s">
        <v>1957</v>
      </c>
      <c r="C1606" s="119" t="s">
        <v>66</v>
      </c>
      <c r="D1606" t="s">
        <v>6759</v>
      </c>
      <c r="E1606" s="117">
        <v>283.5</v>
      </c>
    </row>
    <row r="1607" spans="1:5" x14ac:dyDescent="0.25">
      <c r="A1607" s="119" t="s">
        <v>1958</v>
      </c>
      <c r="B1607" s="119" t="s">
        <v>7431</v>
      </c>
      <c r="C1607" s="119" t="s">
        <v>66</v>
      </c>
      <c r="D1607" t="s">
        <v>51</v>
      </c>
      <c r="E1607" s="117">
        <v>51.24</v>
      </c>
    </row>
    <row r="1608" spans="1:5" x14ac:dyDescent="0.25">
      <c r="A1608" s="119" t="s">
        <v>1959</v>
      </c>
      <c r="B1608" s="119" t="s">
        <v>7432</v>
      </c>
      <c r="C1608" s="119" t="s">
        <v>66</v>
      </c>
      <c r="D1608" t="s">
        <v>51</v>
      </c>
      <c r="E1608" s="117">
        <v>37.380000000000003</v>
      </c>
    </row>
    <row r="1609" spans="1:5" x14ac:dyDescent="0.25">
      <c r="A1609" s="119" t="s">
        <v>1960</v>
      </c>
      <c r="B1609" s="119" t="s">
        <v>7433</v>
      </c>
      <c r="C1609" s="119" t="s">
        <v>66</v>
      </c>
      <c r="D1609" t="s">
        <v>51</v>
      </c>
      <c r="E1609" s="117">
        <v>37.380000000000003</v>
      </c>
    </row>
    <row r="1610" spans="1:5" x14ac:dyDescent="0.25">
      <c r="A1610" s="119" t="s">
        <v>1961</v>
      </c>
      <c r="B1610" s="119" t="s">
        <v>7434</v>
      </c>
      <c r="C1610" s="119" t="s">
        <v>66</v>
      </c>
      <c r="D1610" t="s">
        <v>51</v>
      </c>
      <c r="E1610" s="117">
        <v>43.58</v>
      </c>
    </row>
    <row r="1611" spans="1:5" x14ac:dyDescent="0.25">
      <c r="A1611" s="119" t="s">
        <v>1962</v>
      </c>
      <c r="B1611" s="119" t="s">
        <v>9097</v>
      </c>
      <c r="C1611" s="119" t="s">
        <v>66</v>
      </c>
      <c r="D1611" t="s">
        <v>6759</v>
      </c>
      <c r="E1611" s="117">
        <v>88.52</v>
      </c>
    </row>
    <row r="1612" spans="1:5" x14ac:dyDescent="0.25">
      <c r="A1612" s="119" t="s">
        <v>1963</v>
      </c>
      <c r="B1612" s="119" t="s">
        <v>9098</v>
      </c>
      <c r="C1612" s="119" t="s">
        <v>66</v>
      </c>
      <c r="D1612" t="s">
        <v>45</v>
      </c>
      <c r="E1612" s="117">
        <v>77.489999999999995</v>
      </c>
    </row>
    <row r="1613" spans="1:5" x14ac:dyDescent="0.25">
      <c r="A1613" s="119" t="s">
        <v>1964</v>
      </c>
      <c r="B1613" s="119" t="s">
        <v>9099</v>
      </c>
      <c r="C1613" s="119" t="s">
        <v>66</v>
      </c>
      <c r="D1613" t="s">
        <v>45</v>
      </c>
      <c r="E1613" s="117">
        <v>188.06</v>
      </c>
    </row>
    <row r="1614" spans="1:5" x14ac:dyDescent="0.25">
      <c r="A1614" s="119" t="s">
        <v>1965</v>
      </c>
      <c r="B1614" s="119" t="s">
        <v>1966</v>
      </c>
      <c r="C1614" s="119" t="s">
        <v>66</v>
      </c>
      <c r="D1614" t="s">
        <v>49</v>
      </c>
      <c r="E1614" s="117">
        <v>191.42</v>
      </c>
    </row>
    <row r="1615" spans="1:5" x14ac:dyDescent="0.25">
      <c r="A1615" s="119" t="s">
        <v>1967</v>
      </c>
      <c r="B1615" s="119" t="s">
        <v>1968</v>
      </c>
      <c r="C1615" s="119" t="s">
        <v>66</v>
      </c>
      <c r="D1615" t="s">
        <v>49</v>
      </c>
      <c r="E1615" s="117">
        <v>202.02</v>
      </c>
    </row>
    <row r="1616" spans="1:5" x14ac:dyDescent="0.25">
      <c r="A1616" s="119" t="s">
        <v>1969</v>
      </c>
      <c r="B1616" s="119" t="s">
        <v>9100</v>
      </c>
      <c r="C1616" s="119" t="s">
        <v>66</v>
      </c>
      <c r="D1616" t="s">
        <v>6759</v>
      </c>
      <c r="E1616" s="117">
        <v>12.87</v>
      </c>
    </row>
    <row r="1617" spans="1:5" x14ac:dyDescent="0.25">
      <c r="A1617" s="119" t="s">
        <v>1970</v>
      </c>
      <c r="B1617" s="119" t="s">
        <v>1971</v>
      </c>
      <c r="C1617" s="119" t="s">
        <v>66</v>
      </c>
      <c r="D1617" t="s">
        <v>6759</v>
      </c>
      <c r="E1617" s="117">
        <v>304.61</v>
      </c>
    </row>
    <row r="1618" spans="1:5" x14ac:dyDescent="0.25">
      <c r="A1618" s="119" t="s">
        <v>1972</v>
      </c>
      <c r="B1618" s="119" t="s">
        <v>1973</v>
      </c>
      <c r="C1618" s="119" t="s">
        <v>66</v>
      </c>
      <c r="D1618" t="s">
        <v>51</v>
      </c>
      <c r="E1618" s="117">
        <v>59.64</v>
      </c>
    </row>
    <row r="1619" spans="1:5" x14ac:dyDescent="0.25">
      <c r="A1619" s="119" t="s">
        <v>1974</v>
      </c>
      <c r="B1619" s="119" t="s">
        <v>6447</v>
      </c>
      <c r="C1619" s="119" t="s">
        <v>66</v>
      </c>
      <c r="D1619" t="s">
        <v>45</v>
      </c>
      <c r="E1619" s="117">
        <v>126.32</v>
      </c>
    </row>
    <row r="1620" spans="1:5" x14ac:dyDescent="0.25">
      <c r="A1620" s="119" t="s">
        <v>1975</v>
      </c>
      <c r="B1620" s="119" t="s">
        <v>1976</v>
      </c>
      <c r="C1620" s="119" t="s">
        <v>66</v>
      </c>
      <c r="D1620" t="s">
        <v>45</v>
      </c>
      <c r="E1620" s="117">
        <v>283.2</v>
      </c>
    </row>
    <row r="1621" spans="1:5" x14ac:dyDescent="0.25">
      <c r="A1621" s="119" t="s">
        <v>1977</v>
      </c>
      <c r="B1621" s="119" t="s">
        <v>9101</v>
      </c>
      <c r="C1621" s="119" t="s">
        <v>66</v>
      </c>
      <c r="D1621" t="s">
        <v>45</v>
      </c>
      <c r="E1621" s="117">
        <v>62.06</v>
      </c>
    </row>
    <row r="1622" spans="1:5" x14ac:dyDescent="0.25">
      <c r="A1622" s="119" t="s">
        <v>1979</v>
      </c>
      <c r="B1622" s="119" t="s">
        <v>9102</v>
      </c>
      <c r="C1622" s="119" t="s">
        <v>66</v>
      </c>
      <c r="D1622" t="s">
        <v>51</v>
      </c>
      <c r="E1622" s="117">
        <v>155.4</v>
      </c>
    </row>
    <row r="1623" spans="1:5" x14ac:dyDescent="0.25">
      <c r="A1623" s="119" t="s">
        <v>1980</v>
      </c>
      <c r="B1623" s="119" t="s">
        <v>7435</v>
      </c>
      <c r="C1623" s="119" t="s">
        <v>66</v>
      </c>
      <c r="D1623" t="s">
        <v>45</v>
      </c>
      <c r="E1623" s="117">
        <v>32.340000000000003</v>
      </c>
    </row>
    <row r="1624" spans="1:5" x14ac:dyDescent="0.25">
      <c r="A1624" s="119" t="s">
        <v>1981</v>
      </c>
      <c r="B1624" s="119" t="s">
        <v>9103</v>
      </c>
      <c r="C1624" s="119" t="s">
        <v>66</v>
      </c>
      <c r="D1624" t="s">
        <v>51</v>
      </c>
      <c r="E1624" s="117">
        <v>62.3</v>
      </c>
    </row>
    <row r="1625" spans="1:5" x14ac:dyDescent="0.25">
      <c r="A1625" s="119" t="s">
        <v>1982</v>
      </c>
      <c r="B1625" s="119" t="s">
        <v>1983</v>
      </c>
      <c r="C1625" s="119" t="s">
        <v>66</v>
      </c>
      <c r="D1625" t="s">
        <v>45</v>
      </c>
      <c r="E1625" s="117">
        <v>67.31</v>
      </c>
    </row>
    <row r="1626" spans="1:5" x14ac:dyDescent="0.25">
      <c r="A1626" s="119" t="s">
        <v>1984</v>
      </c>
      <c r="B1626" s="119" t="s">
        <v>9104</v>
      </c>
      <c r="C1626" s="119" t="s">
        <v>66</v>
      </c>
      <c r="D1626" t="s">
        <v>45</v>
      </c>
      <c r="E1626" s="117">
        <v>85.79</v>
      </c>
    </row>
    <row r="1627" spans="1:5" x14ac:dyDescent="0.25">
      <c r="A1627" s="119" t="s">
        <v>1985</v>
      </c>
      <c r="B1627" s="119" t="s">
        <v>9105</v>
      </c>
      <c r="C1627" s="119" t="s">
        <v>66</v>
      </c>
      <c r="D1627" t="s">
        <v>45</v>
      </c>
      <c r="E1627" s="117">
        <v>14.38</v>
      </c>
    </row>
    <row r="1628" spans="1:5" x14ac:dyDescent="0.25">
      <c r="A1628" s="119" t="s">
        <v>1986</v>
      </c>
      <c r="B1628" s="119" t="s">
        <v>9106</v>
      </c>
      <c r="C1628" s="119" t="s">
        <v>66</v>
      </c>
      <c r="D1628" t="s">
        <v>51</v>
      </c>
      <c r="E1628" s="117">
        <v>86.1</v>
      </c>
    </row>
    <row r="1629" spans="1:5" x14ac:dyDescent="0.25">
      <c r="A1629" s="119" t="s">
        <v>1987</v>
      </c>
      <c r="B1629" s="119" t="s">
        <v>9107</v>
      </c>
      <c r="C1629" s="119" t="s">
        <v>66</v>
      </c>
      <c r="D1629" t="s">
        <v>45</v>
      </c>
      <c r="E1629" s="117">
        <v>57.54</v>
      </c>
    </row>
    <row r="1630" spans="1:5" x14ac:dyDescent="0.25">
      <c r="A1630" s="119" t="s">
        <v>1988</v>
      </c>
      <c r="B1630" s="119" t="s">
        <v>7436</v>
      </c>
      <c r="C1630" s="119" t="s">
        <v>66</v>
      </c>
      <c r="D1630" t="s">
        <v>51</v>
      </c>
      <c r="E1630" s="117">
        <v>67.099999999999994</v>
      </c>
    </row>
    <row r="1631" spans="1:5" x14ac:dyDescent="0.25">
      <c r="A1631" s="119" t="s">
        <v>1989</v>
      </c>
      <c r="B1631" s="119" t="s">
        <v>1990</v>
      </c>
      <c r="C1631" s="119" t="s">
        <v>66</v>
      </c>
      <c r="D1631" t="s">
        <v>6759</v>
      </c>
      <c r="E1631" s="117">
        <v>235.94</v>
      </c>
    </row>
    <row r="1632" spans="1:5" x14ac:dyDescent="0.25">
      <c r="A1632" s="119" t="s">
        <v>1991</v>
      </c>
      <c r="B1632" s="119" t="s">
        <v>9108</v>
      </c>
      <c r="C1632" s="119" t="s">
        <v>66</v>
      </c>
      <c r="D1632" t="s">
        <v>45</v>
      </c>
      <c r="E1632" s="117">
        <v>36.020000000000003</v>
      </c>
    </row>
    <row r="1633" spans="1:5" x14ac:dyDescent="0.25">
      <c r="A1633" s="119" t="s">
        <v>1992</v>
      </c>
      <c r="B1633" s="119" t="s">
        <v>9109</v>
      </c>
      <c r="C1633" s="119" t="s">
        <v>66</v>
      </c>
      <c r="D1633" t="s">
        <v>51</v>
      </c>
      <c r="E1633" s="117">
        <v>37.380000000000003</v>
      </c>
    </row>
    <row r="1634" spans="1:5" x14ac:dyDescent="0.25">
      <c r="A1634" s="119" t="s">
        <v>1993</v>
      </c>
      <c r="B1634" s="119" t="s">
        <v>9110</v>
      </c>
      <c r="C1634" s="119" t="s">
        <v>66</v>
      </c>
      <c r="D1634" t="s">
        <v>49</v>
      </c>
      <c r="E1634" s="117">
        <v>37.380000000000003</v>
      </c>
    </row>
    <row r="1635" spans="1:5" x14ac:dyDescent="0.25">
      <c r="A1635" s="119" t="s">
        <v>1994</v>
      </c>
      <c r="B1635" s="119" t="s">
        <v>9111</v>
      </c>
      <c r="C1635" s="119" t="s">
        <v>66</v>
      </c>
      <c r="D1635" t="s">
        <v>51</v>
      </c>
      <c r="E1635" s="117">
        <v>39.799999999999997</v>
      </c>
    </row>
    <row r="1636" spans="1:5" x14ac:dyDescent="0.25">
      <c r="A1636" s="119" t="s">
        <v>1995</v>
      </c>
      <c r="B1636" s="119" t="s">
        <v>9112</v>
      </c>
      <c r="C1636" s="119" t="s">
        <v>66</v>
      </c>
      <c r="D1636" t="s">
        <v>6760</v>
      </c>
      <c r="E1636" s="117">
        <v>40.950000000000003</v>
      </c>
    </row>
    <row r="1637" spans="1:5" x14ac:dyDescent="0.25">
      <c r="A1637" s="119" t="s">
        <v>1996</v>
      </c>
      <c r="B1637" s="119" t="s">
        <v>9113</v>
      </c>
      <c r="C1637" s="119" t="s">
        <v>66</v>
      </c>
      <c r="D1637" t="s">
        <v>6760</v>
      </c>
      <c r="E1637" s="117">
        <v>40.950000000000003</v>
      </c>
    </row>
    <row r="1638" spans="1:5" x14ac:dyDescent="0.25">
      <c r="A1638" s="119" t="s">
        <v>1997</v>
      </c>
      <c r="B1638" s="119" t="s">
        <v>9114</v>
      </c>
      <c r="C1638" s="119" t="s">
        <v>66</v>
      </c>
      <c r="D1638" t="s">
        <v>49</v>
      </c>
      <c r="E1638" s="117">
        <v>46.1</v>
      </c>
    </row>
    <row r="1639" spans="1:5" x14ac:dyDescent="0.25">
      <c r="A1639" s="119" t="s">
        <v>1998</v>
      </c>
      <c r="B1639" s="119" t="s">
        <v>9115</v>
      </c>
      <c r="C1639" s="119" t="s">
        <v>66</v>
      </c>
      <c r="D1639" t="s">
        <v>51</v>
      </c>
      <c r="E1639" s="117">
        <v>46.1</v>
      </c>
    </row>
    <row r="1640" spans="1:5" x14ac:dyDescent="0.25">
      <c r="A1640" s="119" t="s">
        <v>1999</v>
      </c>
      <c r="B1640" s="119" t="s">
        <v>9116</v>
      </c>
      <c r="C1640" s="119" t="s">
        <v>66</v>
      </c>
      <c r="D1640" t="s">
        <v>6760</v>
      </c>
      <c r="E1640" s="117">
        <v>48.51</v>
      </c>
    </row>
    <row r="1641" spans="1:5" x14ac:dyDescent="0.25">
      <c r="A1641" s="119" t="s">
        <v>2000</v>
      </c>
      <c r="B1641" s="119" t="s">
        <v>9117</v>
      </c>
      <c r="C1641" s="119" t="s">
        <v>66</v>
      </c>
      <c r="D1641" t="s">
        <v>49</v>
      </c>
      <c r="E1641" s="117">
        <v>48.51</v>
      </c>
    </row>
    <row r="1642" spans="1:5" x14ac:dyDescent="0.25">
      <c r="A1642" s="119" t="s">
        <v>2001</v>
      </c>
      <c r="B1642" s="119" t="s">
        <v>9118</v>
      </c>
      <c r="C1642" s="119" t="s">
        <v>66</v>
      </c>
      <c r="D1642" t="s">
        <v>51</v>
      </c>
      <c r="E1642" s="117">
        <v>52.19</v>
      </c>
    </row>
    <row r="1643" spans="1:5" x14ac:dyDescent="0.25">
      <c r="A1643" s="119" t="s">
        <v>2002</v>
      </c>
      <c r="B1643" s="119" t="s">
        <v>9119</v>
      </c>
      <c r="C1643" s="119" t="s">
        <v>66</v>
      </c>
      <c r="D1643" t="s">
        <v>6760</v>
      </c>
      <c r="E1643" s="117">
        <v>54.71</v>
      </c>
    </row>
    <row r="1644" spans="1:5" x14ac:dyDescent="0.25">
      <c r="A1644" s="119" t="s">
        <v>2003</v>
      </c>
      <c r="B1644" s="119" t="s">
        <v>9120</v>
      </c>
      <c r="C1644" s="119" t="s">
        <v>66</v>
      </c>
      <c r="D1644" t="s">
        <v>49</v>
      </c>
      <c r="E1644" s="117">
        <v>57.12</v>
      </c>
    </row>
    <row r="1645" spans="1:5" x14ac:dyDescent="0.25">
      <c r="A1645" s="119" t="s">
        <v>2004</v>
      </c>
      <c r="B1645" s="119" t="s">
        <v>9121</v>
      </c>
      <c r="C1645" s="119" t="s">
        <v>66</v>
      </c>
      <c r="D1645" t="s">
        <v>6760</v>
      </c>
      <c r="E1645" s="117">
        <v>60.9</v>
      </c>
    </row>
    <row r="1646" spans="1:5" x14ac:dyDescent="0.25">
      <c r="A1646" s="119" t="s">
        <v>2005</v>
      </c>
      <c r="B1646" s="119" t="s">
        <v>9122</v>
      </c>
      <c r="C1646" s="119" t="s">
        <v>66</v>
      </c>
      <c r="D1646" t="s">
        <v>51</v>
      </c>
      <c r="E1646" s="117">
        <v>60.9</v>
      </c>
    </row>
    <row r="1647" spans="1:5" x14ac:dyDescent="0.25">
      <c r="A1647" s="119" t="s">
        <v>2006</v>
      </c>
      <c r="B1647" s="119" t="s">
        <v>9123</v>
      </c>
      <c r="C1647" s="119" t="s">
        <v>66</v>
      </c>
      <c r="D1647" t="s">
        <v>51</v>
      </c>
      <c r="E1647" s="117">
        <v>72.14</v>
      </c>
    </row>
    <row r="1648" spans="1:5" x14ac:dyDescent="0.25">
      <c r="A1648" s="119" t="s">
        <v>2007</v>
      </c>
      <c r="B1648" s="119" t="s">
        <v>9124</v>
      </c>
      <c r="C1648" s="119" t="s">
        <v>66</v>
      </c>
      <c r="D1648" t="s">
        <v>51</v>
      </c>
      <c r="E1648" s="117">
        <v>72.14</v>
      </c>
    </row>
    <row r="1649" spans="1:5" x14ac:dyDescent="0.25">
      <c r="A1649" s="119" t="s">
        <v>2008</v>
      </c>
      <c r="B1649" s="119" t="s">
        <v>9125</v>
      </c>
      <c r="C1649" s="119" t="s">
        <v>66</v>
      </c>
      <c r="D1649" t="s">
        <v>51</v>
      </c>
      <c r="E1649" s="117">
        <v>72.14</v>
      </c>
    </row>
    <row r="1650" spans="1:5" x14ac:dyDescent="0.25">
      <c r="A1650" s="119" t="s">
        <v>2009</v>
      </c>
      <c r="B1650" s="119" t="s">
        <v>9126</v>
      </c>
      <c r="C1650" s="119" t="s">
        <v>66</v>
      </c>
      <c r="D1650" t="s">
        <v>6760</v>
      </c>
      <c r="E1650" s="117">
        <v>79.59</v>
      </c>
    </row>
    <row r="1651" spans="1:5" x14ac:dyDescent="0.25">
      <c r="A1651" s="119" t="s">
        <v>2010</v>
      </c>
      <c r="B1651" s="119" t="s">
        <v>9127</v>
      </c>
      <c r="C1651" s="119" t="s">
        <v>66</v>
      </c>
      <c r="D1651" t="s">
        <v>6760</v>
      </c>
      <c r="E1651" s="117">
        <v>89.46</v>
      </c>
    </row>
    <row r="1652" spans="1:5" x14ac:dyDescent="0.25">
      <c r="A1652" s="119" t="s">
        <v>2011</v>
      </c>
      <c r="B1652" s="119" t="s">
        <v>9128</v>
      </c>
      <c r="C1652" s="119" t="s">
        <v>66</v>
      </c>
      <c r="D1652" t="s">
        <v>6760</v>
      </c>
      <c r="E1652" s="117">
        <v>94.4</v>
      </c>
    </row>
    <row r="1653" spans="1:5" x14ac:dyDescent="0.25">
      <c r="A1653" s="119" t="s">
        <v>2012</v>
      </c>
      <c r="B1653" s="119" t="s">
        <v>9129</v>
      </c>
      <c r="C1653" s="119" t="s">
        <v>66</v>
      </c>
      <c r="D1653" t="s">
        <v>6760</v>
      </c>
      <c r="E1653" s="117">
        <v>124.32</v>
      </c>
    </row>
    <row r="1654" spans="1:5" x14ac:dyDescent="0.25">
      <c r="A1654" s="119" t="s">
        <v>2013</v>
      </c>
      <c r="B1654" s="119" t="s">
        <v>9130</v>
      </c>
      <c r="C1654" s="119" t="s">
        <v>66</v>
      </c>
      <c r="D1654" t="s">
        <v>49</v>
      </c>
      <c r="E1654" s="117">
        <v>161.6</v>
      </c>
    </row>
    <row r="1655" spans="1:5" x14ac:dyDescent="0.25">
      <c r="A1655" s="119" t="s">
        <v>2014</v>
      </c>
      <c r="B1655" s="119" t="s">
        <v>9131</v>
      </c>
      <c r="C1655" s="119" t="s">
        <v>66</v>
      </c>
      <c r="D1655" t="s">
        <v>49</v>
      </c>
      <c r="E1655" s="117">
        <v>198.87</v>
      </c>
    </row>
    <row r="1656" spans="1:5" x14ac:dyDescent="0.25">
      <c r="A1656" s="119" t="s">
        <v>2015</v>
      </c>
      <c r="B1656" s="119" t="s">
        <v>9132</v>
      </c>
      <c r="C1656" s="119" t="s">
        <v>66</v>
      </c>
      <c r="D1656" t="s">
        <v>6759</v>
      </c>
      <c r="E1656" s="117">
        <v>223.76</v>
      </c>
    </row>
    <row r="1657" spans="1:5" x14ac:dyDescent="0.25">
      <c r="A1657" s="119" t="s">
        <v>2016</v>
      </c>
      <c r="B1657" s="119" t="s">
        <v>9133</v>
      </c>
      <c r="C1657" s="119" t="s">
        <v>66</v>
      </c>
      <c r="D1657" t="s">
        <v>45</v>
      </c>
      <c r="E1657" s="117">
        <v>106.6</v>
      </c>
    </row>
    <row r="1658" spans="1:5" x14ac:dyDescent="0.25">
      <c r="A1658" s="119" t="s">
        <v>2017</v>
      </c>
      <c r="B1658" s="119" t="s">
        <v>2018</v>
      </c>
      <c r="C1658" s="119" t="s">
        <v>66</v>
      </c>
      <c r="D1658" t="s">
        <v>45</v>
      </c>
      <c r="E1658" s="117">
        <v>29.93</v>
      </c>
    </row>
    <row r="1659" spans="1:5" x14ac:dyDescent="0.25">
      <c r="A1659" s="119" t="s">
        <v>2019</v>
      </c>
      <c r="B1659" s="119" t="s">
        <v>9134</v>
      </c>
      <c r="C1659" s="119" t="s">
        <v>66</v>
      </c>
      <c r="D1659" t="s">
        <v>45</v>
      </c>
      <c r="E1659" s="117">
        <v>0</v>
      </c>
    </row>
    <row r="1660" spans="1:5" x14ac:dyDescent="0.25">
      <c r="A1660" s="119" t="s">
        <v>2020</v>
      </c>
      <c r="B1660" s="119" t="s">
        <v>9135</v>
      </c>
      <c r="C1660" s="119" t="s">
        <v>66</v>
      </c>
      <c r="D1660" t="s">
        <v>45</v>
      </c>
      <c r="E1660" s="117">
        <v>0</v>
      </c>
    </row>
    <row r="1661" spans="1:5" x14ac:dyDescent="0.25">
      <c r="A1661" s="119" t="s">
        <v>2021</v>
      </c>
      <c r="B1661" s="119" t="s">
        <v>9136</v>
      </c>
      <c r="C1661" s="119" t="s">
        <v>66</v>
      </c>
      <c r="D1661" t="s">
        <v>45</v>
      </c>
      <c r="E1661" s="117">
        <v>0</v>
      </c>
    </row>
    <row r="1662" spans="1:5" x14ac:dyDescent="0.25">
      <c r="A1662" s="119" t="s">
        <v>2022</v>
      </c>
      <c r="B1662" s="119" t="s">
        <v>9137</v>
      </c>
      <c r="C1662" s="119" t="s">
        <v>66</v>
      </c>
      <c r="D1662" t="s">
        <v>45</v>
      </c>
      <c r="E1662" s="117">
        <v>0</v>
      </c>
    </row>
    <row r="1663" spans="1:5" x14ac:dyDescent="0.25">
      <c r="A1663" s="119" t="s">
        <v>2023</v>
      </c>
      <c r="B1663" s="119" t="s">
        <v>9138</v>
      </c>
      <c r="C1663" s="119" t="s">
        <v>66</v>
      </c>
      <c r="D1663" t="s">
        <v>45</v>
      </c>
      <c r="E1663" s="117">
        <v>0</v>
      </c>
    </row>
    <row r="1664" spans="1:5" x14ac:dyDescent="0.25">
      <c r="A1664" s="119" t="s">
        <v>2024</v>
      </c>
      <c r="B1664" s="119" t="s">
        <v>9139</v>
      </c>
      <c r="C1664" s="119" t="s">
        <v>66</v>
      </c>
      <c r="D1664" t="s">
        <v>49</v>
      </c>
      <c r="E1664" s="117">
        <v>43.58</v>
      </c>
    </row>
    <row r="1665" spans="1:5" x14ac:dyDescent="0.25">
      <c r="A1665" s="119" t="s">
        <v>2025</v>
      </c>
      <c r="B1665" s="119" t="s">
        <v>9140</v>
      </c>
      <c r="C1665" s="119" t="s">
        <v>66</v>
      </c>
      <c r="D1665" t="s">
        <v>45</v>
      </c>
      <c r="E1665" s="117">
        <v>0</v>
      </c>
    </row>
    <row r="1666" spans="1:5" x14ac:dyDescent="0.25">
      <c r="A1666" s="119" t="s">
        <v>2026</v>
      </c>
      <c r="B1666" s="119" t="s">
        <v>9141</v>
      </c>
      <c r="C1666" s="119" t="s">
        <v>66</v>
      </c>
      <c r="D1666" t="s">
        <v>45</v>
      </c>
      <c r="E1666" s="117">
        <v>0</v>
      </c>
    </row>
    <row r="1667" spans="1:5" x14ac:dyDescent="0.25">
      <c r="A1667" s="119" t="s">
        <v>2027</v>
      </c>
      <c r="B1667" s="119" t="s">
        <v>9142</v>
      </c>
      <c r="C1667" s="119" t="s">
        <v>66</v>
      </c>
      <c r="D1667" t="s">
        <v>6759</v>
      </c>
      <c r="E1667" s="117">
        <v>40.950000000000003</v>
      </c>
    </row>
    <row r="1668" spans="1:5" x14ac:dyDescent="0.25">
      <c r="A1668" s="119" t="s">
        <v>2028</v>
      </c>
      <c r="B1668" s="119" t="s">
        <v>9143</v>
      </c>
      <c r="C1668" s="119" t="s">
        <v>66</v>
      </c>
      <c r="D1668" t="s">
        <v>6760</v>
      </c>
      <c r="E1668" s="117">
        <v>49.77</v>
      </c>
    </row>
    <row r="1669" spans="1:5" x14ac:dyDescent="0.25">
      <c r="A1669" s="119" t="s">
        <v>2029</v>
      </c>
      <c r="B1669" s="119" t="s">
        <v>9144</v>
      </c>
      <c r="C1669" s="119" t="s">
        <v>66</v>
      </c>
      <c r="D1669" t="s">
        <v>49</v>
      </c>
      <c r="E1669" s="117">
        <v>62.27</v>
      </c>
    </row>
    <row r="1670" spans="1:5" x14ac:dyDescent="0.25">
      <c r="A1670" s="119" t="s">
        <v>2030</v>
      </c>
      <c r="B1670" s="119" t="s">
        <v>9145</v>
      </c>
      <c r="C1670" s="119" t="s">
        <v>66</v>
      </c>
      <c r="D1670" t="s">
        <v>45</v>
      </c>
      <c r="E1670" s="117">
        <v>0</v>
      </c>
    </row>
    <row r="1671" spans="1:5" x14ac:dyDescent="0.25">
      <c r="A1671" s="119" t="s">
        <v>2031</v>
      </c>
      <c r="B1671" s="119" t="s">
        <v>9146</v>
      </c>
      <c r="C1671" s="119" t="s">
        <v>66</v>
      </c>
      <c r="D1671" t="s">
        <v>45</v>
      </c>
      <c r="E1671" s="117">
        <v>0</v>
      </c>
    </row>
    <row r="1672" spans="1:5" x14ac:dyDescent="0.25">
      <c r="A1672" s="119" t="s">
        <v>2032</v>
      </c>
      <c r="B1672" s="119" t="s">
        <v>9147</v>
      </c>
      <c r="C1672" s="119" t="s">
        <v>66</v>
      </c>
      <c r="D1672" t="s">
        <v>45</v>
      </c>
      <c r="E1672" s="117">
        <v>0</v>
      </c>
    </row>
    <row r="1673" spans="1:5" x14ac:dyDescent="0.25">
      <c r="A1673" s="119" t="s">
        <v>2033</v>
      </c>
      <c r="B1673" s="119" t="s">
        <v>9148</v>
      </c>
      <c r="C1673" s="119" t="s">
        <v>66</v>
      </c>
      <c r="D1673" t="s">
        <v>45</v>
      </c>
      <c r="E1673" s="117">
        <v>0</v>
      </c>
    </row>
    <row r="1674" spans="1:5" x14ac:dyDescent="0.25">
      <c r="A1674" s="119" t="s">
        <v>2034</v>
      </c>
      <c r="B1674" s="119" t="s">
        <v>9149</v>
      </c>
      <c r="C1674" s="119" t="s">
        <v>66</v>
      </c>
      <c r="D1674" t="s">
        <v>45</v>
      </c>
      <c r="E1674" s="117">
        <v>0</v>
      </c>
    </row>
    <row r="1675" spans="1:5" x14ac:dyDescent="0.25">
      <c r="A1675" s="119" t="s">
        <v>2035</v>
      </c>
      <c r="B1675" s="119" t="s">
        <v>9150</v>
      </c>
      <c r="C1675" s="119" t="s">
        <v>66</v>
      </c>
      <c r="D1675" t="s">
        <v>45</v>
      </c>
      <c r="E1675" s="117">
        <v>0</v>
      </c>
    </row>
    <row r="1676" spans="1:5" x14ac:dyDescent="0.25">
      <c r="A1676" s="119" t="s">
        <v>2036</v>
      </c>
      <c r="B1676" s="119" t="s">
        <v>9151</v>
      </c>
      <c r="C1676" s="119" t="s">
        <v>66</v>
      </c>
      <c r="D1676" t="s">
        <v>45</v>
      </c>
      <c r="E1676" s="117">
        <v>59.3</v>
      </c>
    </row>
    <row r="1677" spans="1:5" x14ac:dyDescent="0.25">
      <c r="A1677" s="119" t="s">
        <v>2037</v>
      </c>
      <c r="B1677" s="119" t="s">
        <v>9152</v>
      </c>
      <c r="C1677" s="119" t="s">
        <v>66</v>
      </c>
      <c r="D1677" t="s">
        <v>45</v>
      </c>
      <c r="E1677" s="117">
        <v>0</v>
      </c>
    </row>
    <row r="1678" spans="1:5" x14ac:dyDescent="0.25">
      <c r="A1678" s="119" t="s">
        <v>2038</v>
      </c>
      <c r="B1678" s="119" t="s">
        <v>9153</v>
      </c>
      <c r="C1678" s="119" t="s">
        <v>66</v>
      </c>
      <c r="D1678" t="s">
        <v>45</v>
      </c>
      <c r="E1678" s="117">
        <v>0</v>
      </c>
    </row>
    <row r="1679" spans="1:5" x14ac:dyDescent="0.25">
      <c r="A1679" s="119" t="s">
        <v>2039</v>
      </c>
      <c r="B1679" s="119" t="s">
        <v>9154</v>
      </c>
      <c r="C1679" s="119" t="s">
        <v>66</v>
      </c>
      <c r="D1679" t="s">
        <v>45</v>
      </c>
      <c r="E1679" s="117">
        <v>0</v>
      </c>
    </row>
    <row r="1680" spans="1:5" x14ac:dyDescent="0.25">
      <c r="A1680" s="119" t="s">
        <v>2040</v>
      </c>
      <c r="B1680" s="119" t="s">
        <v>9155</v>
      </c>
      <c r="C1680" s="119" t="s">
        <v>66</v>
      </c>
      <c r="D1680" t="s">
        <v>45</v>
      </c>
      <c r="E1680" s="117">
        <v>0</v>
      </c>
    </row>
    <row r="1681" spans="1:5" x14ac:dyDescent="0.25">
      <c r="A1681" s="119" t="s">
        <v>2041</v>
      </c>
      <c r="B1681" s="119" t="s">
        <v>9156</v>
      </c>
      <c r="C1681" s="119" t="s">
        <v>66</v>
      </c>
      <c r="D1681" t="s">
        <v>45</v>
      </c>
      <c r="E1681" s="117">
        <v>0</v>
      </c>
    </row>
    <row r="1682" spans="1:5" x14ac:dyDescent="0.25">
      <c r="A1682" s="119" t="s">
        <v>2042</v>
      </c>
      <c r="B1682" s="119" t="s">
        <v>9157</v>
      </c>
      <c r="C1682" s="119" t="s">
        <v>66</v>
      </c>
      <c r="D1682" t="s">
        <v>45</v>
      </c>
      <c r="E1682" s="117">
        <v>0</v>
      </c>
    </row>
    <row r="1683" spans="1:5" x14ac:dyDescent="0.25">
      <c r="A1683" s="119" t="s">
        <v>2043</v>
      </c>
      <c r="B1683" s="119" t="s">
        <v>9158</v>
      </c>
      <c r="C1683" s="119" t="s">
        <v>66</v>
      </c>
      <c r="D1683" t="s">
        <v>45</v>
      </c>
      <c r="E1683" s="117">
        <v>94.8</v>
      </c>
    </row>
    <row r="1684" spans="1:5" x14ac:dyDescent="0.25">
      <c r="A1684" s="119" t="s">
        <v>2044</v>
      </c>
      <c r="B1684" s="119" t="s">
        <v>9159</v>
      </c>
      <c r="C1684" s="119" t="s">
        <v>66</v>
      </c>
      <c r="D1684" t="s">
        <v>45</v>
      </c>
      <c r="E1684" s="117">
        <v>0</v>
      </c>
    </row>
    <row r="1685" spans="1:5" x14ac:dyDescent="0.25">
      <c r="A1685" s="119" t="s">
        <v>2045</v>
      </c>
      <c r="B1685" s="119" t="s">
        <v>9160</v>
      </c>
      <c r="C1685" s="119" t="s">
        <v>66</v>
      </c>
      <c r="D1685" t="s">
        <v>45</v>
      </c>
      <c r="E1685" s="117">
        <v>598.5</v>
      </c>
    </row>
    <row r="1686" spans="1:5" x14ac:dyDescent="0.25">
      <c r="A1686" s="119" t="s">
        <v>2046</v>
      </c>
      <c r="B1686" s="119" t="s">
        <v>9161</v>
      </c>
      <c r="C1686" s="119" t="s">
        <v>66</v>
      </c>
      <c r="D1686" t="s">
        <v>45</v>
      </c>
      <c r="E1686" s="117">
        <v>5.66</v>
      </c>
    </row>
    <row r="1687" spans="1:5" x14ac:dyDescent="0.25">
      <c r="A1687" s="119" t="s">
        <v>2047</v>
      </c>
      <c r="B1687" s="119" t="s">
        <v>9162</v>
      </c>
      <c r="C1687" s="119" t="s">
        <v>66</v>
      </c>
      <c r="D1687" t="s">
        <v>45</v>
      </c>
      <c r="E1687" s="117">
        <v>6.3</v>
      </c>
    </row>
    <row r="1688" spans="1:5" x14ac:dyDescent="0.25">
      <c r="A1688" s="119" t="s">
        <v>2048</v>
      </c>
      <c r="B1688" s="119" t="s">
        <v>9163</v>
      </c>
      <c r="C1688" s="119" t="s">
        <v>66</v>
      </c>
      <c r="D1688" t="s">
        <v>45</v>
      </c>
      <c r="E1688" s="117">
        <v>8.6199999999999992</v>
      </c>
    </row>
    <row r="1689" spans="1:5" x14ac:dyDescent="0.25">
      <c r="A1689" s="119" t="s">
        <v>2049</v>
      </c>
      <c r="B1689" s="119" t="s">
        <v>9164</v>
      </c>
      <c r="C1689" s="119" t="s">
        <v>66</v>
      </c>
      <c r="D1689" t="s">
        <v>45</v>
      </c>
      <c r="E1689" s="117">
        <v>12.36</v>
      </c>
    </row>
    <row r="1690" spans="1:5" x14ac:dyDescent="0.25">
      <c r="A1690" s="119" t="s">
        <v>2050</v>
      </c>
      <c r="B1690" s="119" t="s">
        <v>2051</v>
      </c>
      <c r="C1690" s="119" t="s">
        <v>66</v>
      </c>
      <c r="D1690" t="s">
        <v>45</v>
      </c>
      <c r="E1690" s="117">
        <v>1003.38</v>
      </c>
    </row>
    <row r="1691" spans="1:5" x14ac:dyDescent="0.25">
      <c r="A1691" s="119" t="s">
        <v>2052</v>
      </c>
      <c r="B1691" s="119" t="s">
        <v>2053</v>
      </c>
      <c r="C1691" s="119" t="s">
        <v>66</v>
      </c>
      <c r="D1691" t="s">
        <v>6759</v>
      </c>
      <c r="E1691" s="117">
        <v>40.9</v>
      </c>
    </row>
    <row r="1692" spans="1:5" x14ac:dyDescent="0.25">
      <c r="A1692" s="119" t="s">
        <v>2054</v>
      </c>
      <c r="B1692" s="119" t="s">
        <v>9165</v>
      </c>
      <c r="C1692" s="119" t="s">
        <v>66</v>
      </c>
      <c r="D1692" t="s">
        <v>49</v>
      </c>
      <c r="E1692" s="117">
        <v>68.36</v>
      </c>
    </row>
    <row r="1693" spans="1:5" x14ac:dyDescent="0.25">
      <c r="A1693" s="119" t="s">
        <v>2055</v>
      </c>
      <c r="B1693" s="119" t="s">
        <v>9166</v>
      </c>
      <c r="C1693" s="119" t="s">
        <v>66</v>
      </c>
      <c r="D1693" t="s">
        <v>6760</v>
      </c>
      <c r="E1693" s="117">
        <v>285.81</v>
      </c>
    </row>
    <row r="1694" spans="1:5" x14ac:dyDescent="0.25">
      <c r="A1694" s="119" t="s">
        <v>2056</v>
      </c>
      <c r="B1694" s="119" t="s">
        <v>9167</v>
      </c>
      <c r="C1694" s="119" t="s">
        <v>66</v>
      </c>
      <c r="D1694" t="s">
        <v>45</v>
      </c>
      <c r="E1694" s="117">
        <v>298.31</v>
      </c>
    </row>
    <row r="1695" spans="1:5" x14ac:dyDescent="0.25">
      <c r="A1695" s="119" t="s">
        <v>2057</v>
      </c>
      <c r="B1695" s="119" t="s">
        <v>9168</v>
      </c>
      <c r="C1695" s="119" t="s">
        <v>66</v>
      </c>
      <c r="D1695" t="s">
        <v>45</v>
      </c>
      <c r="E1695" s="117">
        <v>0</v>
      </c>
    </row>
    <row r="1696" spans="1:5" x14ac:dyDescent="0.25">
      <c r="A1696" s="119" t="s">
        <v>2058</v>
      </c>
      <c r="B1696" s="119" t="s">
        <v>9169</v>
      </c>
      <c r="C1696" s="119" t="s">
        <v>66</v>
      </c>
      <c r="D1696" t="s">
        <v>45</v>
      </c>
      <c r="E1696" s="117">
        <v>77</v>
      </c>
    </row>
    <row r="1697" spans="1:5" x14ac:dyDescent="0.25">
      <c r="A1697" s="119" t="s">
        <v>2059</v>
      </c>
      <c r="B1697" s="119" t="s">
        <v>9170</v>
      </c>
      <c r="C1697" s="119" t="s">
        <v>66</v>
      </c>
      <c r="D1697" t="s">
        <v>45</v>
      </c>
      <c r="E1697" s="117">
        <v>71.099999999999994</v>
      </c>
    </row>
    <row r="1698" spans="1:5" x14ac:dyDescent="0.25">
      <c r="A1698" s="119" t="s">
        <v>2060</v>
      </c>
      <c r="B1698" s="119" t="s">
        <v>9171</v>
      </c>
      <c r="C1698" s="119" t="s">
        <v>66</v>
      </c>
      <c r="D1698" t="s">
        <v>45</v>
      </c>
      <c r="E1698" s="117">
        <v>0</v>
      </c>
    </row>
    <row r="1699" spans="1:5" x14ac:dyDescent="0.25">
      <c r="A1699" s="119" t="s">
        <v>2061</v>
      </c>
      <c r="B1699" s="119" t="s">
        <v>9172</v>
      </c>
      <c r="C1699" s="119" t="s">
        <v>66</v>
      </c>
      <c r="D1699" t="s">
        <v>45</v>
      </c>
      <c r="E1699" s="117">
        <v>0</v>
      </c>
    </row>
    <row r="1700" spans="1:5" x14ac:dyDescent="0.25">
      <c r="A1700" s="119" t="s">
        <v>2062</v>
      </c>
      <c r="B1700" s="119" t="s">
        <v>9173</v>
      </c>
      <c r="C1700" s="119" t="s">
        <v>66</v>
      </c>
      <c r="D1700" t="s">
        <v>49</v>
      </c>
      <c r="E1700" s="117">
        <v>341.67</v>
      </c>
    </row>
    <row r="1701" spans="1:5" x14ac:dyDescent="0.25">
      <c r="A1701" s="119" t="s">
        <v>2063</v>
      </c>
      <c r="B1701" s="119" t="s">
        <v>9174</v>
      </c>
      <c r="C1701" s="119" t="s">
        <v>66</v>
      </c>
      <c r="D1701" t="s">
        <v>6760</v>
      </c>
      <c r="E1701" s="117">
        <v>55.97</v>
      </c>
    </row>
    <row r="1702" spans="1:5" x14ac:dyDescent="0.25">
      <c r="A1702" s="119" t="s">
        <v>2064</v>
      </c>
      <c r="B1702" s="119" t="s">
        <v>9175</v>
      </c>
      <c r="C1702" s="119" t="s">
        <v>66</v>
      </c>
      <c r="D1702" t="s">
        <v>45</v>
      </c>
      <c r="E1702" s="117">
        <v>87.05</v>
      </c>
    </row>
    <row r="1703" spans="1:5" x14ac:dyDescent="0.25">
      <c r="A1703" s="119" t="s">
        <v>2065</v>
      </c>
      <c r="B1703" s="119" t="s">
        <v>9176</v>
      </c>
      <c r="C1703" s="119" t="s">
        <v>66</v>
      </c>
      <c r="D1703" t="s">
        <v>45</v>
      </c>
      <c r="E1703" s="117">
        <v>59.1</v>
      </c>
    </row>
    <row r="1704" spans="1:5" x14ac:dyDescent="0.25">
      <c r="A1704" s="119" t="s">
        <v>2066</v>
      </c>
      <c r="B1704" s="119" t="s">
        <v>9177</v>
      </c>
      <c r="C1704" s="119" t="s">
        <v>66</v>
      </c>
      <c r="D1704" t="s">
        <v>45</v>
      </c>
      <c r="E1704" s="117">
        <v>68.25</v>
      </c>
    </row>
    <row r="1705" spans="1:5" x14ac:dyDescent="0.25">
      <c r="A1705" s="119" t="s">
        <v>2067</v>
      </c>
      <c r="B1705" s="119" t="s">
        <v>9178</v>
      </c>
      <c r="C1705" s="119" t="s">
        <v>66</v>
      </c>
      <c r="D1705" t="s">
        <v>6759</v>
      </c>
      <c r="E1705" s="117">
        <v>61.8</v>
      </c>
    </row>
    <row r="1706" spans="1:5" x14ac:dyDescent="0.25">
      <c r="A1706" s="119" t="s">
        <v>2068</v>
      </c>
      <c r="B1706" s="119" t="s">
        <v>9179</v>
      </c>
      <c r="C1706" s="119" t="s">
        <v>66</v>
      </c>
      <c r="D1706" t="s">
        <v>49</v>
      </c>
      <c r="E1706" s="117">
        <v>92.51</v>
      </c>
    </row>
    <row r="1707" spans="1:5" x14ac:dyDescent="0.25">
      <c r="A1707" s="119" t="s">
        <v>2069</v>
      </c>
      <c r="B1707" s="119" t="s">
        <v>9180</v>
      </c>
      <c r="C1707" s="119" t="s">
        <v>66</v>
      </c>
      <c r="D1707" t="s">
        <v>6760</v>
      </c>
      <c r="E1707" s="117">
        <v>75.92</v>
      </c>
    </row>
    <row r="1708" spans="1:5" x14ac:dyDescent="0.25">
      <c r="A1708" s="119" t="s">
        <v>2070</v>
      </c>
      <c r="B1708" s="119" t="s">
        <v>7437</v>
      </c>
      <c r="C1708" s="119" t="s">
        <v>66</v>
      </c>
      <c r="D1708" t="s">
        <v>51</v>
      </c>
      <c r="E1708" s="117">
        <v>165.69</v>
      </c>
    </row>
    <row r="1709" spans="1:5" x14ac:dyDescent="0.25">
      <c r="A1709" s="119" t="s">
        <v>2071</v>
      </c>
      <c r="B1709" s="119" t="s">
        <v>9181</v>
      </c>
      <c r="C1709" s="119" t="s">
        <v>66</v>
      </c>
      <c r="D1709" t="s">
        <v>45</v>
      </c>
      <c r="E1709" s="117">
        <v>47.36</v>
      </c>
    </row>
    <row r="1710" spans="1:5" x14ac:dyDescent="0.25">
      <c r="A1710" s="119" t="s">
        <v>2072</v>
      </c>
      <c r="B1710" s="119" t="s">
        <v>9182</v>
      </c>
      <c r="C1710" s="119" t="s">
        <v>66</v>
      </c>
      <c r="D1710" t="s">
        <v>6759</v>
      </c>
      <c r="E1710" s="117">
        <v>54.29</v>
      </c>
    </row>
    <row r="1711" spans="1:5" x14ac:dyDescent="0.25">
      <c r="A1711" s="119" t="s">
        <v>2073</v>
      </c>
      <c r="B1711" s="119" t="s">
        <v>9183</v>
      </c>
      <c r="C1711" s="119" t="s">
        <v>66</v>
      </c>
      <c r="D1711" t="s">
        <v>45</v>
      </c>
      <c r="E1711" s="117">
        <v>0</v>
      </c>
    </row>
    <row r="1712" spans="1:5" x14ac:dyDescent="0.25">
      <c r="A1712" s="119" t="s">
        <v>2074</v>
      </c>
      <c r="B1712" s="119" t="s">
        <v>9184</v>
      </c>
      <c r="C1712" s="119" t="s">
        <v>66</v>
      </c>
      <c r="D1712" t="s">
        <v>45</v>
      </c>
      <c r="E1712" s="117">
        <v>0</v>
      </c>
    </row>
    <row r="1713" spans="1:5" x14ac:dyDescent="0.25">
      <c r="A1713" s="119" t="s">
        <v>2075</v>
      </c>
      <c r="B1713" s="119" t="s">
        <v>9185</v>
      </c>
      <c r="C1713" s="119" t="s">
        <v>66</v>
      </c>
      <c r="D1713" t="s">
        <v>45</v>
      </c>
      <c r="E1713" s="117">
        <v>0</v>
      </c>
    </row>
    <row r="1714" spans="1:5" x14ac:dyDescent="0.25">
      <c r="A1714" s="119" t="s">
        <v>2076</v>
      </c>
      <c r="B1714" s="119" t="s">
        <v>9186</v>
      </c>
      <c r="C1714" s="119" t="s">
        <v>66</v>
      </c>
      <c r="D1714" t="s">
        <v>45</v>
      </c>
      <c r="E1714" s="117">
        <v>0</v>
      </c>
    </row>
    <row r="1715" spans="1:5" x14ac:dyDescent="0.25">
      <c r="A1715" s="119" t="s">
        <v>2077</v>
      </c>
      <c r="B1715" s="119" t="s">
        <v>9187</v>
      </c>
      <c r="C1715" s="119" t="s">
        <v>66</v>
      </c>
      <c r="D1715" t="s">
        <v>45</v>
      </c>
      <c r="E1715" s="117">
        <v>0</v>
      </c>
    </row>
    <row r="1716" spans="1:5" x14ac:dyDescent="0.25">
      <c r="A1716" s="119" t="s">
        <v>2078</v>
      </c>
      <c r="B1716" s="119" t="s">
        <v>2079</v>
      </c>
      <c r="C1716" s="119" t="s">
        <v>66</v>
      </c>
      <c r="D1716" t="s">
        <v>49</v>
      </c>
      <c r="E1716" s="117">
        <v>38.85</v>
      </c>
    </row>
    <row r="1717" spans="1:5" x14ac:dyDescent="0.25">
      <c r="A1717" s="119" t="s">
        <v>2080</v>
      </c>
      <c r="B1717" s="119" t="s">
        <v>2081</v>
      </c>
      <c r="C1717" s="119" t="s">
        <v>66</v>
      </c>
      <c r="D1717" t="s">
        <v>51</v>
      </c>
      <c r="E1717" s="117">
        <v>394.49</v>
      </c>
    </row>
    <row r="1718" spans="1:5" x14ac:dyDescent="0.25">
      <c r="A1718" s="119" t="s">
        <v>2082</v>
      </c>
      <c r="B1718" s="119" t="s">
        <v>9188</v>
      </c>
      <c r="C1718" s="119" t="s">
        <v>66</v>
      </c>
      <c r="D1718" t="s">
        <v>6760</v>
      </c>
      <c r="E1718" s="117">
        <v>92.4</v>
      </c>
    </row>
    <row r="1719" spans="1:5" x14ac:dyDescent="0.25">
      <c r="A1719" s="119" t="s">
        <v>2083</v>
      </c>
      <c r="B1719" s="119" t="s">
        <v>9189</v>
      </c>
      <c r="C1719" s="119" t="s">
        <v>66</v>
      </c>
      <c r="D1719" t="s">
        <v>45</v>
      </c>
      <c r="E1719" s="117">
        <v>0</v>
      </c>
    </row>
    <row r="1720" spans="1:5" x14ac:dyDescent="0.25">
      <c r="A1720" s="119" t="s">
        <v>2084</v>
      </c>
      <c r="B1720" s="119" t="s">
        <v>2085</v>
      </c>
      <c r="C1720" s="119" t="s">
        <v>66</v>
      </c>
      <c r="D1720" t="s">
        <v>51</v>
      </c>
      <c r="E1720" s="117">
        <v>591.74</v>
      </c>
    </row>
    <row r="1721" spans="1:5" x14ac:dyDescent="0.25">
      <c r="A1721" s="119" t="s">
        <v>2086</v>
      </c>
      <c r="B1721" s="119" t="s">
        <v>9190</v>
      </c>
      <c r="C1721" s="119" t="s">
        <v>66</v>
      </c>
      <c r="D1721" t="s">
        <v>49</v>
      </c>
      <c r="E1721" s="117">
        <v>66.36</v>
      </c>
    </row>
    <row r="1722" spans="1:5" x14ac:dyDescent="0.25">
      <c r="A1722" s="119" t="s">
        <v>2087</v>
      </c>
      <c r="B1722" s="119" t="s">
        <v>9191</v>
      </c>
      <c r="C1722" s="119" t="s">
        <v>66</v>
      </c>
      <c r="D1722" t="s">
        <v>45</v>
      </c>
      <c r="E1722" s="117">
        <v>240.14</v>
      </c>
    </row>
    <row r="1723" spans="1:5" x14ac:dyDescent="0.25">
      <c r="A1723" s="119" t="s">
        <v>2088</v>
      </c>
      <c r="B1723" s="119" t="s">
        <v>9192</v>
      </c>
      <c r="C1723" s="119" t="s">
        <v>66</v>
      </c>
      <c r="D1723" t="s">
        <v>6759</v>
      </c>
      <c r="E1723" s="117">
        <v>210</v>
      </c>
    </row>
    <row r="1724" spans="1:5" x14ac:dyDescent="0.25">
      <c r="A1724" s="119" t="s">
        <v>2089</v>
      </c>
      <c r="B1724" s="119" t="s">
        <v>9193</v>
      </c>
      <c r="C1724" s="119" t="s">
        <v>66</v>
      </c>
      <c r="D1724" t="s">
        <v>6759</v>
      </c>
      <c r="E1724" s="117">
        <v>272.16000000000003</v>
      </c>
    </row>
    <row r="1725" spans="1:5" x14ac:dyDescent="0.25">
      <c r="A1725" s="119" t="s">
        <v>2090</v>
      </c>
      <c r="B1725" s="119" t="s">
        <v>9194</v>
      </c>
      <c r="C1725" s="119" t="s">
        <v>66</v>
      </c>
      <c r="D1725" t="s">
        <v>6759</v>
      </c>
      <c r="E1725" s="117">
        <v>35.81</v>
      </c>
    </row>
    <row r="1726" spans="1:5" x14ac:dyDescent="0.25">
      <c r="A1726" s="119" t="s">
        <v>2091</v>
      </c>
      <c r="B1726" s="119" t="s">
        <v>9195</v>
      </c>
      <c r="C1726" s="119" t="s">
        <v>66</v>
      </c>
      <c r="D1726" t="s">
        <v>6760</v>
      </c>
      <c r="E1726" s="117">
        <v>54.71</v>
      </c>
    </row>
    <row r="1727" spans="1:5" x14ac:dyDescent="0.25">
      <c r="A1727" s="119" t="s">
        <v>2092</v>
      </c>
      <c r="B1727" s="119" t="s">
        <v>9196</v>
      </c>
      <c r="C1727" s="119" t="s">
        <v>66</v>
      </c>
      <c r="D1727" t="s">
        <v>49</v>
      </c>
      <c r="E1727" s="117">
        <v>74.66</v>
      </c>
    </row>
    <row r="1728" spans="1:5" x14ac:dyDescent="0.25">
      <c r="A1728" s="119" t="s">
        <v>2093</v>
      </c>
      <c r="B1728" s="119" t="s">
        <v>2094</v>
      </c>
      <c r="C1728" s="119" t="s">
        <v>66</v>
      </c>
      <c r="D1728" t="s">
        <v>51</v>
      </c>
      <c r="E1728" s="117">
        <v>85.79</v>
      </c>
    </row>
    <row r="1729" spans="1:5" x14ac:dyDescent="0.25">
      <c r="A1729" s="119" t="s">
        <v>2095</v>
      </c>
      <c r="B1729" s="119" t="s">
        <v>2096</v>
      </c>
      <c r="C1729" s="119" t="s">
        <v>66</v>
      </c>
      <c r="D1729" t="s">
        <v>6760</v>
      </c>
      <c r="E1729" s="117">
        <v>95.55</v>
      </c>
    </row>
    <row r="1730" spans="1:5" x14ac:dyDescent="0.25">
      <c r="A1730" s="119" t="s">
        <v>2097</v>
      </c>
      <c r="B1730" s="119" t="s">
        <v>2079</v>
      </c>
      <c r="C1730" s="119" t="s">
        <v>66</v>
      </c>
      <c r="D1730" t="s">
        <v>6759</v>
      </c>
      <c r="E1730" s="117">
        <v>118.02</v>
      </c>
    </row>
    <row r="1731" spans="1:5" x14ac:dyDescent="0.25">
      <c r="A1731" s="119" t="s">
        <v>2098</v>
      </c>
      <c r="B1731" s="119" t="s">
        <v>9197</v>
      </c>
      <c r="C1731" s="119" t="s">
        <v>66</v>
      </c>
      <c r="D1731" t="s">
        <v>45</v>
      </c>
      <c r="E1731" s="117">
        <v>1016.5</v>
      </c>
    </row>
    <row r="1732" spans="1:5" x14ac:dyDescent="0.25">
      <c r="A1732" s="119" t="s">
        <v>2099</v>
      </c>
      <c r="B1732" s="119" t="s">
        <v>9198</v>
      </c>
      <c r="C1732" s="119" t="s">
        <v>66</v>
      </c>
      <c r="D1732" t="s">
        <v>6760</v>
      </c>
      <c r="E1732" s="117">
        <v>69.62</v>
      </c>
    </row>
    <row r="1733" spans="1:5" x14ac:dyDescent="0.25">
      <c r="A1733" s="119" t="s">
        <v>2100</v>
      </c>
      <c r="B1733" s="119" t="s">
        <v>9199</v>
      </c>
      <c r="C1733" s="119" t="s">
        <v>66</v>
      </c>
      <c r="D1733" t="s">
        <v>45</v>
      </c>
      <c r="E1733" s="117">
        <v>0</v>
      </c>
    </row>
    <row r="1734" spans="1:5" x14ac:dyDescent="0.25">
      <c r="A1734" s="119" t="s">
        <v>2101</v>
      </c>
      <c r="B1734" s="119" t="s">
        <v>9200</v>
      </c>
      <c r="C1734" s="119" t="s">
        <v>66</v>
      </c>
      <c r="D1734" t="s">
        <v>49</v>
      </c>
      <c r="E1734" s="117">
        <v>172.31</v>
      </c>
    </row>
    <row r="1735" spans="1:5" x14ac:dyDescent="0.25">
      <c r="A1735" s="119" t="s">
        <v>2102</v>
      </c>
      <c r="B1735" s="119" t="s">
        <v>2103</v>
      </c>
      <c r="C1735" s="119" t="s">
        <v>66</v>
      </c>
      <c r="D1735" t="s">
        <v>6759</v>
      </c>
      <c r="E1735" s="117">
        <v>249</v>
      </c>
    </row>
    <row r="1736" spans="1:5" x14ac:dyDescent="0.25">
      <c r="A1736" s="119" t="s">
        <v>2104</v>
      </c>
      <c r="B1736" s="119" t="s">
        <v>9201</v>
      </c>
      <c r="C1736" s="119" t="s">
        <v>66</v>
      </c>
      <c r="D1736" t="s">
        <v>45</v>
      </c>
      <c r="E1736" s="117">
        <v>0</v>
      </c>
    </row>
    <row r="1737" spans="1:5" x14ac:dyDescent="0.25">
      <c r="A1737" s="119" t="s">
        <v>2105</v>
      </c>
      <c r="B1737" s="119" t="s">
        <v>9202</v>
      </c>
      <c r="C1737" s="119" t="s">
        <v>66</v>
      </c>
      <c r="D1737" t="s">
        <v>6759</v>
      </c>
      <c r="E1737" s="117">
        <v>105.32</v>
      </c>
    </row>
    <row r="1738" spans="1:5" x14ac:dyDescent="0.25">
      <c r="A1738" s="119" t="s">
        <v>2106</v>
      </c>
      <c r="B1738" s="119" t="s">
        <v>1681</v>
      </c>
      <c r="C1738" s="119" t="s">
        <v>66</v>
      </c>
      <c r="D1738" t="s">
        <v>49</v>
      </c>
      <c r="E1738" s="117">
        <v>93.78</v>
      </c>
    </row>
    <row r="1739" spans="1:5" x14ac:dyDescent="0.25">
      <c r="A1739" s="119" t="s">
        <v>2107</v>
      </c>
      <c r="B1739" s="119" t="s">
        <v>9203</v>
      </c>
      <c r="C1739" s="119" t="s">
        <v>66</v>
      </c>
      <c r="D1739" t="s">
        <v>6759</v>
      </c>
      <c r="E1739" s="117">
        <v>132.72</v>
      </c>
    </row>
    <row r="1740" spans="1:5" x14ac:dyDescent="0.25">
      <c r="A1740" s="119" t="s">
        <v>2108</v>
      </c>
      <c r="B1740" s="119" t="s">
        <v>9204</v>
      </c>
      <c r="C1740" s="119" t="s">
        <v>66</v>
      </c>
      <c r="D1740" t="s">
        <v>49</v>
      </c>
      <c r="E1740" s="117">
        <v>120.65</v>
      </c>
    </row>
    <row r="1741" spans="1:5" x14ac:dyDescent="0.25">
      <c r="A1741" s="119" t="s">
        <v>2109</v>
      </c>
      <c r="B1741" s="119" t="s">
        <v>9205</v>
      </c>
      <c r="C1741" s="119" t="s">
        <v>66</v>
      </c>
      <c r="D1741" t="s">
        <v>49</v>
      </c>
      <c r="E1741" s="117">
        <v>120.65</v>
      </c>
    </row>
    <row r="1742" spans="1:5" x14ac:dyDescent="0.25">
      <c r="A1742" s="119" t="s">
        <v>2110</v>
      </c>
      <c r="B1742" s="119" t="s">
        <v>9206</v>
      </c>
      <c r="C1742" s="119" t="s">
        <v>66</v>
      </c>
      <c r="D1742" t="s">
        <v>49</v>
      </c>
      <c r="E1742" s="117">
        <v>108.57</v>
      </c>
    </row>
    <row r="1743" spans="1:5" x14ac:dyDescent="0.25">
      <c r="A1743" s="119" t="s">
        <v>2111</v>
      </c>
      <c r="B1743" s="119" t="s">
        <v>9207</v>
      </c>
      <c r="C1743" s="119" t="s">
        <v>66</v>
      </c>
      <c r="D1743" t="s">
        <v>49</v>
      </c>
      <c r="E1743" s="117">
        <v>144.80000000000001</v>
      </c>
    </row>
    <row r="1744" spans="1:5" x14ac:dyDescent="0.25">
      <c r="A1744" s="119" t="s">
        <v>2112</v>
      </c>
      <c r="B1744" s="119" t="s">
        <v>9208</v>
      </c>
      <c r="C1744" s="119" t="s">
        <v>66</v>
      </c>
      <c r="D1744" t="s">
        <v>6760</v>
      </c>
      <c r="E1744" s="117">
        <v>101.12</v>
      </c>
    </row>
    <row r="1745" spans="1:5" x14ac:dyDescent="0.25">
      <c r="A1745" s="119" t="s">
        <v>2113</v>
      </c>
      <c r="B1745" s="119" t="s">
        <v>9209</v>
      </c>
      <c r="C1745" s="119" t="s">
        <v>66</v>
      </c>
      <c r="D1745" t="s">
        <v>49</v>
      </c>
      <c r="E1745" s="117">
        <v>84.53</v>
      </c>
    </row>
    <row r="1746" spans="1:5" x14ac:dyDescent="0.25">
      <c r="A1746" s="119" t="s">
        <v>2114</v>
      </c>
      <c r="B1746" s="119" t="s">
        <v>9210</v>
      </c>
      <c r="C1746" s="119" t="s">
        <v>66</v>
      </c>
      <c r="D1746" t="s">
        <v>6759</v>
      </c>
      <c r="E1746" s="117">
        <v>108.57</v>
      </c>
    </row>
    <row r="1747" spans="1:5" x14ac:dyDescent="0.25">
      <c r="A1747" s="119" t="s">
        <v>2115</v>
      </c>
      <c r="B1747" s="119" t="s">
        <v>9211</v>
      </c>
      <c r="C1747" s="119" t="s">
        <v>66</v>
      </c>
      <c r="D1747" t="s">
        <v>45</v>
      </c>
      <c r="E1747" s="117">
        <v>84.8</v>
      </c>
    </row>
    <row r="1748" spans="1:5" x14ac:dyDescent="0.25">
      <c r="A1748" s="119" t="s">
        <v>2116</v>
      </c>
      <c r="B1748" s="119" t="s">
        <v>9212</v>
      </c>
      <c r="C1748" s="119" t="s">
        <v>66</v>
      </c>
      <c r="D1748" t="s">
        <v>45</v>
      </c>
      <c r="E1748" s="117">
        <v>80.5</v>
      </c>
    </row>
    <row r="1749" spans="1:5" x14ac:dyDescent="0.25">
      <c r="A1749" s="119" t="s">
        <v>2117</v>
      </c>
      <c r="B1749" s="119" t="s">
        <v>9213</v>
      </c>
      <c r="C1749" s="119" t="s">
        <v>66</v>
      </c>
      <c r="D1749" t="s">
        <v>6759</v>
      </c>
      <c r="E1749" s="117">
        <v>60.38</v>
      </c>
    </row>
    <row r="1750" spans="1:5" x14ac:dyDescent="0.25">
      <c r="A1750" s="119" t="s">
        <v>2118</v>
      </c>
      <c r="B1750" s="119" t="s">
        <v>9214</v>
      </c>
      <c r="C1750" s="119" t="s">
        <v>66</v>
      </c>
      <c r="D1750" t="s">
        <v>6759</v>
      </c>
      <c r="E1750" s="117">
        <v>48.3</v>
      </c>
    </row>
    <row r="1751" spans="1:5" x14ac:dyDescent="0.25">
      <c r="A1751" s="119" t="s">
        <v>2119</v>
      </c>
      <c r="B1751" s="119" t="s">
        <v>9215</v>
      </c>
      <c r="C1751" s="119" t="s">
        <v>66</v>
      </c>
      <c r="D1751" t="s">
        <v>45</v>
      </c>
      <c r="E1751" s="117">
        <v>40.299999999999997</v>
      </c>
    </row>
    <row r="1752" spans="1:5" x14ac:dyDescent="0.25">
      <c r="A1752" s="119" t="s">
        <v>2120</v>
      </c>
      <c r="B1752" s="119" t="s">
        <v>9216</v>
      </c>
      <c r="C1752" s="119" t="s">
        <v>66</v>
      </c>
      <c r="D1752" t="s">
        <v>45</v>
      </c>
      <c r="E1752" s="117">
        <v>0</v>
      </c>
    </row>
    <row r="1753" spans="1:5" x14ac:dyDescent="0.25">
      <c r="A1753" s="119" t="s">
        <v>2121</v>
      </c>
      <c r="B1753" s="119" t="s">
        <v>9217</v>
      </c>
      <c r="C1753" s="119" t="s">
        <v>66</v>
      </c>
      <c r="D1753" t="s">
        <v>6760</v>
      </c>
      <c r="E1753" s="117">
        <v>60.38</v>
      </c>
    </row>
    <row r="1754" spans="1:5" x14ac:dyDescent="0.25">
      <c r="A1754" s="119" t="s">
        <v>2122</v>
      </c>
      <c r="B1754" s="119" t="s">
        <v>9218</v>
      </c>
      <c r="C1754" s="119" t="s">
        <v>66</v>
      </c>
      <c r="D1754" t="s">
        <v>6759</v>
      </c>
      <c r="E1754" s="117">
        <v>48.3</v>
      </c>
    </row>
    <row r="1755" spans="1:5" x14ac:dyDescent="0.25">
      <c r="A1755" s="119" t="s">
        <v>2123</v>
      </c>
      <c r="B1755" s="119" t="s">
        <v>9219</v>
      </c>
      <c r="C1755" s="119" t="s">
        <v>66</v>
      </c>
      <c r="D1755" t="s">
        <v>45</v>
      </c>
      <c r="E1755" s="117">
        <v>48.3</v>
      </c>
    </row>
    <row r="1756" spans="1:5" x14ac:dyDescent="0.25">
      <c r="A1756" s="119" t="s">
        <v>2124</v>
      </c>
      <c r="B1756" s="119" t="s">
        <v>9220</v>
      </c>
      <c r="C1756" s="119" t="s">
        <v>66</v>
      </c>
      <c r="D1756" t="s">
        <v>49</v>
      </c>
      <c r="E1756" s="117">
        <v>48.3</v>
      </c>
    </row>
    <row r="1757" spans="1:5" x14ac:dyDescent="0.25">
      <c r="A1757" s="119" t="s">
        <v>2125</v>
      </c>
      <c r="B1757" s="119" t="s">
        <v>9221</v>
      </c>
      <c r="C1757" s="119" t="s">
        <v>66</v>
      </c>
      <c r="D1757" t="s">
        <v>6759</v>
      </c>
      <c r="E1757" s="117">
        <v>150.78</v>
      </c>
    </row>
    <row r="1758" spans="1:5" x14ac:dyDescent="0.25">
      <c r="A1758" s="119" t="s">
        <v>2126</v>
      </c>
      <c r="B1758" s="119" t="s">
        <v>2127</v>
      </c>
      <c r="C1758" s="119" t="s">
        <v>66</v>
      </c>
      <c r="D1758" t="s">
        <v>6759</v>
      </c>
      <c r="E1758" s="117">
        <v>96.6</v>
      </c>
    </row>
    <row r="1759" spans="1:5" x14ac:dyDescent="0.25">
      <c r="A1759" s="119" t="s">
        <v>2128</v>
      </c>
      <c r="B1759" s="119" t="s">
        <v>9222</v>
      </c>
      <c r="C1759" s="119" t="s">
        <v>66</v>
      </c>
      <c r="D1759" t="s">
        <v>6759</v>
      </c>
      <c r="E1759" s="117">
        <v>231.84</v>
      </c>
    </row>
    <row r="1760" spans="1:5" x14ac:dyDescent="0.25">
      <c r="A1760" s="119" t="s">
        <v>2129</v>
      </c>
      <c r="B1760" s="119" t="s">
        <v>9223</v>
      </c>
      <c r="C1760" s="119" t="s">
        <v>66</v>
      </c>
      <c r="D1760" t="s">
        <v>49</v>
      </c>
      <c r="E1760" s="117">
        <v>144.80000000000001</v>
      </c>
    </row>
    <row r="1761" spans="1:5" x14ac:dyDescent="0.25">
      <c r="A1761" s="119" t="s">
        <v>2130</v>
      </c>
      <c r="B1761" s="119" t="s">
        <v>9224</v>
      </c>
      <c r="C1761" s="119" t="s">
        <v>66</v>
      </c>
      <c r="D1761" t="s">
        <v>45</v>
      </c>
      <c r="E1761" s="117">
        <v>119.39</v>
      </c>
    </row>
    <row r="1762" spans="1:5" x14ac:dyDescent="0.25">
      <c r="A1762" s="119" t="s">
        <v>2131</v>
      </c>
      <c r="B1762" s="119" t="s">
        <v>9225</v>
      </c>
      <c r="C1762" s="119" t="s">
        <v>66</v>
      </c>
      <c r="D1762" t="s">
        <v>49</v>
      </c>
      <c r="E1762" s="117">
        <v>129.47</v>
      </c>
    </row>
    <row r="1763" spans="1:5" x14ac:dyDescent="0.25">
      <c r="A1763" s="119" t="s">
        <v>2132</v>
      </c>
      <c r="B1763" s="119" t="s">
        <v>9226</v>
      </c>
      <c r="C1763" s="119" t="s">
        <v>66</v>
      </c>
      <c r="D1763" t="s">
        <v>45</v>
      </c>
      <c r="E1763" s="117">
        <v>265.33999999999997</v>
      </c>
    </row>
    <row r="1764" spans="1:5" x14ac:dyDescent="0.25">
      <c r="A1764" s="119" t="s">
        <v>2133</v>
      </c>
      <c r="B1764" s="119" t="s">
        <v>2134</v>
      </c>
      <c r="C1764" s="119" t="s">
        <v>66</v>
      </c>
      <c r="D1764" t="s">
        <v>45</v>
      </c>
      <c r="E1764" s="117">
        <v>63.4</v>
      </c>
    </row>
    <row r="1765" spans="1:5" x14ac:dyDescent="0.25">
      <c r="A1765" s="119" t="s">
        <v>2135</v>
      </c>
      <c r="B1765" s="119" t="s">
        <v>9227</v>
      </c>
      <c r="C1765" s="119" t="s">
        <v>66</v>
      </c>
      <c r="D1765" t="s">
        <v>6759</v>
      </c>
      <c r="E1765" s="117">
        <v>14.6</v>
      </c>
    </row>
    <row r="1766" spans="1:5" x14ac:dyDescent="0.25">
      <c r="A1766" s="119" t="s">
        <v>2136</v>
      </c>
      <c r="B1766" s="119" t="s">
        <v>9228</v>
      </c>
      <c r="C1766" s="119" t="s">
        <v>66</v>
      </c>
      <c r="D1766" t="s">
        <v>49</v>
      </c>
      <c r="E1766" s="117">
        <v>14.6</v>
      </c>
    </row>
    <row r="1767" spans="1:5" x14ac:dyDescent="0.25">
      <c r="A1767" s="119" t="s">
        <v>2137</v>
      </c>
      <c r="B1767" s="119" t="s">
        <v>9229</v>
      </c>
      <c r="C1767" s="119" t="s">
        <v>66</v>
      </c>
      <c r="D1767" t="s">
        <v>45</v>
      </c>
      <c r="E1767" s="117">
        <v>14.6</v>
      </c>
    </row>
    <row r="1768" spans="1:5" x14ac:dyDescent="0.25">
      <c r="A1768" s="119" t="s">
        <v>2138</v>
      </c>
      <c r="B1768" s="119" t="s">
        <v>9230</v>
      </c>
      <c r="C1768" s="119" t="s">
        <v>66</v>
      </c>
      <c r="D1768" t="s">
        <v>49</v>
      </c>
      <c r="E1768" s="117">
        <v>14.6</v>
      </c>
    </row>
    <row r="1769" spans="1:5" x14ac:dyDescent="0.25">
      <c r="A1769" s="119" t="s">
        <v>2139</v>
      </c>
      <c r="B1769" s="119" t="s">
        <v>9231</v>
      </c>
      <c r="C1769" s="119" t="s">
        <v>66</v>
      </c>
      <c r="D1769" t="s">
        <v>6759</v>
      </c>
      <c r="E1769" s="117">
        <v>14.6</v>
      </c>
    </row>
    <row r="1770" spans="1:5" x14ac:dyDescent="0.25">
      <c r="A1770" s="119" t="s">
        <v>2140</v>
      </c>
      <c r="B1770" s="119" t="s">
        <v>9232</v>
      </c>
      <c r="C1770" s="119" t="s">
        <v>66</v>
      </c>
      <c r="D1770" t="s">
        <v>45</v>
      </c>
      <c r="E1770" s="117">
        <v>14.6</v>
      </c>
    </row>
    <row r="1771" spans="1:5" x14ac:dyDescent="0.25">
      <c r="A1771" s="119" t="s">
        <v>2141</v>
      </c>
      <c r="B1771" s="119" t="s">
        <v>9233</v>
      </c>
      <c r="C1771" s="119" t="s">
        <v>66</v>
      </c>
      <c r="D1771" t="s">
        <v>6759</v>
      </c>
      <c r="E1771" s="117">
        <v>14.6</v>
      </c>
    </row>
    <row r="1772" spans="1:5" x14ac:dyDescent="0.25">
      <c r="A1772" s="119" t="s">
        <v>2142</v>
      </c>
      <c r="B1772" s="119" t="s">
        <v>9234</v>
      </c>
      <c r="C1772" s="119" t="s">
        <v>66</v>
      </c>
      <c r="D1772" t="s">
        <v>6760</v>
      </c>
      <c r="E1772" s="117">
        <v>14.6</v>
      </c>
    </row>
    <row r="1773" spans="1:5" x14ac:dyDescent="0.25">
      <c r="A1773" s="119" t="s">
        <v>2143</v>
      </c>
      <c r="B1773" s="119" t="s">
        <v>9235</v>
      </c>
      <c r="C1773" s="119" t="s">
        <v>66</v>
      </c>
      <c r="D1773" t="s">
        <v>49</v>
      </c>
      <c r="E1773" s="117">
        <v>14.6</v>
      </c>
    </row>
    <row r="1774" spans="1:5" x14ac:dyDescent="0.25">
      <c r="A1774" s="119" t="s">
        <v>2144</v>
      </c>
      <c r="B1774" s="119" t="s">
        <v>9236</v>
      </c>
      <c r="C1774" s="119" t="s">
        <v>66</v>
      </c>
      <c r="D1774" t="s">
        <v>49</v>
      </c>
      <c r="E1774" s="117">
        <v>14.6</v>
      </c>
    </row>
    <row r="1775" spans="1:5" x14ac:dyDescent="0.25">
      <c r="A1775" s="119" t="s">
        <v>2145</v>
      </c>
      <c r="B1775" s="119" t="s">
        <v>9237</v>
      </c>
      <c r="C1775" s="119" t="s">
        <v>66</v>
      </c>
      <c r="D1775" t="s">
        <v>49</v>
      </c>
      <c r="E1775" s="117">
        <v>14.6</v>
      </c>
    </row>
    <row r="1776" spans="1:5" x14ac:dyDescent="0.25">
      <c r="A1776" s="119" t="s">
        <v>2146</v>
      </c>
      <c r="B1776" s="119" t="s">
        <v>9238</v>
      </c>
      <c r="C1776" s="119" t="s">
        <v>66</v>
      </c>
      <c r="D1776" t="s">
        <v>49</v>
      </c>
      <c r="E1776" s="117">
        <v>14.6</v>
      </c>
    </row>
    <row r="1777" spans="1:5" x14ac:dyDescent="0.25">
      <c r="A1777" s="119" t="s">
        <v>2147</v>
      </c>
      <c r="B1777" s="119" t="s">
        <v>9239</v>
      </c>
      <c r="C1777" s="119" t="s">
        <v>66</v>
      </c>
      <c r="D1777" t="s">
        <v>49</v>
      </c>
      <c r="E1777" s="117">
        <v>14.6</v>
      </c>
    </row>
    <row r="1778" spans="1:5" x14ac:dyDescent="0.25">
      <c r="A1778" s="119" t="s">
        <v>2148</v>
      </c>
      <c r="B1778" s="119" t="s">
        <v>9240</v>
      </c>
      <c r="C1778" s="119" t="s">
        <v>66</v>
      </c>
      <c r="D1778" t="s">
        <v>6760</v>
      </c>
      <c r="E1778" s="117">
        <v>14.7</v>
      </c>
    </row>
    <row r="1779" spans="1:5" x14ac:dyDescent="0.25">
      <c r="A1779" s="119" t="s">
        <v>2149</v>
      </c>
      <c r="B1779" s="119" t="s">
        <v>9241</v>
      </c>
      <c r="C1779" s="119" t="s">
        <v>66</v>
      </c>
      <c r="D1779" t="s">
        <v>6760</v>
      </c>
      <c r="E1779" s="117">
        <v>14.6</v>
      </c>
    </row>
    <row r="1780" spans="1:5" x14ac:dyDescent="0.25">
      <c r="A1780" s="119" t="s">
        <v>2150</v>
      </c>
      <c r="B1780" s="119" t="s">
        <v>9242</v>
      </c>
      <c r="C1780" s="119" t="s">
        <v>66</v>
      </c>
      <c r="D1780" t="s">
        <v>6759</v>
      </c>
      <c r="E1780" s="117">
        <v>14.6</v>
      </c>
    </row>
    <row r="1781" spans="1:5" x14ac:dyDescent="0.25">
      <c r="A1781" s="119" t="s">
        <v>2151</v>
      </c>
      <c r="B1781" s="119" t="s">
        <v>9243</v>
      </c>
      <c r="C1781" s="119" t="s">
        <v>66</v>
      </c>
      <c r="D1781" t="s">
        <v>45</v>
      </c>
      <c r="E1781" s="117">
        <v>13.9</v>
      </c>
    </row>
    <row r="1782" spans="1:5" x14ac:dyDescent="0.25">
      <c r="A1782" s="119" t="s">
        <v>2152</v>
      </c>
      <c r="B1782" s="119" t="s">
        <v>9244</v>
      </c>
      <c r="C1782" s="119" t="s">
        <v>66</v>
      </c>
      <c r="D1782" t="s">
        <v>6759</v>
      </c>
      <c r="E1782" s="117">
        <v>14.6</v>
      </c>
    </row>
    <row r="1783" spans="1:5" x14ac:dyDescent="0.25">
      <c r="A1783" s="119" t="s">
        <v>2153</v>
      </c>
      <c r="B1783" s="119" t="s">
        <v>9245</v>
      </c>
      <c r="C1783" s="119" t="s">
        <v>66</v>
      </c>
      <c r="D1783" t="s">
        <v>6759</v>
      </c>
      <c r="E1783" s="117">
        <v>14.6</v>
      </c>
    </row>
    <row r="1784" spans="1:5" x14ac:dyDescent="0.25">
      <c r="A1784" s="119" t="s">
        <v>2154</v>
      </c>
      <c r="B1784" s="119" t="s">
        <v>9246</v>
      </c>
      <c r="C1784" s="119" t="s">
        <v>66</v>
      </c>
      <c r="D1784" t="s">
        <v>49</v>
      </c>
      <c r="E1784" s="117">
        <v>14.6</v>
      </c>
    </row>
    <row r="1785" spans="1:5" x14ac:dyDescent="0.25">
      <c r="A1785" s="119" t="s">
        <v>2155</v>
      </c>
      <c r="B1785" s="119" t="s">
        <v>9247</v>
      </c>
      <c r="C1785" s="119" t="s">
        <v>66</v>
      </c>
      <c r="D1785" t="s">
        <v>49</v>
      </c>
      <c r="E1785" s="117">
        <v>11.24</v>
      </c>
    </row>
    <row r="1786" spans="1:5" x14ac:dyDescent="0.25">
      <c r="A1786" s="119" t="s">
        <v>2156</v>
      </c>
      <c r="B1786" s="119" t="s">
        <v>9248</v>
      </c>
      <c r="C1786" s="119" t="s">
        <v>66</v>
      </c>
      <c r="D1786" t="s">
        <v>6759</v>
      </c>
      <c r="E1786" s="117">
        <v>11.24</v>
      </c>
    </row>
    <row r="1787" spans="1:5" x14ac:dyDescent="0.25">
      <c r="A1787" s="119" t="s">
        <v>2157</v>
      </c>
      <c r="B1787" s="119" t="s">
        <v>9249</v>
      </c>
      <c r="C1787" s="119" t="s">
        <v>66</v>
      </c>
      <c r="D1787" t="s">
        <v>6759</v>
      </c>
      <c r="E1787" s="117">
        <v>11.24</v>
      </c>
    </row>
    <row r="1788" spans="1:5" x14ac:dyDescent="0.25">
      <c r="A1788" s="119" t="s">
        <v>2158</v>
      </c>
      <c r="B1788" s="119" t="s">
        <v>9250</v>
      </c>
      <c r="C1788" s="119" t="s">
        <v>66</v>
      </c>
      <c r="D1788" t="s">
        <v>49</v>
      </c>
      <c r="E1788" s="117">
        <v>50.73</v>
      </c>
    </row>
    <row r="1789" spans="1:5" x14ac:dyDescent="0.25">
      <c r="A1789" s="119" t="s">
        <v>2159</v>
      </c>
      <c r="B1789" s="119" t="s">
        <v>9251</v>
      </c>
      <c r="C1789" s="119" t="s">
        <v>66</v>
      </c>
      <c r="D1789" t="s">
        <v>49</v>
      </c>
      <c r="E1789" s="117">
        <v>14.6</v>
      </c>
    </row>
    <row r="1790" spans="1:5" x14ac:dyDescent="0.25">
      <c r="A1790" s="119" t="s">
        <v>2160</v>
      </c>
      <c r="B1790" s="119" t="s">
        <v>9252</v>
      </c>
      <c r="C1790" s="119" t="s">
        <v>66</v>
      </c>
      <c r="D1790" t="s">
        <v>6759</v>
      </c>
      <c r="E1790" s="117">
        <v>14.6</v>
      </c>
    </row>
    <row r="1791" spans="1:5" x14ac:dyDescent="0.25">
      <c r="A1791" s="119" t="s">
        <v>2161</v>
      </c>
      <c r="B1791" s="119" t="s">
        <v>9253</v>
      </c>
      <c r="C1791" s="119" t="s">
        <v>66</v>
      </c>
      <c r="D1791" t="s">
        <v>6760</v>
      </c>
      <c r="E1791" s="117">
        <v>14.6</v>
      </c>
    </row>
    <row r="1792" spans="1:5" x14ac:dyDescent="0.25">
      <c r="A1792" s="119" t="s">
        <v>2162</v>
      </c>
      <c r="B1792" s="119" t="s">
        <v>1978</v>
      </c>
      <c r="C1792" s="119" t="s">
        <v>66</v>
      </c>
      <c r="D1792" t="s">
        <v>51</v>
      </c>
      <c r="E1792" s="117">
        <v>75</v>
      </c>
    </row>
    <row r="1793" spans="1:5" x14ac:dyDescent="0.25">
      <c r="A1793" s="119" t="s">
        <v>2163</v>
      </c>
      <c r="B1793" s="119" t="s">
        <v>2164</v>
      </c>
      <c r="C1793" s="119" t="s">
        <v>66</v>
      </c>
      <c r="D1793" t="s">
        <v>49</v>
      </c>
      <c r="E1793" s="117">
        <v>219.56</v>
      </c>
    </row>
    <row r="1794" spans="1:5" x14ac:dyDescent="0.25">
      <c r="A1794" s="119" t="s">
        <v>2165</v>
      </c>
      <c r="B1794" s="119" t="s">
        <v>2166</v>
      </c>
      <c r="C1794" s="119" t="s">
        <v>66</v>
      </c>
      <c r="D1794" t="s">
        <v>6759</v>
      </c>
      <c r="E1794" s="117">
        <v>1002.75</v>
      </c>
    </row>
    <row r="1795" spans="1:5" x14ac:dyDescent="0.25">
      <c r="A1795" s="119" t="s">
        <v>2167</v>
      </c>
      <c r="B1795" s="119" t="s">
        <v>9254</v>
      </c>
      <c r="C1795" s="119" t="s">
        <v>66</v>
      </c>
      <c r="D1795" t="s">
        <v>51</v>
      </c>
      <c r="E1795" s="117">
        <v>6.09</v>
      </c>
    </row>
    <row r="1796" spans="1:5" x14ac:dyDescent="0.25">
      <c r="A1796" s="119" t="s">
        <v>7438</v>
      </c>
      <c r="B1796" s="119" t="s">
        <v>7439</v>
      </c>
      <c r="C1796" s="119" t="s">
        <v>66</v>
      </c>
      <c r="D1796" t="s">
        <v>45</v>
      </c>
      <c r="E1796" s="117">
        <v>9999</v>
      </c>
    </row>
    <row r="1797" spans="1:5" x14ac:dyDescent="0.25">
      <c r="A1797" s="119" t="s">
        <v>2168</v>
      </c>
      <c r="B1797" s="119" t="s">
        <v>9255</v>
      </c>
      <c r="C1797" s="119" t="s">
        <v>66</v>
      </c>
      <c r="D1797" t="s">
        <v>6760</v>
      </c>
      <c r="E1797" s="117">
        <v>6.37</v>
      </c>
    </row>
    <row r="1798" spans="1:5" x14ac:dyDescent="0.25">
      <c r="A1798" s="119" t="s">
        <v>2169</v>
      </c>
      <c r="B1798" s="119" t="s">
        <v>9254</v>
      </c>
      <c r="C1798" s="119" t="s">
        <v>66</v>
      </c>
      <c r="D1798" t="s">
        <v>45</v>
      </c>
      <c r="E1798" s="117">
        <v>6.09</v>
      </c>
    </row>
    <row r="1799" spans="1:5" x14ac:dyDescent="0.25">
      <c r="A1799" s="119" t="s">
        <v>2170</v>
      </c>
      <c r="B1799" s="119" t="s">
        <v>9256</v>
      </c>
      <c r="C1799" s="119" t="s">
        <v>66</v>
      </c>
      <c r="D1799" t="s">
        <v>45</v>
      </c>
      <c r="E1799" s="117">
        <v>5.5</v>
      </c>
    </row>
    <row r="1800" spans="1:5" x14ac:dyDescent="0.25">
      <c r="A1800" s="119" t="s">
        <v>2171</v>
      </c>
      <c r="B1800" s="119" t="s">
        <v>9257</v>
      </c>
      <c r="C1800" s="119" t="s">
        <v>66</v>
      </c>
      <c r="D1800" t="s">
        <v>6760</v>
      </c>
      <c r="E1800" s="117">
        <v>6.83</v>
      </c>
    </row>
    <row r="1801" spans="1:5" x14ac:dyDescent="0.25">
      <c r="A1801" s="119" t="s">
        <v>2172</v>
      </c>
      <c r="B1801" s="119" t="s">
        <v>2173</v>
      </c>
      <c r="C1801" s="119" t="s">
        <v>66</v>
      </c>
      <c r="D1801" t="s">
        <v>51</v>
      </c>
      <c r="E1801" s="117">
        <v>31</v>
      </c>
    </row>
    <row r="1802" spans="1:5" x14ac:dyDescent="0.25">
      <c r="A1802" s="119" t="s">
        <v>2174</v>
      </c>
      <c r="B1802" s="119" t="s">
        <v>9258</v>
      </c>
      <c r="C1802" s="119" t="s">
        <v>66</v>
      </c>
      <c r="D1802" t="s">
        <v>45</v>
      </c>
      <c r="E1802" s="117">
        <v>34.270000000000003</v>
      </c>
    </row>
    <row r="1803" spans="1:5" x14ac:dyDescent="0.25">
      <c r="A1803" s="119" t="s">
        <v>2175</v>
      </c>
      <c r="B1803" s="119" t="s">
        <v>9259</v>
      </c>
      <c r="C1803" s="119" t="s">
        <v>66</v>
      </c>
      <c r="D1803" t="s">
        <v>45</v>
      </c>
      <c r="E1803" s="117">
        <v>31.3</v>
      </c>
    </row>
    <row r="1804" spans="1:5" x14ac:dyDescent="0.25">
      <c r="A1804" s="119" t="s">
        <v>2176</v>
      </c>
      <c r="B1804" s="119" t="s">
        <v>2177</v>
      </c>
      <c r="C1804" s="119" t="s">
        <v>66</v>
      </c>
      <c r="D1804" t="s">
        <v>51</v>
      </c>
      <c r="E1804" s="117">
        <v>111.3</v>
      </c>
    </row>
    <row r="1805" spans="1:5" x14ac:dyDescent="0.25">
      <c r="A1805" s="119" t="s">
        <v>2178</v>
      </c>
      <c r="B1805" s="119" t="s">
        <v>9260</v>
      </c>
      <c r="C1805" s="119" t="s">
        <v>66</v>
      </c>
      <c r="D1805" t="s">
        <v>51</v>
      </c>
      <c r="E1805" s="117">
        <v>105</v>
      </c>
    </row>
    <row r="1806" spans="1:5" x14ac:dyDescent="0.25">
      <c r="A1806" s="119" t="s">
        <v>2179</v>
      </c>
      <c r="B1806" s="119" t="s">
        <v>9261</v>
      </c>
      <c r="C1806" s="119" t="s">
        <v>66</v>
      </c>
      <c r="D1806" t="s">
        <v>45</v>
      </c>
      <c r="E1806" s="117">
        <v>106</v>
      </c>
    </row>
    <row r="1807" spans="1:5" x14ac:dyDescent="0.25">
      <c r="A1807" s="119" t="s">
        <v>2180</v>
      </c>
      <c r="B1807" s="119" t="s">
        <v>9262</v>
      </c>
      <c r="C1807" s="119" t="s">
        <v>66</v>
      </c>
      <c r="D1807" t="s">
        <v>45</v>
      </c>
      <c r="E1807" s="117">
        <v>0</v>
      </c>
    </row>
    <row r="1808" spans="1:5" x14ac:dyDescent="0.25">
      <c r="A1808" s="119" t="s">
        <v>2181</v>
      </c>
      <c r="B1808" s="119" t="s">
        <v>2182</v>
      </c>
      <c r="C1808" s="119" t="s">
        <v>66</v>
      </c>
      <c r="D1808" t="s">
        <v>51</v>
      </c>
      <c r="E1808" s="117">
        <v>8.4</v>
      </c>
    </row>
    <row r="1809" spans="1:5" x14ac:dyDescent="0.25">
      <c r="A1809" s="119" t="s">
        <v>2183</v>
      </c>
      <c r="B1809" s="119" t="s">
        <v>2184</v>
      </c>
      <c r="C1809" s="119" t="s">
        <v>66</v>
      </c>
      <c r="D1809" t="s">
        <v>45</v>
      </c>
      <c r="E1809" s="117">
        <v>8</v>
      </c>
    </row>
    <row r="1810" spans="1:5" x14ac:dyDescent="0.25">
      <c r="A1810" s="119" t="s">
        <v>2185</v>
      </c>
      <c r="B1810" s="119" t="s">
        <v>9263</v>
      </c>
      <c r="C1810" s="119" t="s">
        <v>66</v>
      </c>
      <c r="D1810" t="s">
        <v>51</v>
      </c>
      <c r="E1810" s="117">
        <v>111.3</v>
      </c>
    </row>
    <row r="1811" spans="1:5" x14ac:dyDescent="0.25">
      <c r="A1811" s="119" t="s">
        <v>2186</v>
      </c>
      <c r="B1811" s="119" t="s">
        <v>9264</v>
      </c>
      <c r="C1811" s="119" t="s">
        <v>66</v>
      </c>
      <c r="D1811" t="s">
        <v>45</v>
      </c>
      <c r="E1811" s="117">
        <v>118</v>
      </c>
    </row>
    <row r="1812" spans="1:5" x14ac:dyDescent="0.25">
      <c r="A1812" s="119" t="s">
        <v>2187</v>
      </c>
      <c r="B1812" s="119" t="s">
        <v>9265</v>
      </c>
      <c r="C1812" s="119" t="s">
        <v>66</v>
      </c>
      <c r="D1812" t="s">
        <v>51</v>
      </c>
      <c r="E1812" s="117">
        <v>123.9</v>
      </c>
    </row>
    <row r="1813" spans="1:5" x14ac:dyDescent="0.25">
      <c r="A1813" s="119" t="s">
        <v>2188</v>
      </c>
      <c r="B1813" s="119" t="s">
        <v>9266</v>
      </c>
      <c r="C1813" s="119" t="s">
        <v>66</v>
      </c>
      <c r="D1813" t="s">
        <v>49</v>
      </c>
      <c r="E1813" s="117">
        <v>23.59</v>
      </c>
    </row>
    <row r="1814" spans="1:5" x14ac:dyDescent="0.25">
      <c r="A1814" s="119" t="s">
        <v>2189</v>
      </c>
      <c r="B1814" s="119" t="s">
        <v>9267</v>
      </c>
      <c r="C1814" s="119" t="s">
        <v>66</v>
      </c>
      <c r="D1814" t="s">
        <v>45</v>
      </c>
      <c r="E1814" s="117">
        <v>0</v>
      </c>
    </row>
    <row r="1815" spans="1:5" x14ac:dyDescent="0.25">
      <c r="A1815" s="119" t="s">
        <v>2190</v>
      </c>
      <c r="B1815" s="119" t="s">
        <v>9268</v>
      </c>
      <c r="C1815" s="119" t="s">
        <v>66</v>
      </c>
      <c r="D1815" t="s">
        <v>45</v>
      </c>
      <c r="E1815" s="117">
        <v>0</v>
      </c>
    </row>
    <row r="1816" spans="1:5" x14ac:dyDescent="0.25">
      <c r="A1816" s="119" t="s">
        <v>2191</v>
      </c>
      <c r="B1816" s="119" t="s">
        <v>9269</v>
      </c>
      <c r="C1816" s="119" t="s">
        <v>66</v>
      </c>
      <c r="D1816" t="s">
        <v>45</v>
      </c>
      <c r="E1816" s="117">
        <v>0</v>
      </c>
    </row>
    <row r="1817" spans="1:5" x14ac:dyDescent="0.25">
      <c r="A1817" s="119" t="s">
        <v>2192</v>
      </c>
      <c r="B1817" s="119" t="s">
        <v>9270</v>
      </c>
      <c r="C1817" s="119" t="s">
        <v>66</v>
      </c>
      <c r="D1817" t="s">
        <v>49</v>
      </c>
      <c r="E1817" s="117">
        <v>23.59</v>
      </c>
    </row>
    <row r="1818" spans="1:5" x14ac:dyDescent="0.25">
      <c r="A1818" s="119" t="s">
        <v>2193</v>
      </c>
      <c r="B1818" s="119" t="s">
        <v>9271</v>
      </c>
      <c r="C1818" s="119" t="s">
        <v>66</v>
      </c>
      <c r="D1818" t="s">
        <v>45</v>
      </c>
      <c r="E1818" s="117">
        <v>0</v>
      </c>
    </row>
    <row r="1819" spans="1:5" x14ac:dyDescent="0.25">
      <c r="A1819" s="119" t="s">
        <v>2194</v>
      </c>
      <c r="B1819" s="119" t="s">
        <v>9272</v>
      </c>
      <c r="C1819" s="119" t="s">
        <v>66</v>
      </c>
      <c r="D1819" t="s">
        <v>45</v>
      </c>
      <c r="E1819" s="117">
        <v>20.67</v>
      </c>
    </row>
    <row r="1820" spans="1:5" x14ac:dyDescent="0.25">
      <c r="A1820" s="119" t="s">
        <v>2195</v>
      </c>
      <c r="B1820" s="119" t="s">
        <v>9273</v>
      </c>
      <c r="C1820" s="119" t="s">
        <v>66</v>
      </c>
      <c r="D1820" t="s">
        <v>45</v>
      </c>
      <c r="E1820" s="117">
        <v>0</v>
      </c>
    </row>
    <row r="1821" spans="1:5" x14ac:dyDescent="0.25">
      <c r="A1821" s="119" t="s">
        <v>2196</v>
      </c>
      <c r="B1821" s="119" t="s">
        <v>9274</v>
      </c>
      <c r="C1821" s="119" t="s">
        <v>66</v>
      </c>
      <c r="D1821" t="s">
        <v>45</v>
      </c>
      <c r="E1821" s="117">
        <v>29.55</v>
      </c>
    </row>
    <row r="1822" spans="1:5" x14ac:dyDescent="0.25">
      <c r="A1822" s="119" t="s">
        <v>2197</v>
      </c>
      <c r="B1822" s="119" t="s">
        <v>9275</v>
      </c>
      <c r="C1822" s="119" t="s">
        <v>66</v>
      </c>
      <c r="D1822" t="s">
        <v>45</v>
      </c>
      <c r="E1822" s="117">
        <v>0</v>
      </c>
    </row>
    <row r="1823" spans="1:5" x14ac:dyDescent="0.25">
      <c r="A1823" s="119" t="s">
        <v>2198</v>
      </c>
      <c r="B1823" s="119" t="s">
        <v>9276</v>
      </c>
      <c r="C1823" s="119" t="s">
        <v>66</v>
      </c>
      <c r="D1823" t="s">
        <v>45</v>
      </c>
      <c r="E1823" s="117">
        <v>0</v>
      </c>
    </row>
    <row r="1824" spans="1:5" x14ac:dyDescent="0.25">
      <c r="A1824" s="119" t="s">
        <v>2199</v>
      </c>
      <c r="B1824" s="119" t="s">
        <v>9277</v>
      </c>
      <c r="C1824" s="119" t="s">
        <v>66</v>
      </c>
      <c r="D1824" t="s">
        <v>45</v>
      </c>
      <c r="E1824" s="117">
        <v>14.16</v>
      </c>
    </row>
    <row r="1825" spans="1:5" x14ac:dyDescent="0.25">
      <c r="A1825" s="119" t="s">
        <v>2200</v>
      </c>
      <c r="B1825" s="119" t="s">
        <v>9278</v>
      </c>
      <c r="C1825" s="119" t="s">
        <v>66</v>
      </c>
      <c r="D1825" t="s">
        <v>45</v>
      </c>
      <c r="E1825" s="117">
        <v>14.16</v>
      </c>
    </row>
    <row r="1826" spans="1:5" x14ac:dyDescent="0.25">
      <c r="A1826" s="119" t="s">
        <v>2201</v>
      </c>
      <c r="B1826" s="119" t="s">
        <v>9279</v>
      </c>
      <c r="C1826" s="119" t="s">
        <v>66</v>
      </c>
      <c r="D1826" t="s">
        <v>45</v>
      </c>
      <c r="E1826" s="117">
        <v>25.39</v>
      </c>
    </row>
    <row r="1827" spans="1:5" x14ac:dyDescent="0.25">
      <c r="A1827" s="119" t="s">
        <v>2202</v>
      </c>
      <c r="B1827" s="119" t="s">
        <v>9280</v>
      </c>
      <c r="C1827" s="119" t="s">
        <v>66</v>
      </c>
      <c r="D1827" t="s">
        <v>45</v>
      </c>
      <c r="E1827" s="117">
        <v>14.87</v>
      </c>
    </row>
    <row r="1828" spans="1:5" x14ac:dyDescent="0.25">
      <c r="A1828" s="119" t="s">
        <v>2203</v>
      </c>
      <c r="B1828" s="119" t="s">
        <v>9281</v>
      </c>
      <c r="C1828" s="119" t="s">
        <v>66</v>
      </c>
      <c r="D1828" t="s">
        <v>45</v>
      </c>
      <c r="E1828" s="117">
        <v>16.52</v>
      </c>
    </row>
    <row r="1829" spans="1:5" x14ac:dyDescent="0.25">
      <c r="A1829" s="119" t="s">
        <v>2204</v>
      </c>
      <c r="B1829" s="119" t="s">
        <v>9282</v>
      </c>
      <c r="C1829" s="119" t="s">
        <v>66</v>
      </c>
      <c r="D1829" t="s">
        <v>45</v>
      </c>
      <c r="E1829" s="117">
        <v>0</v>
      </c>
    </row>
    <row r="1830" spans="1:5" x14ac:dyDescent="0.25">
      <c r="A1830" s="119" t="s">
        <v>2205</v>
      </c>
      <c r="B1830" s="119" t="s">
        <v>9283</v>
      </c>
      <c r="C1830" s="119" t="s">
        <v>66</v>
      </c>
      <c r="D1830" t="s">
        <v>45</v>
      </c>
      <c r="E1830" s="117">
        <v>0</v>
      </c>
    </row>
    <row r="1831" spans="1:5" x14ac:dyDescent="0.25">
      <c r="A1831" s="119" t="s">
        <v>2206</v>
      </c>
      <c r="B1831" s="119" t="s">
        <v>9284</v>
      </c>
      <c r="C1831" s="119" t="s">
        <v>66</v>
      </c>
      <c r="D1831" t="s">
        <v>45</v>
      </c>
      <c r="E1831" s="117">
        <v>0</v>
      </c>
    </row>
    <row r="1832" spans="1:5" x14ac:dyDescent="0.25">
      <c r="A1832" s="119" t="s">
        <v>2207</v>
      </c>
      <c r="B1832" s="119" t="s">
        <v>9285</v>
      </c>
      <c r="C1832" s="119" t="s">
        <v>66</v>
      </c>
      <c r="D1832" t="s">
        <v>45</v>
      </c>
      <c r="E1832" s="117">
        <v>20.11</v>
      </c>
    </row>
    <row r="1833" spans="1:5" x14ac:dyDescent="0.25">
      <c r="A1833" s="119" t="s">
        <v>2208</v>
      </c>
      <c r="B1833" s="119" t="s">
        <v>9286</v>
      </c>
      <c r="C1833" s="119" t="s">
        <v>66</v>
      </c>
      <c r="D1833" t="s">
        <v>45</v>
      </c>
      <c r="E1833" s="117">
        <v>0</v>
      </c>
    </row>
    <row r="1834" spans="1:5" x14ac:dyDescent="0.25">
      <c r="A1834" s="119" t="s">
        <v>2209</v>
      </c>
      <c r="B1834" s="119" t="s">
        <v>9287</v>
      </c>
      <c r="C1834" s="119" t="s">
        <v>66</v>
      </c>
      <c r="D1834" t="s">
        <v>45</v>
      </c>
      <c r="E1834" s="117">
        <v>27</v>
      </c>
    </row>
    <row r="1835" spans="1:5" x14ac:dyDescent="0.25">
      <c r="A1835" s="119" t="s">
        <v>2210</v>
      </c>
      <c r="B1835" s="119" t="s">
        <v>9288</v>
      </c>
      <c r="C1835" s="119" t="s">
        <v>66</v>
      </c>
      <c r="D1835" t="s">
        <v>45</v>
      </c>
      <c r="E1835" s="117">
        <v>31</v>
      </c>
    </row>
    <row r="1836" spans="1:5" x14ac:dyDescent="0.25">
      <c r="A1836" s="119" t="s">
        <v>2211</v>
      </c>
      <c r="B1836" s="119" t="s">
        <v>6448</v>
      </c>
      <c r="C1836" s="119" t="s">
        <v>66</v>
      </c>
      <c r="D1836" t="s">
        <v>45</v>
      </c>
      <c r="E1836" s="117">
        <v>22.42</v>
      </c>
    </row>
    <row r="1837" spans="1:5" x14ac:dyDescent="0.25">
      <c r="A1837" s="119" t="s">
        <v>2212</v>
      </c>
      <c r="B1837" s="119" t="s">
        <v>6449</v>
      </c>
      <c r="C1837" s="119" t="s">
        <v>66</v>
      </c>
      <c r="D1837" t="s">
        <v>45</v>
      </c>
      <c r="E1837" s="117">
        <v>21</v>
      </c>
    </row>
    <row r="1838" spans="1:5" x14ac:dyDescent="0.25">
      <c r="A1838" s="119" t="s">
        <v>2213</v>
      </c>
      <c r="B1838" s="119" t="s">
        <v>9289</v>
      </c>
      <c r="C1838" s="119" t="s">
        <v>66</v>
      </c>
      <c r="D1838" t="s">
        <v>45</v>
      </c>
      <c r="E1838" s="117">
        <v>0</v>
      </c>
    </row>
    <row r="1839" spans="1:5" x14ac:dyDescent="0.25">
      <c r="A1839" s="119" t="s">
        <v>2214</v>
      </c>
      <c r="B1839" s="119" t="s">
        <v>9290</v>
      </c>
      <c r="C1839" s="119" t="s">
        <v>66</v>
      </c>
      <c r="D1839" t="s">
        <v>45</v>
      </c>
      <c r="E1839" s="117">
        <v>21.4</v>
      </c>
    </row>
    <row r="1840" spans="1:5" x14ac:dyDescent="0.25">
      <c r="A1840" s="119" t="s">
        <v>2215</v>
      </c>
      <c r="B1840" s="119" t="s">
        <v>9291</v>
      </c>
      <c r="C1840" s="119" t="s">
        <v>66</v>
      </c>
      <c r="D1840" t="s">
        <v>45</v>
      </c>
      <c r="E1840" s="117">
        <v>0</v>
      </c>
    </row>
    <row r="1841" spans="1:5" x14ac:dyDescent="0.25">
      <c r="A1841" s="119" t="s">
        <v>2216</v>
      </c>
      <c r="B1841" s="119" t="s">
        <v>2217</v>
      </c>
      <c r="C1841" s="119" t="s">
        <v>66</v>
      </c>
      <c r="D1841" t="s">
        <v>6759</v>
      </c>
      <c r="E1841" s="117">
        <v>42.53</v>
      </c>
    </row>
    <row r="1842" spans="1:5" x14ac:dyDescent="0.25">
      <c r="A1842" s="119" t="s">
        <v>2218</v>
      </c>
      <c r="B1842" s="119" t="s">
        <v>2219</v>
      </c>
      <c r="C1842" s="119" t="s">
        <v>66</v>
      </c>
      <c r="D1842" t="s">
        <v>49</v>
      </c>
      <c r="E1842" s="117">
        <v>37.799999999999997</v>
      </c>
    </row>
    <row r="1843" spans="1:5" x14ac:dyDescent="0.25">
      <c r="A1843" s="119" t="s">
        <v>2220</v>
      </c>
      <c r="B1843" s="119" t="s">
        <v>9292</v>
      </c>
      <c r="C1843" s="119" t="s">
        <v>66</v>
      </c>
      <c r="D1843" t="s">
        <v>51</v>
      </c>
      <c r="E1843" s="117">
        <v>45.9</v>
      </c>
    </row>
    <row r="1844" spans="1:5" x14ac:dyDescent="0.25">
      <c r="A1844" s="119" t="s">
        <v>2221</v>
      </c>
      <c r="B1844" s="119" t="s">
        <v>9293</v>
      </c>
      <c r="C1844" s="119" t="s">
        <v>66</v>
      </c>
      <c r="D1844" t="s">
        <v>49</v>
      </c>
      <c r="E1844" s="117">
        <v>93.2</v>
      </c>
    </row>
    <row r="1845" spans="1:5" x14ac:dyDescent="0.25">
      <c r="A1845" s="119" t="s">
        <v>2222</v>
      </c>
      <c r="B1845" s="119" t="s">
        <v>9294</v>
      </c>
      <c r="C1845" s="119" t="s">
        <v>66</v>
      </c>
      <c r="D1845" t="s">
        <v>51</v>
      </c>
      <c r="E1845" s="117">
        <v>51.56</v>
      </c>
    </row>
    <row r="1846" spans="1:5" x14ac:dyDescent="0.25">
      <c r="A1846" s="119" t="s">
        <v>2223</v>
      </c>
      <c r="B1846" s="119" t="s">
        <v>9295</v>
      </c>
      <c r="C1846" s="119" t="s">
        <v>66</v>
      </c>
      <c r="D1846" t="s">
        <v>51</v>
      </c>
      <c r="E1846" s="117">
        <v>105.59</v>
      </c>
    </row>
    <row r="1847" spans="1:5" x14ac:dyDescent="0.25">
      <c r="A1847" s="119" t="s">
        <v>2224</v>
      </c>
      <c r="B1847" s="119" t="s">
        <v>9296</v>
      </c>
      <c r="C1847" s="119" t="s">
        <v>66</v>
      </c>
      <c r="D1847" t="s">
        <v>51</v>
      </c>
      <c r="E1847" s="117">
        <v>57.69</v>
      </c>
    </row>
    <row r="1848" spans="1:5" x14ac:dyDescent="0.25">
      <c r="A1848" s="119" t="s">
        <v>2225</v>
      </c>
      <c r="B1848" s="119" t="s">
        <v>9297</v>
      </c>
      <c r="C1848" s="119" t="s">
        <v>66</v>
      </c>
      <c r="D1848" t="s">
        <v>51</v>
      </c>
      <c r="E1848" s="117">
        <v>22.58</v>
      </c>
    </row>
    <row r="1849" spans="1:5" x14ac:dyDescent="0.25">
      <c r="A1849" s="119" t="s">
        <v>2226</v>
      </c>
      <c r="B1849" s="119" t="s">
        <v>2227</v>
      </c>
      <c r="C1849" s="119" t="s">
        <v>66</v>
      </c>
      <c r="D1849" t="s">
        <v>51</v>
      </c>
      <c r="E1849" s="117">
        <v>29.4</v>
      </c>
    </row>
    <row r="1850" spans="1:5" x14ac:dyDescent="0.25">
      <c r="A1850" s="119" t="s">
        <v>2228</v>
      </c>
      <c r="B1850" s="119" t="s">
        <v>9298</v>
      </c>
      <c r="C1850" s="119" t="s">
        <v>66</v>
      </c>
      <c r="D1850" t="s">
        <v>6759</v>
      </c>
      <c r="E1850" s="117">
        <v>73.5</v>
      </c>
    </row>
    <row r="1851" spans="1:5" x14ac:dyDescent="0.25">
      <c r="A1851" s="119" t="s">
        <v>2229</v>
      </c>
      <c r="B1851" s="119" t="s">
        <v>2230</v>
      </c>
      <c r="C1851" s="119" t="s">
        <v>66</v>
      </c>
      <c r="D1851" t="s">
        <v>45</v>
      </c>
      <c r="E1851" s="117">
        <v>88.52</v>
      </c>
    </row>
    <row r="1852" spans="1:5" x14ac:dyDescent="0.25">
      <c r="A1852" s="119" t="s">
        <v>2231</v>
      </c>
      <c r="B1852" s="119" t="s">
        <v>2232</v>
      </c>
      <c r="C1852" s="119" t="s">
        <v>66</v>
      </c>
      <c r="D1852" t="s">
        <v>45</v>
      </c>
      <c r="E1852" s="117">
        <v>301.56</v>
      </c>
    </row>
    <row r="1853" spans="1:5" x14ac:dyDescent="0.25">
      <c r="A1853" s="119" t="s">
        <v>2233</v>
      </c>
      <c r="B1853" s="119" t="s">
        <v>2234</v>
      </c>
      <c r="C1853" s="119" t="s">
        <v>66</v>
      </c>
      <c r="D1853" t="s">
        <v>45</v>
      </c>
      <c r="E1853" s="117">
        <v>0</v>
      </c>
    </row>
    <row r="1854" spans="1:5" x14ac:dyDescent="0.25">
      <c r="A1854" s="119" t="s">
        <v>2235</v>
      </c>
      <c r="B1854" s="119" t="s">
        <v>9299</v>
      </c>
      <c r="C1854" s="119" t="s">
        <v>66</v>
      </c>
      <c r="D1854" t="s">
        <v>6759</v>
      </c>
      <c r="E1854" s="117">
        <v>247.17</v>
      </c>
    </row>
    <row r="1855" spans="1:5" x14ac:dyDescent="0.25">
      <c r="A1855" s="119" t="s">
        <v>2236</v>
      </c>
      <c r="B1855" s="119" t="s">
        <v>9300</v>
      </c>
      <c r="C1855" s="119" t="s">
        <v>66</v>
      </c>
      <c r="D1855" t="s">
        <v>6759</v>
      </c>
      <c r="E1855" s="117">
        <v>301.56</v>
      </c>
    </row>
    <row r="1856" spans="1:5" x14ac:dyDescent="0.25">
      <c r="A1856" s="119" t="s">
        <v>2237</v>
      </c>
      <c r="B1856" s="119" t="s">
        <v>9301</v>
      </c>
      <c r="C1856" s="119" t="s">
        <v>66</v>
      </c>
      <c r="D1856" t="s">
        <v>45</v>
      </c>
      <c r="E1856" s="117">
        <v>0</v>
      </c>
    </row>
    <row r="1857" spans="1:5" x14ac:dyDescent="0.25">
      <c r="A1857" s="119" t="s">
        <v>2238</v>
      </c>
      <c r="B1857" s="119" t="s">
        <v>2239</v>
      </c>
      <c r="C1857" s="119" t="s">
        <v>66</v>
      </c>
      <c r="D1857" t="s">
        <v>45</v>
      </c>
      <c r="E1857" s="117">
        <v>17.850000000000001</v>
      </c>
    </row>
    <row r="1858" spans="1:5" x14ac:dyDescent="0.25">
      <c r="A1858" s="119" t="s">
        <v>2240</v>
      </c>
      <c r="B1858" s="119" t="s">
        <v>9302</v>
      </c>
      <c r="C1858" s="119" t="s">
        <v>66</v>
      </c>
      <c r="D1858" t="s">
        <v>51</v>
      </c>
      <c r="E1858" s="117">
        <v>37.380000000000003</v>
      </c>
    </row>
    <row r="1859" spans="1:5" x14ac:dyDescent="0.25">
      <c r="A1859" s="119" t="s">
        <v>2241</v>
      </c>
      <c r="B1859" s="119" t="s">
        <v>9303</v>
      </c>
      <c r="C1859" s="119" t="s">
        <v>66</v>
      </c>
      <c r="D1859" t="s">
        <v>45</v>
      </c>
      <c r="E1859" s="117">
        <v>43.58</v>
      </c>
    </row>
    <row r="1860" spans="1:5" x14ac:dyDescent="0.25">
      <c r="A1860" s="119" t="s">
        <v>2242</v>
      </c>
      <c r="B1860" s="119" t="s">
        <v>9304</v>
      </c>
      <c r="C1860" s="119" t="s">
        <v>66</v>
      </c>
      <c r="D1860" t="s">
        <v>6760</v>
      </c>
      <c r="E1860" s="117">
        <v>52.19</v>
      </c>
    </row>
    <row r="1861" spans="1:5" x14ac:dyDescent="0.25">
      <c r="A1861" s="119" t="s">
        <v>2243</v>
      </c>
      <c r="B1861" s="119" t="s">
        <v>9305</v>
      </c>
      <c r="C1861" s="119" t="s">
        <v>66</v>
      </c>
      <c r="D1861" t="s">
        <v>6760</v>
      </c>
      <c r="E1861" s="117">
        <v>57.12</v>
      </c>
    </row>
    <row r="1862" spans="1:5" x14ac:dyDescent="0.25">
      <c r="A1862" s="119" t="s">
        <v>2244</v>
      </c>
      <c r="B1862" s="119" t="s">
        <v>9306</v>
      </c>
      <c r="C1862" s="119" t="s">
        <v>66</v>
      </c>
      <c r="D1862" t="s">
        <v>45</v>
      </c>
      <c r="E1862" s="117">
        <v>66.3</v>
      </c>
    </row>
    <row r="1863" spans="1:5" x14ac:dyDescent="0.25">
      <c r="A1863" s="119" t="s">
        <v>2245</v>
      </c>
      <c r="B1863" s="119" t="s">
        <v>9307</v>
      </c>
      <c r="C1863" s="119" t="s">
        <v>66</v>
      </c>
      <c r="D1863" t="s">
        <v>51</v>
      </c>
      <c r="E1863" s="117">
        <v>87.05</v>
      </c>
    </row>
    <row r="1864" spans="1:5" x14ac:dyDescent="0.25">
      <c r="A1864" s="119" t="s">
        <v>2246</v>
      </c>
      <c r="B1864" s="119" t="s">
        <v>9308</v>
      </c>
      <c r="C1864" s="119" t="s">
        <v>66</v>
      </c>
      <c r="D1864" t="s">
        <v>6760</v>
      </c>
      <c r="E1864" s="117">
        <v>94.4</v>
      </c>
    </row>
    <row r="1865" spans="1:5" x14ac:dyDescent="0.25">
      <c r="A1865" s="119" t="s">
        <v>2247</v>
      </c>
      <c r="B1865" s="119" t="s">
        <v>9309</v>
      </c>
      <c r="C1865" s="119" t="s">
        <v>66</v>
      </c>
      <c r="D1865" t="s">
        <v>6760</v>
      </c>
      <c r="E1865" s="117">
        <v>101.96</v>
      </c>
    </row>
    <row r="1866" spans="1:5" x14ac:dyDescent="0.25">
      <c r="A1866" s="119" t="s">
        <v>2248</v>
      </c>
      <c r="B1866" s="119" t="s">
        <v>9310</v>
      </c>
      <c r="C1866" s="119" t="s">
        <v>66</v>
      </c>
      <c r="D1866" t="s">
        <v>49</v>
      </c>
      <c r="E1866" s="117">
        <v>111.93</v>
      </c>
    </row>
    <row r="1867" spans="1:5" x14ac:dyDescent="0.25">
      <c r="A1867" s="119" t="s">
        <v>2249</v>
      </c>
      <c r="B1867" s="119" t="s">
        <v>9311</v>
      </c>
      <c r="C1867" s="119" t="s">
        <v>66</v>
      </c>
      <c r="D1867" t="s">
        <v>49</v>
      </c>
      <c r="E1867" s="117">
        <v>173.99</v>
      </c>
    </row>
    <row r="1868" spans="1:5" x14ac:dyDescent="0.25">
      <c r="A1868" s="119" t="s">
        <v>2250</v>
      </c>
      <c r="B1868" s="119" t="s">
        <v>9312</v>
      </c>
      <c r="C1868" s="119" t="s">
        <v>66</v>
      </c>
      <c r="D1868" t="s">
        <v>6760</v>
      </c>
      <c r="E1868" s="117">
        <v>149.21</v>
      </c>
    </row>
    <row r="1869" spans="1:5" x14ac:dyDescent="0.25">
      <c r="A1869" s="119" t="s">
        <v>2251</v>
      </c>
      <c r="B1869" s="119" t="s">
        <v>9313</v>
      </c>
      <c r="C1869" s="119" t="s">
        <v>66</v>
      </c>
      <c r="D1869" t="s">
        <v>6759</v>
      </c>
      <c r="E1869" s="117">
        <v>186.48</v>
      </c>
    </row>
    <row r="1870" spans="1:5" x14ac:dyDescent="0.25">
      <c r="A1870" s="119" t="s">
        <v>2253</v>
      </c>
      <c r="B1870" s="119" t="s">
        <v>9314</v>
      </c>
      <c r="C1870" s="119" t="s">
        <v>66</v>
      </c>
      <c r="D1870" t="s">
        <v>49</v>
      </c>
      <c r="E1870" s="117">
        <v>211.26</v>
      </c>
    </row>
    <row r="1871" spans="1:5" x14ac:dyDescent="0.25">
      <c r="A1871" s="119" t="s">
        <v>2254</v>
      </c>
      <c r="B1871" s="119" t="s">
        <v>9315</v>
      </c>
      <c r="C1871" s="119" t="s">
        <v>66</v>
      </c>
      <c r="D1871" t="s">
        <v>49</v>
      </c>
      <c r="E1871" s="117">
        <v>124.32</v>
      </c>
    </row>
    <row r="1872" spans="1:5" x14ac:dyDescent="0.25">
      <c r="A1872" s="119" t="s">
        <v>2255</v>
      </c>
      <c r="B1872" s="119" t="s">
        <v>9316</v>
      </c>
      <c r="C1872" s="119" t="s">
        <v>66</v>
      </c>
      <c r="D1872" t="s">
        <v>49</v>
      </c>
      <c r="E1872" s="117">
        <v>669.9</v>
      </c>
    </row>
    <row r="1873" spans="1:5" x14ac:dyDescent="0.25">
      <c r="A1873" s="119" t="s">
        <v>2256</v>
      </c>
      <c r="B1873" s="119" t="s">
        <v>6342</v>
      </c>
      <c r="C1873" s="119" t="s">
        <v>66</v>
      </c>
      <c r="D1873" t="s">
        <v>49</v>
      </c>
      <c r="E1873" s="117">
        <v>139.87</v>
      </c>
    </row>
    <row r="1874" spans="1:5" x14ac:dyDescent="0.25">
      <c r="A1874" s="119" t="s">
        <v>2257</v>
      </c>
      <c r="B1874" s="119" t="s">
        <v>2258</v>
      </c>
      <c r="C1874" s="119" t="s">
        <v>66</v>
      </c>
      <c r="D1874" t="s">
        <v>49</v>
      </c>
      <c r="E1874" s="117">
        <v>139.9</v>
      </c>
    </row>
    <row r="1875" spans="1:5" x14ac:dyDescent="0.25">
      <c r="A1875" s="119" t="s">
        <v>2259</v>
      </c>
      <c r="B1875" s="119" t="s">
        <v>2239</v>
      </c>
      <c r="C1875" s="119" t="s">
        <v>66</v>
      </c>
      <c r="D1875" t="s">
        <v>45</v>
      </c>
      <c r="E1875" s="117">
        <v>17.850000000000001</v>
      </c>
    </row>
    <row r="1876" spans="1:5" x14ac:dyDescent="0.25">
      <c r="A1876" s="119" t="s">
        <v>2260</v>
      </c>
      <c r="B1876" s="119" t="s">
        <v>2261</v>
      </c>
      <c r="C1876" s="119" t="s">
        <v>66</v>
      </c>
      <c r="D1876" t="s">
        <v>6760</v>
      </c>
      <c r="E1876" s="117">
        <v>52.19</v>
      </c>
    </row>
    <row r="1877" spans="1:5" x14ac:dyDescent="0.25">
      <c r="A1877" s="119" t="s">
        <v>2262</v>
      </c>
      <c r="B1877" s="119" t="s">
        <v>2263</v>
      </c>
      <c r="C1877" s="119" t="s">
        <v>66</v>
      </c>
      <c r="D1877" t="s">
        <v>45</v>
      </c>
      <c r="E1877" s="117">
        <v>0</v>
      </c>
    </row>
    <row r="1878" spans="1:5" x14ac:dyDescent="0.25">
      <c r="A1878" s="119" t="s">
        <v>2264</v>
      </c>
      <c r="B1878" s="119" t="s">
        <v>9317</v>
      </c>
      <c r="C1878" s="119" t="s">
        <v>66</v>
      </c>
      <c r="D1878" t="s">
        <v>45</v>
      </c>
      <c r="E1878" s="117">
        <v>0</v>
      </c>
    </row>
    <row r="1879" spans="1:5" x14ac:dyDescent="0.25">
      <c r="A1879" s="119" t="s">
        <v>2265</v>
      </c>
      <c r="B1879" s="119" t="s">
        <v>9318</v>
      </c>
      <c r="C1879" s="119" t="s">
        <v>66</v>
      </c>
      <c r="D1879" t="s">
        <v>51</v>
      </c>
      <c r="E1879" s="117">
        <v>56.98</v>
      </c>
    </row>
    <row r="1880" spans="1:5" x14ac:dyDescent="0.25">
      <c r="A1880" s="119" t="s">
        <v>2266</v>
      </c>
      <c r="B1880" s="119" t="s">
        <v>9319</v>
      </c>
      <c r="C1880" s="119" t="s">
        <v>66</v>
      </c>
      <c r="D1880" t="s">
        <v>45</v>
      </c>
      <c r="E1880" s="117">
        <v>0</v>
      </c>
    </row>
    <row r="1881" spans="1:5" x14ac:dyDescent="0.25">
      <c r="A1881" s="119" t="s">
        <v>2267</v>
      </c>
      <c r="B1881" s="119" t="s">
        <v>9320</v>
      </c>
      <c r="C1881" s="119" t="s">
        <v>66</v>
      </c>
      <c r="D1881" t="s">
        <v>6760</v>
      </c>
      <c r="E1881" s="117">
        <v>271.43</v>
      </c>
    </row>
    <row r="1882" spans="1:5" x14ac:dyDescent="0.25">
      <c r="A1882" s="119" t="s">
        <v>6343</v>
      </c>
      <c r="B1882" s="119" t="s">
        <v>7440</v>
      </c>
      <c r="C1882" s="119" t="s">
        <v>66</v>
      </c>
      <c r="D1882" t="s">
        <v>51</v>
      </c>
      <c r="E1882" s="117">
        <v>7.46</v>
      </c>
    </row>
    <row r="1883" spans="1:5" x14ac:dyDescent="0.25">
      <c r="A1883" s="119" t="s">
        <v>6721</v>
      </c>
      <c r="B1883" s="119" t="s">
        <v>7441</v>
      </c>
      <c r="C1883" s="119" t="s">
        <v>66</v>
      </c>
      <c r="D1883" t="s">
        <v>51</v>
      </c>
      <c r="E1883" s="117">
        <v>8.02</v>
      </c>
    </row>
    <row r="1884" spans="1:5" x14ac:dyDescent="0.25">
      <c r="A1884" s="119" t="s">
        <v>7442</v>
      </c>
      <c r="B1884" s="119" t="s">
        <v>11797</v>
      </c>
      <c r="C1884" s="119" t="s">
        <v>66</v>
      </c>
      <c r="D1884" t="s">
        <v>51</v>
      </c>
      <c r="E1884" s="117">
        <v>8.61</v>
      </c>
    </row>
    <row r="1885" spans="1:5" x14ac:dyDescent="0.25">
      <c r="A1885" s="119" t="s">
        <v>6722</v>
      </c>
      <c r="B1885" s="119" t="s">
        <v>7443</v>
      </c>
      <c r="C1885" s="119" t="s">
        <v>66</v>
      </c>
      <c r="D1885" t="s">
        <v>45</v>
      </c>
      <c r="E1885" s="117">
        <v>8.57</v>
      </c>
    </row>
    <row r="1886" spans="1:5" x14ac:dyDescent="0.25">
      <c r="A1886" s="119" t="s">
        <v>2268</v>
      </c>
      <c r="B1886" s="119" t="s">
        <v>9321</v>
      </c>
      <c r="C1886" s="119" t="s">
        <v>66</v>
      </c>
      <c r="D1886" t="s">
        <v>51</v>
      </c>
      <c r="E1886" s="117">
        <v>13.55</v>
      </c>
    </row>
    <row r="1887" spans="1:5" x14ac:dyDescent="0.25">
      <c r="A1887" s="119" t="s">
        <v>2269</v>
      </c>
      <c r="B1887" s="119" t="s">
        <v>11666</v>
      </c>
      <c r="C1887" s="119" t="s">
        <v>66</v>
      </c>
      <c r="D1887" t="s">
        <v>51</v>
      </c>
      <c r="E1887" s="117">
        <v>18.38</v>
      </c>
    </row>
    <row r="1888" spans="1:5" x14ac:dyDescent="0.25">
      <c r="A1888" s="119" t="s">
        <v>2270</v>
      </c>
      <c r="B1888" s="119" t="s">
        <v>7444</v>
      </c>
      <c r="C1888" s="119" t="s">
        <v>66</v>
      </c>
      <c r="D1888" t="s">
        <v>51</v>
      </c>
      <c r="E1888" s="117">
        <v>7.43</v>
      </c>
    </row>
    <row r="1889" spans="1:5" x14ac:dyDescent="0.25">
      <c r="A1889" s="119" t="s">
        <v>2271</v>
      </c>
      <c r="B1889" s="119" t="s">
        <v>7445</v>
      </c>
      <c r="C1889" s="119" t="s">
        <v>66</v>
      </c>
      <c r="D1889" t="s">
        <v>6760</v>
      </c>
      <c r="E1889" s="117">
        <v>7.43</v>
      </c>
    </row>
    <row r="1890" spans="1:5" x14ac:dyDescent="0.25">
      <c r="A1890" s="119" t="s">
        <v>2272</v>
      </c>
      <c r="B1890" s="119" t="s">
        <v>9322</v>
      </c>
      <c r="C1890" s="119" t="s">
        <v>66</v>
      </c>
      <c r="D1890" t="s">
        <v>45</v>
      </c>
      <c r="E1890" s="117">
        <v>7.43</v>
      </c>
    </row>
    <row r="1891" spans="1:5" x14ac:dyDescent="0.25">
      <c r="A1891" s="119" t="s">
        <v>2273</v>
      </c>
      <c r="B1891" s="119" t="s">
        <v>9323</v>
      </c>
      <c r="C1891" s="119" t="s">
        <v>66</v>
      </c>
      <c r="D1891" t="s">
        <v>45</v>
      </c>
      <c r="E1891" s="117">
        <v>7.46</v>
      </c>
    </row>
    <row r="1892" spans="1:5" x14ac:dyDescent="0.25">
      <c r="A1892" s="119" t="s">
        <v>2274</v>
      </c>
      <c r="B1892" s="119" t="s">
        <v>9324</v>
      </c>
      <c r="C1892" s="119" t="s">
        <v>66</v>
      </c>
      <c r="D1892" t="s">
        <v>45</v>
      </c>
      <c r="E1892" s="117">
        <v>8.02</v>
      </c>
    </row>
    <row r="1893" spans="1:5" x14ac:dyDescent="0.25">
      <c r="A1893" s="119" t="s">
        <v>2275</v>
      </c>
      <c r="B1893" s="119" t="s">
        <v>9325</v>
      </c>
      <c r="C1893" s="119" t="s">
        <v>66</v>
      </c>
      <c r="D1893" t="s">
        <v>45</v>
      </c>
      <c r="E1893" s="117">
        <v>8.61</v>
      </c>
    </row>
    <row r="1894" spans="1:5" x14ac:dyDescent="0.25">
      <c r="A1894" s="119" t="s">
        <v>2276</v>
      </c>
      <c r="B1894" s="119" t="s">
        <v>9326</v>
      </c>
      <c r="C1894" s="119" t="s">
        <v>66</v>
      </c>
      <c r="D1894" t="s">
        <v>45</v>
      </c>
      <c r="E1894" s="117">
        <v>8.57</v>
      </c>
    </row>
    <row r="1895" spans="1:5" x14ac:dyDescent="0.25">
      <c r="A1895" s="119" t="s">
        <v>2277</v>
      </c>
      <c r="B1895" s="119" t="s">
        <v>9327</v>
      </c>
      <c r="C1895" s="119" t="s">
        <v>66</v>
      </c>
      <c r="D1895" t="s">
        <v>51</v>
      </c>
      <c r="E1895" s="117">
        <v>13.21</v>
      </c>
    </row>
    <row r="1896" spans="1:5" x14ac:dyDescent="0.25">
      <c r="A1896" s="119" t="s">
        <v>6723</v>
      </c>
      <c r="B1896" s="119" t="s">
        <v>9328</v>
      </c>
      <c r="C1896" s="119" t="s">
        <v>66</v>
      </c>
      <c r="D1896" t="s">
        <v>45</v>
      </c>
      <c r="E1896" s="117">
        <v>27.41</v>
      </c>
    </row>
    <row r="1897" spans="1:5" x14ac:dyDescent="0.25">
      <c r="A1897" s="119" t="s">
        <v>2278</v>
      </c>
      <c r="B1897" s="119" t="s">
        <v>9329</v>
      </c>
      <c r="C1897" s="119" t="s">
        <v>66</v>
      </c>
      <c r="D1897" t="s">
        <v>45</v>
      </c>
      <c r="E1897" s="117">
        <v>20.7</v>
      </c>
    </row>
    <row r="1898" spans="1:5" x14ac:dyDescent="0.25">
      <c r="A1898" s="119" t="s">
        <v>2279</v>
      </c>
      <c r="B1898" s="119" t="s">
        <v>9328</v>
      </c>
      <c r="C1898" s="119" t="s">
        <v>66</v>
      </c>
      <c r="D1898" t="s">
        <v>45</v>
      </c>
      <c r="E1898" s="117">
        <v>27.41</v>
      </c>
    </row>
    <row r="1899" spans="1:5" x14ac:dyDescent="0.25">
      <c r="A1899" s="119" t="s">
        <v>2280</v>
      </c>
      <c r="B1899" s="119" t="s">
        <v>9330</v>
      </c>
      <c r="C1899" s="119" t="s">
        <v>66</v>
      </c>
      <c r="D1899" t="s">
        <v>45</v>
      </c>
      <c r="E1899" s="117">
        <v>0</v>
      </c>
    </row>
    <row r="1900" spans="1:5" x14ac:dyDescent="0.25">
      <c r="A1900" s="119" t="s">
        <v>2281</v>
      </c>
      <c r="B1900" s="119" t="s">
        <v>2282</v>
      </c>
      <c r="C1900" s="119" t="s">
        <v>66</v>
      </c>
      <c r="D1900" t="s">
        <v>49</v>
      </c>
      <c r="E1900" s="117">
        <v>128.72999999999999</v>
      </c>
    </row>
    <row r="1901" spans="1:5" x14ac:dyDescent="0.25">
      <c r="A1901" s="119" t="s">
        <v>2283</v>
      </c>
      <c r="B1901" s="119" t="s">
        <v>2284</v>
      </c>
      <c r="C1901" s="119" t="s">
        <v>66</v>
      </c>
      <c r="D1901" t="s">
        <v>49</v>
      </c>
      <c r="E1901" s="117">
        <v>103.43</v>
      </c>
    </row>
    <row r="1902" spans="1:5" x14ac:dyDescent="0.25">
      <c r="A1902" s="119" t="s">
        <v>2285</v>
      </c>
      <c r="B1902" s="119" t="s">
        <v>2286</v>
      </c>
      <c r="C1902" s="119" t="s">
        <v>66</v>
      </c>
      <c r="D1902" t="s">
        <v>45</v>
      </c>
      <c r="E1902" s="117">
        <v>76.7</v>
      </c>
    </row>
    <row r="1903" spans="1:5" x14ac:dyDescent="0.25">
      <c r="A1903" s="119" t="s">
        <v>2287</v>
      </c>
      <c r="B1903" s="119" t="s">
        <v>2288</v>
      </c>
      <c r="C1903" s="119" t="s">
        <v>66</v>
      </c>
      <c r="D1903" t="s">
        <v>45</v>
      </c>
      <c r="E1903" s="117">
        <v>80.540000000000006</v>
      </c>
    </row>
    <row r="1904" spans="1:5" x14ac:dyDescent="0.25">
      <c r="A1904" s="119" t="s">
        <v>2289</v>
      </c>
      <c r="B1904" s="119" t="s">
        <v>9331</v>
      </c>
      <c r="C1904" s="119" t="s">
        <v>66</v>
      </c>
      <c r="D1904" t="s">
        <v>45</v>
      </c>
      <c r="E1904" s="117">
        <v>0</v>
      </c>
    </row>
    <row r="1905" spans="1:5" x14ac:dyDescent="0.25">
      <c r="A1905" s="119" t="s">
        <v>2290</v>
      </c>
      <c r="B1905" s="119" t="s">
        <v>7446</v>
      </c>
      <c r="C1905" s="119" t="s">
        <v>66</v>
      </c>
      <c r="D1905" t="s">
        <v>51</v>
      </c>
      <c r="E1905" s="117">
        <v>404.46</v>
      </c>
    </row>
    <row r="1906" spans="1:5" x14ac:dyDescent="0.25">
      <c r="A1906" s="119" t="s">
        <v>2291</v>
      </c>
      <c r="B1906" s="119" t="s">
        <v>9331</v>
      </c>
      <c r="C1906" s="119" t="s">
        <v>66</v>
      </c>
      <c r="D1906" t="s">
        <v>45</v>
      </c>
      <c r="E1906" s="117">
        <v>472.1</v>
      </c>
    </row>
    <row r="1907" spans="1:5" x14ac:dyDescent="0.25">
      <c r="A1907" s="119" t="s">
        <v>2292</v>
      </c>
      <c r="B1907" s="119" t="s">
        <v>9332</v>
      </c>
      <c r="C1907" s="119" t="s">
        <v>66</v>
      </c>
      <c r="D1907" t="s">
        <v>45</v>
      </c>
      <c r="E1907" s="117">
        <v>0</v>
      </c>
    </row>
    <row r="1908" spans="1:5" x14ac:dyDescent="0.25">
      <c r="A1908" s="119" t="s">
        <v>2293</v>
      </c>
      <c r="B1908" s="119" t="s">
        <v>9333</v>
      </c>
      <c r="C1908" s="119" t="s">
        <v>66</v>
      </c>
      <c r="D1908" t="s">
        <v>45</v>
      </c>
      <c r="E1908" s="117">
        <v>595</v>
      </c>
    </row>
    <row r="1909" spans="1:5" x14ac:dyDescent="0.25">
      <c r="A1909" s="119" t="s">
        <v>2294</v>
      </c>
      <c r="B1909" s="119" t="s">
        <v>9334</v>
      </c>
      <c r="C1909" s="119" t="s">
        <v>66</v>
      </c>
      <c r="D1909" t="s">
        <v>45</v>
      </c>
      <c r="E1909" s="117">
        <v>469.67</v>
      </c>
    </row>
    <row r="1910" spans="1:5" x14ac:dyDescent="0.25">
      <c r="A1910" s="119" t="s">
        <v>2295</v>
      </c>
      <c r="B1910" s="119" t="s">
        <v>9335</v>
      </c>
      <c r="C1910" s="119" t="s">
        <v>66</v>
      </c>
      <c r="D1910" t="s">
        <v>45</v>
      </c>
      <c r="E1910" s="117">
        <v>663.4</v>
      </c>
    </row>
    <row r="1911" spans="1:5" x14ac:dyDescent="0.25">
      <c r="A1911" s="119" t="s">
        <v>2296</v>
      </c>
      <c r="B1911" s="119" t="s">
        <v>9336</v>
      </c>
      <c r="C1911" s="119" t="s">
        <v>66</v>
      </c>
      <c r="D1911" t="s">
        <v>45</v>
      </c>
      <c r="E1911" s="117">
        <v>0</v>
      </c>
    </row>
    <row r="1912" spans="1:5" x14ac:dyDescent="0.25">
      <c r="A1912" s="119" t="s">
        <v>2297</v>
      </c>
      <c r="B1912" s="119" t="s">
        <v>9337</v>
      </c>
      <c r="C1912" s="119" t="s">
        <v>66</v>
      </c>
      <c r="D1912" t="s">
        <v>45</v>
      </c>
      <c r="E1912" s="117">
        <v>0</v>
      </c>
    </row>
    <row r="1913" spans="1:5" x14ac:dyDescent="0.25">
      <c r="A1913" s="119" t="s">
        <v>2298</v>
      </c>
      <c r="B1913" s="119" t="s">
        <v>2299</v>
      </c>
      <c r="C1913" s="119" t="s">
        <v>66</v>
      </c>
      <c r="D1913" t="s">
        <v>6759</v>
      </c>
      <c r="E1913" s="117">
        <v>649</v>
      </c>
    </row>
    <row r="1914" spans="1:5" x14ac:dyDescent="0.25">
      <c r="A1914" s="119" t="s">
        <v>2300</v>
      </c>
      <c r="B1914" s="119" t="s">
        <v>2301</v>
      </c>
      <c r="C1914" s="119" t="s">
        <v>66</v>
      </c>
      <c r="D1914" t="s">
        <v>6759</v>
      </c>
      <c r="E1914" s="117">
        <v>13.65</v>
      </c>
    </row>
    <row r="1915" spans="1:5" x14ac:dyDescent="0.25">
      <c r="A1915" s="119" t="s">
        <v>2302</v>
      </c>
      <c r="B1915" s="119" t="s">
        <v>2301</v>
      </c>
      <c r="C1915" s="119" t="s">
        <v>66</v>
      </c>
      <c r="D1915" t="s">
        <v>6759</v>
      </c>
      <c r="E1915" s="117">
        <v>13.65</v>
      </c>
    </row>
    <row r="1916" spans="1:5" x14ac:dyDescent="0.25">
      <c r="A1916" s="119" t="s">
        <v>2303</v>
      </c>
      <c r="B1916" s="119" t="s">
        <v>2301</v>
      </c>
      <c r="C1916" s="119" t="s">
        <v>66</v>
      </c>
      <c r="D1916" t="s">
        <v>49</v>
      </c>
      <c r="E1916" s="117">
        <v>15.75</v>
      </c>
    </row>
    <row r="1917" spans="1:5" x14ac:dyDescent="0.25">
      <c r="A1917" s="119" t="s">
        <v>2304</v>
      </c>
      <c r="B1917" s="119" t="s">
        <v>2301</v>
      </c>
      <c r="C1917" s="119" t="s">
        <v>66</v>
      </c>
      <c r="D1917" t="s">
        <v>45</v>
      </c>
      <c r="E1917" s="117">
        <v>16.28</v>
      </c>
    </row>
    <row r="1918" spans="1:5" x14ac:dyDescent="0.25">
      <c r="A1918" s="119" t="s">
        <v>2305</v>
      </c>
      <c r="B1918" s="119" t="s">
        <v>2301</v>
      </c>
      <c r="C1918" s="119" t="s">
        <v>66</v>
      </c>
      <c r="D1918" t="s">
        <v>6759</v>
      </c>
      <c r="E1918" s="117">
        <v>16.8</v>
      </c>
    </row>
    <row r="1919" spans="1:5" x14ac:dyDescent="0.25">
      <c r="A1919" s="119" t="s">
        <v>2306</v>
      </c>
      <c r="B1919" s="119" t="s">
        <v>2301</v>
      </c>
      <c r="C1919" s="119" t="s">
        <v>66</v>
      </c>
      <c r="D1919" t="s">
        <v>49</v>
      </c>
      <c r="E1919" s="117">
        <v>19.95</v>
      </c>
    </row>
    <row r="1920" spans="1:5" x14ac:dyDescent="0.25">
      <c r="A1920" s="119" t="s">
        <v>2307</v>
      </c>
      <c r="B1920" s="119" t="s">
        <v>2301</v>
      </c>
      <c r="C1920" s="119" t="s">
        <v>66</v>
      </c>
      <c r="D1920" t="s">
        <v>6759</v>
      </c>
      <c r="E1920" s="117">
        <v>25.2</v>
      </c>
    </row>
    <row r="1921" spans="1:5" x14ac:dyDescent="0.25">
      <c r="A1921" s="119" t="s">
        <v>2308</v>
      </c>
      <c r="B1921" s="119" t="s">
        <v>2301</v>
      </c>
      <c r="C1921" s="119" t="s">
        <v>66</v>
      </c>
      <c r="D1921" t="s">
        <v>45</v>
      </c>
      <c r="E1921" s="117">
        <v>26.25</v>
      </c>
    </row>
    <row r="1922" spans="1:5" x14ac:dyDescent="0.25">
      <c r="A1922" s="119" t="s">
        <v>2309</v>
      </c>
      <c r="B1922" s="119" t="s">
        <v>2301</v>
      </c>
      <c r="C1922" s="119" t="s">
        <v>66</v>
      </c>
      <c r="D1922" t="s">
        <v>6759</v>
      </c>
      <c r="E1922" s="117">
        <v>27.3</v>
      </c>
    </row>
    <row r="1923" spans="1:5" x14ac:dyDescent="0.25">
      <c r="A1923" s="119" t="s">
        <v>2310</v>
      </c>
      <c r="B1923" s="119" t="s">
        <v>2301</v>
      </c>
      <c r="C1923" s="119" t="s">
        <v>66</v>
      </c>
      <c r="D1923" t="s">
        <v>6759</v>
      </c>
      <c r="E1923" s="117">
        <v>30.45</v>
      </c>
    </row>
    <row r="1924" spans="1:5" x14ac:dyDescent="0.25">
      <c r="A1924" s="119" t="s">
        <v>2311</v>
      </c>
      <c r="B1924" s="119" t="s">
        <v>1968</v>
      </c>
      <c r="C1924" s="119" t="s">
        <v>66</v>
      </c>
      <c r="D1924" t="s">
        <v>49</v>
      </c>
      <c r="E1924" s="117">
        <v>210.53</v>
      </c>
    </row>
    <row r="1925" spans="1:5" x14ac:dyDescent="0.25">
      <c r="A1925" s="119" t="s">
        <v>2312</v>
      </c>
      <c r="B1925" s="119" t="s">
        <v>9338</v>
      </c>
      <c r="C1925" s="119" t="s">
        <v>66</v>
      </c>
      <c r="D1925" t="s">
        <v>6759</v>
      </c>
      <c r="E1925" s="117">
        <v>263.55</v>
      </c>
    </row>
    <row r="1926" spans="1:5" x14ac:dyDescent="0.25">
      <c r="A1926" s="119" t="s">
        <v>2313</v>
      </c>
      <c r="B1926" s="119" t="s">
        <v>9339</v>
      </c>
      <c r="C1926" s="119" t="s">
        <v>66</v>
      </c>
      <c r="D1926" t="s">
        <v>6759</v>
      </c>
      <c r="E1926" s="117">
        <v>263.55</v>
      </c>
    </row>
    <row r="1927" spans="1:5" x14ac:dyDescent="0.25">
      <c r="A1927" s="119" t="s">
        <v>2314</v>
      </c>
      <c r="B1927" s="119" t="s">
        <v>9340</v>
      </c>
      <c r="C1927" s="119" t="s">
        <v>66</v>
      </c>
      <c r="D1927" t="s">
        <v>45</v>
      </c>
      <c r="E1927" s="117">
        <v>0</v>
      </c>
    </row>
    <row r="1928" spans="1:5" x14ac:dyDescent="0.25">
      <c r="A1928" s="119" t="s">
        <v>2315</v>
      </c>
      <c r="B1928" s="119" t="s">
        <v>9341</v>
      </c>
      <c r="C1928" s="119" t="s">
        <v>66</v>
      </c>
      <c r="D1928" t="s">
        <v>45</v>
      </c>
      <c r="E1928" s="117">
        <v>0</v>
      </c>
    </row>
    <row r="1929" spans="1:5" x14ac:dyDescent="0.25">
      <c r="A1929" s="119" t="s">
        <v>2316</v>
      </c>
      <c r="B1929" s="119" t="s">
        <v>9342</v>
      </c>
      <c r="C1929" s="119" t="s">
        <v>66</v>
      </c>
      <c r="D1929" t="s">
        <v>45</v>
      </c>
      <c r="E1929" s="117">
        <v>0</v>
      </c>
    </row>
    <row r="1930" spans="1:5" x14ac:dyDescent="0.25">
      <c r="A1930" s="119" t="s">
        <v>2317</v>
      </c>
      <c r="B1930" s="119" t="s">
        <v>9343</v>
      </c>
      <c r="C1930" s="119" t="s">
        <v>66</v>
      </c>
      <c r="D1930" t="s">
        <v>45</v>
      </c>
      <c r="E1930" s="117">
        <v>0</v>
      </c>
    </row>
    <row r="1931" spans="1:5" x14ac:dyDescent="0.25">
      <c r="A1931" s="119" t="s">
        <v>2318</v>
      </c>
      <c r="B1931" s="119" t="s">
        <v>9344</v>
      </c>
      <c r="C1931" s="119" t="s">
        <v>66</v>
      </c>
      <c r="D1931" t="s">
        <v>6760</v>
      </c>
      <c r="E1931" s="117">
        <v>40.94</v>
      </c>
    </row>
    <row r="1932" spans="1:5" x14ac:dyDescent="0.25">
      <c r="A1932" s="119" t="s">
        <v>2319</v>
      </c>
      <c r="B1932" s="119" t="s">
        <v>9345</v>
      </c>
      <c r="C1932" s="119" t="s">
        <v>66</v>
      </c>
      <c r="D1932" t="s">
        <v>49</v>
      </c>
      <c r="E1932" s="117">
        <v>40.94</v>
      </c>
    </row>
    <row r="1933" spans="1:5" x14ac:dyDescent="0.25">
      <c r="A1933" s="119" t="s">
        <v>2320</v>
      </c>
      <c r="B1933" s="119" t="s">
        <v>9346</v>
      </c>
      <c r="C1933" s="119" t="s">
        <v>66</v>
      </c>
      <c r="D1933" t="s">
        <v>6759</v>
      </c>
      <c r="E1933" s="117">
        <v>40.94</v>
      </c>
    </row>
    <row r="1934" spans="1:5" x14ac:dyDescent="0.25">
      <c r="A1934" s="119" t="s">
        <v>2321</v>
      </c>
      <c r="B1934" s="119" t="s">
        <v>9347</v>
      </c>
      <c r="C1934" s="119" t="s">
        <v>66</v>
      </c>
      <c r="D1934" t="s">
        <v>45</v>
      </c>
      <c r="E1934" s="117">
        <v>40.94</v>
      </c>
    </row>
    <row r="1935" spans="1:5" x14ac:dyDescent="0.25">
      <c r="A1935" s="119" t="s">
        <v>2322</v>
      </c>
      <c r="B1935" s="119" t="s">
        <v>2323</v>
      </c>
      <c r="C1935" s="119" t="s">
        <v>66</v>
      </c>
      <c r="D1935" t="s">
        <v>45</v>
      </c>
      <c r="E1935" s="117">
        <v>18.41</v>
      </c>
    </row>
    <row r="1936" spans="1:5" x14ac:dyDescent="0.25">
      <c r="A1936" s="119" t="s">
        <v>2324</v>
      </c>
      <c r="B1936" s="119" t="s">
        <v>2325</v>
      </c>
      <c r="C1936" s="119" t="s">
        <v>66</v>
      </c>
      <c r="D1936" t="s">
        <v>45</v>
      </c>
      <c r="E1936" s="117">
        <v>0</v>
      </c>
    </row>
    <row r="1937" spans="1:5" x14ac:dyDescent="0.25">
      <c r="A1937" s="119" t="s">
        <v>2326</v>
      </c>
      <c r="B1937" s="119" t="s">
        <v>9348</v>
      </c>
      <c r="C1937" s="119" t="s">
        <v>66</v>
      </c>
      <c r="D1937" t="s">
        <v>45</v>
      </c>
      <c r="E1937" s="117">
        <v>106</v>
      </c>
    </row>
    <row r="1938" spans="1:5" x14ac:dyDescent="0.25">
      <c r="A1938" s="119" t="s">
        <v>2327</v>
      </c>
      <c r="B1938" s="119" t="s">
        <v>9349</v>
      </c>
      <c r="C1938" s="119" t="s">
        <v>66</v>
      </c>
      <c r="D1938" t="s">
        <v>45</v>
      </c>
      <c r="E1938" s="117">
        <v>224.9</v>
      </c>
    </row>
    <row r="1939" spans="1:5" x14ac:dyDescent="0.25">
      <c r="A1939" s="119" t="s">
        <v>2328</v>
      </c>
      <c r="B1939" s="119" t="s">
        <v>2329</v>
      </c>
      <c r="C1939" s="119" t="s">
        <v>66</v>
      </c>
      <c r="D1939" t="s">
        <v>6759</v>
      </c>
      <c r="E1939" s="117">
        <v>93.98</v>
      </c>
    </row>
    <row r="1940" spans="1:5" x14ac:dyDescent="0.25">
      <c r="A1940" s="119" t="s">
        <v>2330</v>
      </c>
      <c r="B1940" s="119" t="s">
        <v>2331</v>
      </c>
      <c r="C1940" s="119" t="s">
        <v>66</v>
      </c>
      <c r="D1940" t="s">
        <v>6759</v>
      </c>
      <c r="E1940" s="117">
        <v>101.12</v>
      </c>
    </row>
    <row r="1941" spans="1:5" x14ac:dyDescent="0.25">
      <c r="A1941" s="119" t="s">
        <v>2332</v>
      </c>
      <c r="B1941" s="119" t="s">
        <v>2333</v>
      </c>
      <c r="C1941" s="119" t="s">
        <v>66</v>
      </c>
      <c r="D1941" t="s">
        <v>51</v>
      </c>
      <c r="E1941" s="117">
        <v>86.52</v>
      </c>
    </row>
    <row r="1942" spans="1:5" x14ac:dyDescent="0.25">
      <c r="A1942" s="119" t="s">
        <v>2334</v>
      </c>
      <c r="B1942" s="119" t="s">
        <v>9350</v>
      </c>
      <c r="C1942" s="119" t="s">
        <v>66</v>
      </c>
      <c r="D1942" t="s">
        <v>6760</v>
      </c>
      <c r="E1942" s="117">
        <v>123.06</v>
      </c>
    </row>
    <row r="1943" spans="1:5" x14ac:dyDescent="0.25">
      <c r="A1943" s="119" t="s">
        <v>2335</v>
      </c>
      <c r="B1943" s="119" t="s">
        <v>2336</v>
      </c>
      <c r="C1943" s="119" t="s">
        <v>66</v>
      </c>
      <c r="D1943" t="s">
        <v>49</v>
      </c>
      <c r="E1943" s="117">
        <v>140.49</v>
      </c>
    </row>
    <row r="1944" spans="1:5" x14ac:dyDescent="0.25">
      <c r="A1944" s="119" t="s">
        <v>2337</v>
      </c>
      <c r="B1944" s="119" t="s">
        <v>6450</v>
      </c>
      <c r="C1944" s="119" t="s">
        <v>66</v>
      </c>
      <c r="D1944" t="s">
        <v>45</v>
      </c>
      <c r="E1944" s="117">
        <v>93.59</v>
      </c>
    </row>
    <row r="1945" spans="1:5" x14ac:dyDescent="0.25">
      <c r="A1945" s="119" t="s">
        <v>2338</v>
      </c>
      <c r="B1945" s="119" t="s">
        <v>6451</v>
      </c>
      <c r="C1945" s="119" t="s">
        <v>66</v>
      </c>
      <c r="D1945" t="s">
        <v>6759</v>
      </c>
      <c r="E1945" s="117">
        <v>117.97</v>
      </c>
    </row>
    <row r="1946" spans="1:5" x14ac:dyDescent="0.25">
      <c r="A1946" s="119" t="s">
        <v>2339</v>
      </c>
      <c r="B1946" s="119" t="s">
        <v>6452</v>
      </c>
      <c r="C1946" s="119" t="s">
        <v>66</v>
      </c>
      <c r="D1946" t="s">
        <v>45</v>
      </c>
      <c r="E1946" s="117">
        <v>129.77000000000001</v>
      </c>
    </row>
    <row r="1947" spans="1:5" x14ac:dyDescent="0.25">
      <c r="A1947" s="119" t="s">
        <v>2340</v>
      </c>
      <c r="B1947" s="119" t="s">
        <v>6453</v>
      </c>
      <c r="C1947" s="119" t="s">
        <v>66</v>
      </c>
      <c r="D1947" t="s">
        <v>6759</v>
      </c>
      <c r="E1947" s="117">
        <v>235.94</v>
      </c>
    </row>
    <row r="1948" spans="1:5" x14ac:dyDescent="0.25">
      <c r="A1948" s="119" t="s">
        <v>2341</v>
      </c>
      <c r="B1948" s="119" t="s">
        <v>6454</v>
      </c>
      <c r="C1948" s="119" t="s">
        <v>66</v>
      </c>
      <c r="D1948" t="s">
        <v>6759</v>
      </c>
      <c r="E1948" s="117">
        <v>112.07</v>
      </c>
    </row>
    <row r="1949" spans="1:5" x14ac:dyDescent="0.25">
      <c r="A1949" s="119" t="s">
        <v>2342</v>
      </c>
      <c r="B1949" s="119" t="s">
        <v>6455</v>
      </c>
      <c r="C1949" s="119" t="s">
        <v>66</v>
      </c>
      <c r="D1949" t="s">
        <v>6759</v>
      </c>
      <c r="E1949" s="117">
        <v>123.87</v>
      </c>
    </row>
    <row r="1950" spans="1:5" x14ac:dyDescent="0.25">
      <c r="A1950" s="119" t="s">
        <v>2343</v>
      </c>
      <c r="B1950" s="119" t="s">
        <v>6456</v>
      </c>
      <c r="C1950" s="119" t="s">
        <v>66</v>
      </c>
      <c r="D1950" t="s">
        <v>45</v>
      </c>
      <c r="E1950" s="117">
        <v>141.56</v>
      </c>
    </row>
    <row r="1951" spans="1:5" x14ac:dyDescent="0.25">
      <c r="A1951" s="119" t="s">
        <v>2344</v>
      </c>
      <c r="B1951" s="119" t="s">
        <v>6457</v>
      </c>
      <c r="C1951" s="119" t="s">
        <v>66</v>
      </c>
      <c r="D1951" t="s">
        <v>6759</v>
      </c>
      <c r="E1951" s="117">
        <v>212.34</v>
      </c>
    </row>
    <row r="1952" spans="1:5" x14ac:dyDescent="0.25">
      <c r="A1952" s="119" t="s">
        <v>2345</v>
      </c>
      <c r="B1952" s="119" t="s">
        <v>6458</v>
      </c>
      <c r="C1952" s="119" t="s">
        <v>66</v>
      </c>
      <c r="D1952" t="s">
        <v>45</v>
      </c>
      <c r="E1952" s="117">
        <v>259.52999999999997</v>
      </c>
    </row>
    <row r="1953" spans="1:5" x14ac:dyDescent="0.25">
      <c r="A1953" s="119" t="s">
        <v>2346</v>
      </c>
      <c r="B1953" s="119" t="s">
        <v>9351</v>
      </c>
      <c r="C1953" s="119" t="s">
        <v>66</v>
      </c>
      <c r="D1953" t="s">
        <v>45</v>
      </c>
      <c r="E1953" s="117">
        <v>89.9</v>
      </c>
    </row>
    <row r="1954" spans="1:5" x14ac:dyDescent="0.25">
      <c r="A1954" s="119" t="s">
        <v>2347</v>
      </c>
      <c r="B1954" s="119" t="s">
        <v>7447</v>
      </c>
      <c r="C1954" s="119" t="s">
        <v>66</v>
      </c>
      <c r="D1954" t="s">
        <v>51</v>
      </c>
      <c r="E1954" s="117">
        <v>9.32</v>
      </c>
    </row>
    <row r="1955" spans="1:5" x14ac:dyDescent="0.25">
      <c r="A1955" s="119" t="s">
        <v>2348</v>
      </c>
      <c r="B1955" s="119" t="s">
        <v>7448</v>
      </c>
      <c r="C1955" s="119" t="s">
        <v>66</v>
      </c>
      <c r="D1955" t="s">
        <v>51</v>
      </c>
      <c r="E1955" s="117">
        <v>9.18</v>
      </c>
    </row>
    <row r="1956" spans="1:5" x14ac:dyDescent="0.25">
      <c r="A1956" s="119" t="s">
        <v>2349</v>
      </c>
      <c r="B1956" s="119" t="s">
        <v>7449</v>
      </c>
      <c r="C1956" s="119" t="s">
        <v>66</v>
      </c>
      <c r="D1956" t="s">
        <v>51</v>
      </c>
      <c r="E1956" s="117">
        <v>9.44</v>
      </c>
    </row>
    <row r="1957" spans="1:5" x14ac:dyDescent="0.25">
      <c r="A1957" s="119" t="s">
        <v>2350</v>
      </c>
      <c r="B1957" s="119" t="s">
        <v>9352</v>
      </c>
      <c r="C1957" s="119" t="s">
        <v>66</v>
      </c>
      <c r="D1957" t="s">
        <v>51</v>
      </c>
      <c r="E1957" s="117">
        <v>9.91</v>
      </c>
    </row>
    <row r="1958" spans="1:5" x14ac:dyDescent="0.25">
      <c r="A1958" s="119" t="s">
        <v>2351</v>
      </c>
      <c r="B1958" s="119" t="s">
        <v>2352</v>
      </c>
      <c r="C1958" s="119" t="s">
        <v>66</v>
      </c>
      <c r="D1958" t="s">
        <v>45</v>
      </c>
      <c r="E1958" s="117">
        <v>30.5</v>
      </c>
    </row>
    <row r="1959" spans="1:5" x14ac:dyDescent="0.25">
      <c r="A1959" s="119" t="s">
        <v>2353</v>
      </c>
      <c r="B1959" s="119" t="s">
        <v>9353</v>
      </c>
      <c r="C1959" s="119" t="s">
        <v>66</v>
      </c>
      <c r="D1959" t="s">
        <v>45</v>
      </c>
      <c r="E1959" s="117">
        <v>108.9</v>
      </c>
    </row>
    <row r="1960" spans="1:5" x14ac:dyDescent="0.25">
      <c r="A1960" s="119" t="s">
        <v>2354</v>
      </c>
      <c r="B1960" s="119" t="s">
        <v>9354</v>
      </c>
      <c r="C1960" s="119" t="s">
        <v>66</v>
      </c>
      <c r="D1960" t="s">
        <v>45</v>
      </c>
      <c r="E1960" s="117">
        <v>7.86</v>
      </c>
    </row>
    <row r="1961" spans="1:5" x14ac:dyDescent="0.25">
      <c r="A1961" s="119" t="s">
        <v>2355</v>
      </c>
      <c r="B1961" s="119" t="s">
        <v>9355</v>
      </c>
      <c r="C1961" s="119" t="s">
        <v>66</v>
      </c>
      <c r="D1961" t="s">
        <v>51</v>
      </c>
      <c r="E1961" s="117">
        <v>4.6100000000000003</v>
      </c>
    </row>
    <row r="1962" spans="1:5" x14ac:dyDescent="0.25">
      <c r="A1962" s="119" t="s">
        <v>2356</v>
      </c>
      <c r="B1962" s="119" t="s">
        <v>9356</v>
      </c>
      <c r="C1962" s="119" t="s">
        <v>66</v>
      </c>
      <c r="D1962" t="s">
        <v>6760</v>
      </c>
      <c r="E1962" s="117">
        <v>147</v>
      </c>
    </row>
    <row r="1963" spans="1:5" x14ac:dyDescent="0.25">
      <c r="A1963" s="119" t="s">
        <v>2357</v>
      </c>
      <c r="B1963" s="119" t="s">
        <v>2358</v>
      </c>
      <c r="C1963" s="119" t="s">
        <v>66</v>
      </c>
      <c r="D1963" t="s">
        <v>45</v>
      </c>
      <c r="E1963" s="117">
        <v>141.65</v>
      </c>
    </row>
    <row r="1964" spans="1:5" x14ac:dyDescent="0.25">
      <c r="A1964" s="119" t="s">
        <v>2359</v>
      </c>
      <c r="B1964" s="119" t="s">
        <v>2360</v>
      </c>
      <c r="C1964" s="119" t="s">
        <v>66</v>
      </c>
      <c r="D1964" t="s">
        <v>45</v>
      </c>
      <c r="E1964" s="117">
        <v>148.5</v>
      </c>
    </row>
    <row r="1965" spans="1:5" x14ac:dyDescent="0.25">
      <c r="A1965" s="119" t="s">
        <v>2361</v>
      </c>
      <c r="B1965" s="119" t="s">
        <v>9357</v>
      </c>
      <c r="C1965" s="119" t="s">
        <v>66</v>
      </c>
      <c r="D1965" t="s">
        <v>45</v>
      </c>
      <c r="E1965" s="117">
        <v>11.87</v>
      </c>
    </row>
    <row r="1966" spans="1:5" x14ac:dyDescent="0.25">
      <c r="A1966" s="119" t="s">
        <v>2362</v>
      </c>
      <c r="B1966" s="119" t="s">
        <v>9358</v>
      </c>
      <c r="C1966" s="119" t="s">
        <v>66</v>
      </c>
      <c r="D1966" t="s">
        <v>51</v>
      </c>
      <c r="E1966" s="117">
        <v>14.18</v>
      </c>
    </row>
    <row r="1967" spans="1:5" x14ac:dyDescent="0.25">
      <c r="A1967" s="119" t="s">
        <v>2363</v>
      </c>
      <c r="B1967" s="119" t="s">
        <v>9359</v>
      </c>
      <c r="C1967" s="119" t="s">
        <v>66</v>
      </c>
      <c r="D1967" t="s">
        <v>45</v>
      </c>
      <c r="E1967" s="117">
        <v>11.87</v>
      </c>
    </row>
    <row r="1968" spans="1:5" x14ac:dyDescent="0.25">
      <c r="A1968" s="119" t="s">
        <v>2364</v>
      </c>
      <c r="B1968" s="119" t="s">
        <v>9360</v>
      </c>
      <c r="C1968" s="119" t="s">
        <v>66</v>
      </c>
      <c r="D1968" t="s">
        <v>45</v>
      </c>
      <c r="E1968" s="117">
        <v>12.2</v>
      </c>
    </row>
    <row r="1969" spans="1:5" x14ac:dyDescent="0.25">
      <c r="A1969" s="119" t="s">
        <v>2365</v>
      </c>
      <c r="B1969" s="119" t="s">
        <v>9361</v>
      </c>
      <c r="C1969" s="119" t="s">
        <v>66</v>
      </c>
      <c r="D1969" t="s">
        <v>49</v>
      </c>
      <c r="E1969" s="117">
        <v>15.02</v>
      </c>
    </row>
    <row r="1970" spans="1:5" x14ac:dyDescent="0.25">
      <c r="A1970" s="119" t="s">
        <v>2366</v>
      </c>
      <c r="B1970" s="119" t="s">
        <v>9362</v>
      </c>
      <c r="C1970" s="119" t="s">
        <v>66</v>
      </c>
      <c r="D1970" t="s">
        <v>45</v>
      </c>
      <c r="E1970" s="117">
        <v>17.54</v>
      </c>
    </row>
    <row r="1971" spans="1:5" x14ac:dyDescent="0.25">
      <c r="A1971" s="119" t="s">
        <v>2367</v>
      </c>
      <c r="B1971" s="119" t="s">
        <v>9363</v>
      </c>
      <c r="C1971" s="119" t="s">
        <v>66</v>
      </c>
      <c r="D1971" t="s">
        <v>49</v>
      </c>
      <c r="E1971" s="117">
        <v>21.42</v>
      </c>
    </row>
    <row r="1972" spans="1:5" x14ac:dyDescent="0.25">
      <c r="A1972" s="119" t="s">
        <v>2368</v>
      </c>
      <c r="B1972" s="119" t="s">
        <v>2369</v>
      </c>
      <c r="C1972" s="119" t="s">
        <v>66</v>
      </c>
      <c r="D1972" t="s">
        <v>6759</v>
      </c>
      <c r="E1972" s="117">
        <v>235.94</v>
      </c>
    </row>
    <row r="1973" spans="1:5" x14ac:dyDescent="0.25">
      <c r="A1973" s="119" t="s">
        <v>2370</v>
      </c>
      <c r="B1973" s="119" t="s">
        <v>2371</v>
      </c>
      <c r="C1973" s="119" t="s">
        <v>66</v>
      </c>
      <c r="D1973" t="s">
        <v>6759</v>
      </c>
      <c r="E1973" s="117">
        <v>261.45</v>
      </c>
    </row>
    <row r="1974" spans="1:5" x14ac:dyDescent="0.25">
      <c r="A1974" s="119" t="s">
        <v>2372</v>
      </c>
      <c r="B1974" s="119" t="s">
        <v>9364</v>
      </c>
      <c r="C1974" s="119" t="s">
        <v>66</v>
      </c>
      <c r="D1974" t="s">
        <v>45</v>
      </c>
      <c r="E1974" s="117">
        <v>0</v>
      </c>
    </row>
    <row r="1975" spans="1:5" x14ac:dyDescent="0.25">
      <c r="A1975" s="119" t="s">
        <v>2373</v>
      </c>
      <c r="B1975" s="119" t="s">
        <v>9365</v>
      </c>
      <c r="C1975" s="119" t="s">
        <v>66</v>
      </c>
      <c r="D1975" t="s">
        <v>6760</v>
      </c>
      <c r="E1975" s="117">
        <v>24.26</v>
      </c>
    </row>
    <row r="1976" spans="1:5" x14ac:dyDescent="0.25">
      <c r="A1976" s="119" t="s">
        <v>2374</v>
      </c>
      <c r="B1976" s="119" t="s">
        <v>9366</v>
      </c>
      <c r="C1976" s="119" t="s">
        <v>66</v>
      </c>
      <c r="D1976" t="s">
        <v>51</v>
      </c>
      <c r="E1976" s="117">
        <v>14.07</v>
      </c>
    </row>
    <row r="1977" spans="1:5" x14ac:dyDescent="0.25">
      <c r="A1977" s="119" t="s">
        <v>2375</v>
      </c>
      <c r="B1977" s="119" t="s">
        <v>9367</v>
      </c>
      <c r="C1977" s="119" t="s">
        <v>66</v>
      </c>
      <c r="D1977" t="s">
        <v>51</v>
      </c>
      <c r="E1977" s="117">
        <v>17.010000000000002</v>
      </c>
    </row>
    <row r="1978" spans="1:5" x14ac:dyDescent="0.25">
      <c r="A1978" s="119" t="s">
        <v>2376</v>
      </c>
      <c r="B1978" s="119" t="s">
        <v>9368</v>
      </c>
      <c r="C1978" s="119" t="s">
        <v>66</v>
      </c>
      <c r="D1978" t="s">
        <v>45</v>
      </c>
      <c r="E1978" s="117">
        <v>0</v>
      </c>
    </row>
    <row r="1979" spans="1:5" x14ac:dyDescent="0.25">
      <c r="A1979" s="119" t="s">
        <v>2377</v>
      </c>
      <c r="B1979" s="119" t="s">
        <v>9369</v>
      </c>
      <c r="C1979" s="119" t="s">
        <v>66</v>
      </c>
      <c r="D1979" t="s">
        <v>51</v>
      </c>
      <c r="E1979" s="117">
        <v>24.99</v>
      </c>
    </row>
    <row r="1980" spans="1:5" x14ac:dyDescent="0.25">
      <c r="A1980" s="119" t="s">
        <v>2378</v>
      </c>
      <c r="B1980" s="119" t="s">
        <v>9370</v>
      </c>
      <c r="C1980" s="119" t="s">
        <v>66</v>
      </c>
      <c r="D1980" t="s">
        <v>6760</v>
      </c>
      <c r="E1980" s="117">
        <v>23.73</v>
      </c>
    </row>
    <row r="1981" spans="1:5" x14ac:dyDescent="0.25">
      <c r="A1981" s="119" t="s">
        <v>2379</v>
      </c>
      <c r="B1981" s="119" t="s">
        <v>9371</v>
      </c>
      <c r="C1981" s="119" t="s">
        <v>66</v>
      </c>
      <c r="D1981" t="s">
        <v>45</v>
      </c>
      <c r="E1981" s="117">
        <v>28.04</v>
      </c>
    </row>
    <row r="1982" spans="1:5" x14ac:dyDescent="0.25">
      <c r="A1982" s="119" t="s">
        <v>2380</v>
      </c>
      <c r="B1982" s="119" t="s">
        <v>9372</v>
      </c>
      <c r="C1982" s="119" t="s">
        <v>66</v>
      </c>
      <c r="D1982" t="s">
        <v>51</v>
      </c>
      <c r="E1982" s="117">
        <v>32.340000000000003</v>
      </c>
    </row>
    <row r="1983" spans="1:5" x14ac:dyDescent="0.25">
      <c r="A1983" s="119" t="s">
        <v>2381</v>
      </c>
      <c r="B1983" s="119" t="s">
        <v>9373</v>
      </c>
      <c r="C1983" s="119" t="s">
        <v>66</v>
      </c>
      <c r="D1983" t="s">
        <v>51</v>
      </c>
      <c r="E1983" s="117">
        <v>44.21</v>
      </c>
    </row>
    <row r="1984" spans="1:5" x14ac:dyDescent="0.25">
      <c r="A1984" s="119" t="s">
        <v>2382</v>
      </c>
      <c r="B1984" s="119" t="s">
        <v>9374</v>
      </c>
      <c r="C1984" s="119" t="s">
        <v>66</v>
      </c>
      <c r="D1984" t="s">
        <v>51</v>
      </c>
      <c r="E1984" s="117">
        <v>53.87</v>
      </c>
    </row>
    <row r="1985" spans="1:5" x14ac:dyDescent="0.25">
      <c r="A1985" s="119" t="s">
        <v>2383</v>
      </c>
      <c r="B1985" s="119" t="s">
        <v>9375</v>
      </c>
      <c r="C1985" s="119" t="s">
        <v>66</v>
      </c>
      <c r="D1985" t="s">
        <v>45</v>
      </c>
      <c r="E1985" s="117">
        <v>26.36</v>
      </c>
    </row>
    <row r="1986" spans="1:5" x14ac:dyDescent="0.25">
      <c r="A1986" s="119" t="s">
        <v>2384</v>
      </c>
      <c r="B1986" s="119" t="s">
        <v>9376</v>
      </c>
      <c r="C1986" s="119" t="s">
        <v>66</v>
      </c>
      <c r="D1986" t="s">
        <v>6760</v>
      </c>
      <c r="E1986" s="117">
        <v>33.08</v>
      </c>
    </row>
    <row r="1987" spans="1:5" x14ac:dyDescent="0.25">
      <c r="A1987" s="119" t="s">
        <v>2385</v>
      </c>
      <c r="B1987" s="119" t="s">
        <v>9377</v>
      </c>
      <c r="C1987" s="119" t="s">
        <v>66</v>
      </c>
      <c r="D1987" t="s">
        <v>6760</v>
      </c>
      <c r="E1987" s="117">
        <v>42</v>
      </c>
    </row>
    <row r="1988" spans="1:5" x14ac:dyDescent="0.25">
      <c r="A1988" s="119" t="s">
        <v>2386</v>
      </c>
      <c r="B1988" s="119" t="s">
        <v>9378</v>
      </c>
      <c r="C1988" s="119" t="s">
        <v>66</v>
      </c>
      <c r="D1988" t="s">
        <v>6760</v>
      </c>
      <c r="E1988" s="117">
        <v>58.59</v>
      </c>
    </row>
    <row r="1989" spans="1:5" x14ac:dyDescent="0.25">
      <c r="A1989" s="119" t="s">
        <v>2387</v>
      </c>
      <c r="B1989" s="119" t="s">
        <v>9379</v>
      </c>
      <c r="C1989" s="119" t="s">
        <v>66</v>
      </c>
      <c r="D1989" t="s">
        <v>45</v>
      </c>
      <c r="E1989" s="117">
        <v>0</v>
      </c>
    </row>
    <row r="1990" spans="1:5" x14ac:dyDescent="0.25">
      <c r="A1990" s="119" t="s">
        <v>2388</v>
      </c>
      <c r="B1990" s="119" t="s">
        <v>9380</v>
      </c>
      <c r="C1990" s="119" t="s">
        <v>66</v>
      </c>
      <c r="D1990" t="s">
        <v>49</v>
      </c>
      <c r="E1990" s="117">
        <v>66.47</v>
      </c>
    </row>
    <row r="1991" spans="1:5" x14ac:dyDescent="0.25">
      <c r="A1991" s="119" t="s">
        <v>2389</v>
      </c>
      <c r="B1991" s="119" t="s">
        <v>9381</v>
      </c>
      <c r="C1991" s="119" t="s">
        <v>66</v>
      </c>
      <c r="D1991" t="s">
        <v>49</v>
      </c>
      <c r="E1991" s="117">
        <v>36.96</v>
      </c>
    </row>
    <row r="1992" spans="1:5" x14ac:dyDescent="0.25">
      <c r="A1992" s="119" t="s">
        <v>2390</v>
      </c>
      <c r="B1992" s="119" t="s">
        <v>9382</v>
      </c>
      <c r="C1992" s="119" t="s">
        <v>66</v>
      </c>
      <c r="D1992" t="s">
        <v>51</v>
      </c>
      <c r="E1992" s="117">
        <v>46.31</v>
      </c>
    </row>
    <row r="1993" spans="1:5" x14ac:dyDescent="0.25">
      <c r="A1993" s="119" t="s">
        <v>2391</v>
      </c>
      <c r="B1993" s="119" t="s">
        <v>9383</v>
      </c>
      <c r="C1993" s="119" t="s">
        <v>66</v>
      </c>
      <c r="D1993" t="s">
        <v>51</v>
      </c>
      <c r="E1993" s="117">
        <v>37.380000000000003</v>
      </c>
    </row>
    <row r="1994" spans="1:5" x14ac:dyDescent="0.25">
      <c r="A1994" s="119" t="s">
        <v>2392</v>
      </c>
      <c r="B1994" s="119" t="s">
        <v>9384</v>
      </c>
      <c r="C1994" s="119" t="s">
        <v>66</v>
      </c>
      <c r="D1994" t="s">
        <v>51</v>
      </c>
      <c r="E1994" s="117">
        <v>48.3</v>
      </c>
    </row>
    <row r="1995" spans="1:5" x14ac:dyDescent="0.25">
      <c r="A1995" s="119" t="s">
        <v>2393</v>
      </c>
      <c r="B1995" s="119" t="s">
        <v>9385</v>
      </c>
      <c r="C1995" s="119" t="s">
        <v>66</v>
      </c>
      <c r="D1995" t="s">
        <v>51</v>
      </c>
      <c r="E1995" s="117">
        <v>74.45</v>
      </c>
    </row>
    <row r="1996" spans="1:5" x14ac:dyDescent="0.25">
      <c r="A1996" s="119" t="s">
        <v>2394</v>
      </c>
      <c r="B1996" s="119" t="s">
        <v>9386</v>
      </c>
      <c r="C1996" s="119" t="s">
        <v>66</v>
      </c>
      <c r="D1996" t="s">
        <v>51</v>
      </c>
      <c r="E1996" s="117">
        <v>43.26</v>
      </c>
    </row>
    <row r="1997" spans="1:5" x14ac:dyDescent="0.25">
      <c r="A1997" s="119" t="s">
        <v>2395</v>
      </c>
      <c r="B1997" s="119" t="s">
        <v>9387</v>
      </c>
      <c r="C1997" s="119" t="s">
        <v>66</v>
      </c>
      <c r="D1997" t="s">
        <v>49</v>
      </c>
      <c r="E1997" s="117">
        <v>56.18</v>
      </c>
    </row>
    <row r="1998" spans="1:5" x14ac:dyDescent="0.25">
      <c r="A1998" s="119" t="s">
        <v>2396</v>
      </c>
      <c r="B1998" s="119" t="s">
        <v>9388</v>
      </c>
      <c r="C1998" s="119" t="s">
        <v>66</v>
      </c>
      <c r="D1998" t="s">
        <v>51</v>
      </c>
      <c r="E1998" s="117">
        <v>81.59</v>
      </c>
    </row>
    <row r="1999" spans="1:5" x14ac:dyDescent="0.25">
      <c r="A1999" s="119" t="s">
        <v>2397</v>
      </c>
      <c r="B1999" s="119" t="s">
        <v>9389</v>
      </c>
      <c r="C1999" s="119" t="s">
        <v>66</v>
      </c>
      <c r="D1999" t="s">
        <v>6760</v>
      </c>
      <c r="E1999" s="117">
        <v>104.69</v>
      </c>
    </row>
    <row r="2000" spans="1:5" x14ac:dyDescent="0.25">
      <c r="A2000" s="119" t="s">
        <v>2398</v>
      </c>
      <c r="B2000" s="119" t="s">
        <v>9390</v>
      </c>
      <c r="C2000" s="119" t="s">
        <v>66</v>
      </c>
      <c r="D2000" t="s">
        <v>49</v>
      </c>
      <c r="E2000" s="117">
        <v>77.7</v>
      </c>
    </row>
    <row r="2001" spans="1:5" x14ac:dyDescent="0.25">
      <c r="A2001" s="119" t="s">
        <v>2399</v>
      </c>
      <c r="B2001" s="119" t="s">
        <v>9391</v>
      </c>
      <c r="C2001" s="119" t="s">
        <v>66</v>
      </c>
      <c r="D2001" t="s">
        <v>49</v>
      </c>
      <c r="E2001" s="117">
        <v>124.11</v>
      </c>
    </row>
    <row r="2002" spans="1:5" x14ac:dyDescent="0.25">
      <c r="A2002" s="119" t="s">
        <v>2400</v>
      </c>
      <c r="B2002" s="119" t="s">
        <v>9392</v>
      </c>
      <c r="C2002" s="119" t="s">
        <v>66</v>
      </c>
      <c r="D2002" t="s">
        <v>6760</v>
      </c>
      <c r="E2002" s="117">
        <v>83.9</v>
      </c>
    </row>
    <row r="2003" spans="1:5" x14ac:dyDescent="0.25">
      <c r="A2003" s="119" t="s">
        <v>2401</v>
      </c>
      <c r="B2003" s="119" t="s">
        <v>9393</v>
      </c>
      <c r="C2003" s="119" t="s">
        <v>66</v>
      </c>
      <c r="D2003" t="s">
        <v>51</v>
      </c>
      <c r="E2003" s="117">
        <v>93.45</v>
      </c>
    </row>
    <row r="2004" spans="1:5" x14ac:dyDescent="0.25">
      <c r="A2004" s="119" t="s">
        <v>2402</v>
      </c>
      <c r="B2004" s="119" t="s">
        <v>9394</v>
      </c>
      <c r="C2004" s="119" t="s">
        <v>66</v>
      </c>
      <c r="D2004" t="s">
        <v>49</v>
      </c>
      <c r="E2004" s="117">
        <v>113.61</v>
      </c>
    </row>
    <row r="2005" spans="1:5" x14ac:dyDescent="0.25">
      <c r="A2005" s="119" t="s">
        <v>2403</v>
      </c>
      <c r="B2005" s="119" t="s">
        <v>9395</v>
      </c>
      <c r="C2005" s="119" t="s">
        <v>66</v>
      </c>
      <c r="D2005" t="s">
        <v>49</v>
      </c>
      <c r="E2005" s="117">
        <v>157.29</v>
      </c>
    </row>
    <row r="2006" spans="1:5" x14ac:dyDescent="0.25">
      <c r="A2006" s="119" t="s">
        <v>2404</v>
      </c>
      <c r="B2006" s="119" t="s">
        <v>9396</v>
      </c>
      <c r="C2006" s="119" t="s">
        <v>66</v>
      </c>
      <c r="D2006" t="s">
        <v>49</v>
      </c>
      <c r="E2006" s="117">
        <v>142.07</v>
      </c>
    </row>
    <row r="2007" spans="1:5" x14ac:dyDescent="0.25">
      <c r="A2007" s="119" t="s">
        <v>2405</v>
      </c>
      <c r="B2007" s="119" t="s">
        <v>9397</v>
      </c>
      <c r="C2007" s="119" t="s">
        <v>66</v>
      </c>
      <c r="D2007" t="s">
        <v>6760</v>
      </c>
      <c r="E2007" s="117">
        <v>171.57</v>
      </c>
    </row>
    <row r="2008" spans="1:5" x14ac:dyDescent="0.25">
      <c r="A2008" s="119" t="s">
        <v>2406</v>
      </c>
      <c r="B2008" s="119" t="s">
        <v>9398</v>
      </c>
      <c r="C2008" s="119" t="s">
        <v>66</v>
      </c>
      <c r="D2008" t="s">
        <v>49</v>
      </c>
      <c r="E2008" s="117">
        <v>174.2</v>
      </c>
    </row>
    <row r="2009" spans="1:5" x14ac:dyDescent="0.25">
      <c r="A2009" s="119" t="s">
        <v>2407</v>
      </c>
      <c r="B2009" s="119" t="s">
        <v>2408</v>
      </c>
      <c r="C2009" s="119" t="s">
        <v>66</v>
      </c>
      <c r="D2009" t="s">
        <v>6760</v>
      </c>
      <c r="E2009" s="117">
        <v>60.9</v>
      </c>
    </row>
    <row r="2010" spans="1:5" x14ac:dyDescent="0.25">
      <c r="A2010" s="119" t="s">
        <v>2409</v>
      </c>
      <c r="B2010" s="119" t="s">
        <v>2410</v>
      </c>
      <c r="C2010" s="119" t="s">
        <v>66</v>
      </c>
      <c r="D2010" t="s">
        <v>49</v>
      </c>
      <c r="E2010" s="117">
        <v>850.92</v>
      </c>
    </row>
    <row r="2011" spans="1:5" x14ac:dyDescent="0.25">
      <c r="A2011" s="119" t="s">
        <v>2411</v>
      </c>
      <c r="B2011" s="119" t="s">
        <v>2412</v>
      </c>
      <c r="C2011" s="119" t="s">
        <v>66</v>
      </c>
      <c r="D2011" t="s">
        <v>49</v>
      </c>
      <c r="E2011" s="117">
        <v>827.93</v>
      </c>
    </row>
    <row r="2012" spans="1:5" x14ac:dyDescent="0.25">
      <c r="A2012" s="119" t="s">
        <v>2413</v>
      </c>
      <c r="B2012" s="119" t="s">
        <v>6459</v>
      </c>
      <c r="C2012" s="119" t="s">
        <v>66</v>
      </c>
      <c r="D2012" t="s">
        <v>45</v>
      </c>
      <c r="E2012" s="117">
        <v>0</v>
      </c>
    </row>
    <row r="2013" spans="1:5" x14ac:dyDescent="0.25">
      <c r="A2013" s="119" t="s">
        <v>2414</v>
      </c>
      <c r="B2013" s="119" t="s">
        <v>6459</v>
      </c>
      <c r="C2013" s="119" t="s">
        <v>66</v>
      </c>
      <c r="D2013" t="s">
        <v>45</v>
      </c>
      <c r="E2013" s="117">
        <v>120.56</v>
      </c>
    </row>
    <row r="2014" spans="1:5" x14ac:dyDescent="0.25">
      <c r="A2014" s="119" t="s">
        <v>2415</v>
      </c>
      <c r="B2014" s="119" t="s">
        <v>2416</v>
      </c>
      <c r="C2014" s="119" t="s">
        <v>66</v>
      </c>
      <c r="D2014" t="s">
        <v>49</v>
      </c>
      <c r="E2014" s="117">
        <v>84.32</v>
      </c>
    </row>
    <row r="2015" spans="1:5" x14ac:dyDescent="0.25">
      <c r="A2015" s="119" t="s">
        <v>2417</v>
      </c>
      <c r="B2015" s="119" t="s">
        <v>2418</v>
      </c>
      <c r="C2015" s="119" t="s">
        <v>66</v>
      </c>
      <c r="D2015" t="s">
        <v>6759</v>
      </c>
      <c r="E2015" s="117">
        <v>118.86</v>
      </c>
    </row>
    <row r="2016" spans="1:5" x14ac:dyDescent="0.25">
      <c r="A2016" s="119" t="s">
        <v>2419</v>
      </c>
      <c r="B2016" s="119" t="s">
        <v>9399</v>
      </c>
      <c r="C2016" s="119" t="s">
        <v>66</v>
      </c>
      <c r="D2016" t="s">
        <v>51</v>
      </c>
      <c r="E2016" s="117">
        <v>8.85</v>
      </c>
    </row>
    <row r="2017" spans="1:5" x14ac:dyDescent="0.25">
      <c r="A2017" s="119" t="s">
        <v>2420</v>
      </c>
      <c r="B2017" s="119" t="s">
        <v>2421</v>
      </c>
      <c r="C2017" s="119" t="s">
        <v>66</v>
      </c>
      <c r="D2017" t="s">
        <v>45</v>
      </c>
      <c r="E2017" s="117">
        <v>67.41</v>
      </c>
    </row>
    <row r="2018" spans="1:5" x14ac:dyDescent="0.25">
      <c r="A2018" s="119" t="s">
        <v>2422</v>
      </c>
      <c r="B2018" s="119" t="s">
        <v>2423</v>
      </c>
      <c r="C2018" s="119" t="s">
        <v>66</v>
      </c>
      <c r="D2018" t="s">
        <v>45</v>
      </c>
      <c r="E2018" s="117">
        <v>103.85</v>
      </c>
    </row>
    <row r="2019" spans="1:5" x14ac:dyDescent="0.25">
      <c r="A2019" s="119" t="s">
        <v>2424</v>
      </c>
      <c r="B2019" s="119" t="s">
        <v>2425</v>
      </c>
      <c r="C2019" s="119" t="s">
        <v>66</v>
      </c>
      <c r="D2019" t="s">
        <v>45</v>
      </c>
      <c r="E2019" s="117">
        <v>123.6</v>
      </c>
    </row>
    <row r="2020" spans="1:5" x14ac:dyDescent="0.25">
      <c r="A2020" s="119" t="s">
        <v>7450</v>
      </c>
      <c r="B2020" s="119" t="s">
        <v>7451</v>
      </c>
      <c r="C2020" s="119" t="s">
        <v>66</v>
      </c>
      <c r="D2020" t="s">
        <v>45</v>
      </c>
      <c r="E2020" s="117">
        <v>999999</v>
      </c>
    </row>
    <row r="2021" spans="1:5" x14ac:dyDescent="0.25">
      <c r="A2021" s="119" t="s">
        <v>2426</v>
      </c>
      <c r="B2021" s="119" t="s">
        <v>2427</v>
      </c>
      <c r="C2021" s="119" t="s">
        <v>66</v>
      </c>
      <c r="D2021" t="s">
        <v>45</v>
      </c>
      <c r="E2021" s="117">
        <v>49.46</v>
      </c>
    </row>
    <row r="2022" spans="1:5" x14ac:dyDescent="0.25">
      <c r="A2022" s="119" t="s">
        <v>2428</v>
      </c>
      <c r="B2022" s="119" t="s">
        <v>9400</v>
      </c>
      <c r="C2022" s="119" t="s">
        <v>66</v>
      </c>
      <c r="D2022" t="s">
        <v>51</v>
      </c>
      <c r="E2022" s="117">
        <v>7.32</v>
      </c>
    </row>
    <row r="2023" spans="1:5" x14ac:dyDescent="0.25">
      <c r="A2023" s="119" t="s">
        <v>2429</v>
      </c>
      <c r="B2023" s="119" t="s">
        <v>2430</v>
      </c>
      <c r="C2023" s="119" t="s">
        <v>66</v>
      </c>
      <c r="D2023" t="s">
        <v>6760</v>
      </c>
      <c r="E2023" s="117">
        <v>90.51</v>
      </c>
    </row>
    <row r="2024" spans="1:5" x14ac:dyDescent="0.25">
      <c r="A2024" s="119" t="s">
        <v>2431</v>
      </c>
      <c r="B2024" s="119" t="s">
        <v>2432</v>
      </c>
      <c r="C2024" s="119" t="s">
        <v>66</v>
      </c>
      <c r="D2024" t="s">
        <v>6760</v>
      </c>
      <c r="E2024" s="117">
        <v>112.35</v>
      </c>
    </row>
    <row r="2025" spans="1:5" x14ac:dyDescent="0.25">
      <c r="A2025" s="119" t="s">
        <v>2433</v>
      </c>
      <c r="B2025" s="119" t="s">
        <v>6460</v>
      </c>
      <c r="C2025" s="119" t="s">
        <v>66</v>
      </c>
      <c r="D2025" t="s">
        <v>6760</v>
      </c>
      <c r="E2025" s="117">
        <v>99.46</v>
      </c>
    </row>
    <row r="2026" spans="1:5" x14ac:dyDescent="0.25">
      <c r="A2026" s="119" t="s">
        <v>2434</v>
      </c>
      <c r="B2026" s="119" t="s">
        <v>6461</v>
      </c>
      <c r="C2026" s="119" t="s">
        <v>66</v>
      </c>
      <c r="D2026" t="s">
        <v>51</v>
      </c>
      <c r="E2026" s="117">
        <v>108.06</v>
      </c>
    </row>
    <row r="2027" spans="1:5" x14ac:dyDescent="0.25">
      <c r="A2027" s="119" t="s">
        <v>2435</v>
      </c>
      <c r="B2027" s="119" t="s">
        <v>2436</v>
      </c>
      <c r="C2027" s="119" t="s">
        <v>66</v>
      </c>
      <c r="D2027" t="s">
        <v>49</v>
      </c>
      <c r="E2027" s="117">
        <v>124.23</v>
      </c>
    </row>
    <row r="2028" spans="1:5" x14ac:dyDescent="0.25">
      <c r="A2028" s="119" t="s">
        <v>2437</v>
      </c>
      <c r="B2028" s="119" t="s">
        <v>2438</v>
      </c>
      <c r="C2028" s="119" t="s">
        <v>66</v>
      </c>
      <c r="D2028" t="s">
        <v>49</v>
      </c>
      <c r="E2028" s="117">
        <v>136.61000000000001</v>
      </c>
    </row>
    <row r="2029" spans="1:5" x14ac:dyDescent="0.25">
      <c r="A2029" s="119" t="s">
        <v>2439</v>
      </c>
      <c r="B2029" s="119" t="s">
        <v>2440</v>
      </c>
      <c r="C2029" s="119" t="s">
        <v>66</v>
      </c>
      <c r="D2029" t="s">
        <v>49</v>
      </c>
      <c r="E2029" s="117">
        <v>149.11000000000001</v>
      </c>
    </row>
    <row r="2030" spans="1:5" x14ac:dyDescent="0.25">
      <c r="A2030" s="119" t="s">
        <v>2441</v>
      </c>
      <c r="B2030" s="119" t="s">
        <v>2442</v>
      </c>
      <c r="C2030" s="119" t="s">
        <v>66</v>
      </c>
      <c r="D2030" t="s">
        <v>6759</v>
      </c>
      <c r="E2030" s="117">
        <v>53.56</v>
      </c>
    </row>
    <row r="2031" spans="1:5" x14ac:dyDescent="0.25">
      <c r="A2031" s="119" t="s">
        <v>2443</v>
      </c>
      <c r="B2031" s="119" t="s">
        <v>2444</v>
      </c>
      <c r="C2031" s="119" t="s">
        <v>66</v>
      </c>
      <c r="D2031" t="s">
        <v>6760</v>
      </c>
      <c r="E2031" s="117">
        <v>53.56</v>
      </c>
    </row>
    <row r="2032" spans="1:5" x14ac:dyDescent="0.25">
      <c r="A2032" s="119" t="s">
        <v>2445</v>
      </c>
      <c r="B2032" s="119" t="s">
        <v>2446</v>
      </c>
      <c r="C2032" s="119" t="s">
        <v>66</v>
      </c>
      <c r="D2032" t="s">
        <v>51</v>
      </c>
      <c r="E2032" s="117">
        <v>91.9</v>
      </c>
    </row>
    <row r="2033" spans="1:5" x14ac:dyDescent="0.25">
      <c r="A2033" s="119" t="s">
        <v>2447</v>
      </c>
      <c r="B2033" s="119" t="s">
        <v>2448</v>
      </c>
      <c r="C2033" s="119" t="s">
        <v>66</v>
      </c>
      <c r="D2033" t="s">
        <v>49</v>
      </c>
      <c r="E2033" s="117">
        <v>91.91</v>
      </c>
    </row>
    <row r="2034" spans="1:5" x14ac:dyDescent="0.25">
      <c r="A2034" s="119" t="s">
        <v>2449</v>
      </c>
      <c r="B2034" s="119" t="s">
        <v>2442</v>
      </c>
      <c r="C2034" s="119" t="s">
        <v>66</v>
      </c>
      <c r="D2034" t="s">
        <v>6759</v>
      </c>
      <c r="E2034" s="117">
        <v>91.91</v>
      </c>
    </row>
    <row r="2035" spans="1:5" x14ac:dyDescent="0.25">
      <c r="A2035" s="119" t="s">
        <v>2450</v>
      </c>
      <c r="B2035" s="119" t="s">
        <v>6462</v>
      </c>
      <c r="C2035" s="119" t="s">
        <v>66</v>
      </c>
      <c r="D2035" t="s">
        <v>6760</v>
      </c>
      <c r="E2035" s="117">
        <v>105</v>
      </c>
    </row>
    <row r="2036" spans="1:5" x14ac:dyDescent="0.25">
      <c r="A2036" s="119" t="s">
        <v>2451</v>
      </c>
      <c r="B2036" s="119" t="s">
        <v>9401</v>
      </c>
      <c r="C2036" s="119" t="s">
        <v>66</v>
      </c>
      <c r="D2036" t="s">
        <v>49</v>
      </c>
      <c r="E2036" s="117">
        <v>86.42</v>
      </c>
    </row>
    <row r="2037" spans="1:5" x14ac:dyDescent="0.25">
      <c r="A2037" s="119" t="s">
        <v>2452</v>
      </c>
      <c r="B2037" s="119" t="s">
        <v>7452</v>
      </c>
      <c r="C2037" s="119" t="s">
        <v>66</v>
      </c>
      <c r="D2037" t="s">
        <v>45</v>
      </c>
      <c r="E2037" s="117">
        <v>12.39</v>
      </c>
    </row>
    <row r="2038" spans="1:5" x14ac:dyDescent="0.25">
      <c r="A2038" s="119" t="s">
        <v>2453</v>
      </c>
      <c r="B2038" s="119" t="s">
        <v>2454</v>
      </c>
      <c r="C2038" s="119" t="s">
        <v>66</v>
      </c>
      <c r="D2038" t="s">
        <v>6759</v>
      </c>
      <c r="E2038" s="117">
        <v>141.65</v>
      </c>
    </row>
    <row r="2039" spans="1:5" x14ac:dyDescent="0.25">
      <c r="A2039" s="119" t="s">
        <v>2455</v>
      </c>
      <c r="B2039" s="119" t="s">
        <v>2456</v>
      </c>
      <c r="C2039" s="119" t="s">
        <v>66</v>
      </c>
      <c r="D2039" t="s">
        <v>45</v>
      </c>
      <c r="E2039" s="117">
        <v>59.3</v>
      </c>
    </row>
    <row r="2040" spans="1:5" x14ac:dyDescent="0.25">
      <c r="A2040" s="119" t="s">
        <v>2457</v>
      </c>
      <c r="B2040" s="119" t="s">
        <v>2458</v>
      </c>
      <c r="C2040" s="119" t="s">
        <v>66</v>
      </c>
      <c r="D2040" t="s">
        <v>6759</v>
      </c>
      <c r="E2040" s="117">
        <v>610.26</v>
      </c>
    </row>
    <row r="2041" spans="1:5" x14ac:dyDescent="0.25">
      <c r="A2041" s="119" t="s">
        <v>2459</v>
      </c>
      <c r="B2041" s="119" t="s">
        <v>2460</v>
      </c>
      <c r="C2041" s="119" t="s">
        <v>66</v>
      </c>
      <c r="D2041" t="s">
        <v>45</v>
      </c>
      <c r="E2041" s="117">
        <v>0</v>
      </c>
    </row>
    <row r="2042" spans="1:5" x14ac:dyDescent="0.25">
      <c r="A2042" s="119" t="s">
        <v>2461</v>
      </c>
      <c r="B2042" s="119" t="s">
        <v>2458</v>
      </c>
      <c r="C2042" s="119" t="s">
        <v>66</v>
      </c>
      <c r="D2042" t="s">
        <v>6759</v>
      </c>
      <c r="E2042" s="117">
        <v>610.26</v>
      </c>
    </row>
    <row r="2043" spans="1:5" x14ac:dyDescent="0.25">
      <c r="A2043" s="119" t="s">
        <v>2462</v>
      </c>
      <c r="B2043" s="119" t="s">
        <v>2463</v>
      </c>
      <c r="C2043" s="119" t="s">
        <v>66</v>
      </c>
      <c r="D2043" t="s">
        <v>45</v>
      </c>
      <c r="E2043" s="117">
        <v>0</v>
      </c>
    </row>
    <row r="2044" spans="1:5" x14ac:dyDescent="0.25">
      <c r="A2044" s="119" t="s">
        <v>2464</v>
      </c>
      <c r="B2044" s="119" t="s">
        <v>2458</v>
      </c>
      <c r="C2044" s="119" t="s">
        <v>66</v>
      </c>
      <c r="D2044" t="s">
        <v>6759</v>
      </c>
      <c r="E2044" s="117">
        <v>610.26</v>
      </c>
    </row>
    <row r="2045" spans="1:5" x14ac:dyDescent="0.25">
      <c r="A2045" s="119" t="s">
        <v>2465</v>
      </c>
      <c r="B2045" s="119" t="s">
        <v>2466</v>
      </c>
      <c r="C2045" s="119" t="s">
        <v>66</v>
      </c>
      <c r="D2045" t="s">
        <v>45</v>
      </c>
      <c r="E2045" s="117">
        <v>0</v>
      </c>
    </row>
    <row r="2046" spans="1:5" x14ac:dyDescent="0.25">
      <c r="A2046" s="119" t="s">
        <v>2467</v>
      </c>
      <c r="B2046" s="119" t="s">
        <v>2458</v>
      </c>
      <c r="C2046" s="119" t="s">
        <v>66</v>
      </c>
      <c r="D2046" t="s">
        <v>45</v>
      </c>
      <c r="E2046" s="117">
        <v>610.26</v>
      </c>
    </row>
    <row r="2047" spans="1:5" x14ac:dyDescent="0.25">
      <c r="A2047" s="119" t="s">
        <v>2468</v>
      </c>
      <c r="B2047" s="119" t="s">
        <v>2469</v>
      </c>
      <c r="C2047" s="119" t="s">
        <v>66</v>
      </c>
      <c r="D2047" t="s">
        <v>45</v>
      </c>
      <c r="E2047" s="117">
        <v>0</v>
      </c>
    </row>
    <row r="2048" spans="1:5" x14ac:dyDescent="0.25">
      <c r="A2048" s="119" t="s">
        <v>2470</v>
      </c>
      <c r="B2048" s="119" t="s">
        <v>2458</v>
      </c>
      <c r="C2048" s="119" t="s">
        <v>66</v>
      </c>
      <c r="D2048" t="s">
        <v>49</v>
      </c>
      <c r="E2048" s="117">
        <v>610.26</v>
      </c>
    </row>
    <row r="2049" spans="1:5" x14ac:dyDescent="0.25">
      <c r="A2049" s="119" t="s">
        <v>2471</v>
      </c>
      <c r="B2049" s="119" t="s">
        <v>2472</v>
      </c>
      <c r="C2049" s="119" t="s">
        <v>66</v>
      </c>
      <c r="D2049" t="s">
        <v>45</v>
      </c>
      <c r="E2049" s="117">
        <v>0</v>
      </c>
    </row>
    <row r="2050" spans="1:5" x14ac:dyDescent="0.25">
      <c r="A2050" s="119" t="s">
        <v>2473</v>
      </c>
      <c r="B2050" s="119" t="s">
        <v>2474</v>
      </c>
      <c r="C2050" s="119" t="s">
        <v>66</v>
      </c>
      <c r="D2050" t="s">
        <v>45</v>
      </c>
      <c r="E2050" s="117">
        <v>0</v>
      </c>
    </row>
    <row r="2051" spans="1:5" x14ac:dyDescent="0.25">
      <c r="A2051" s="119" t="s">
        <v>2475</v>
      </c>
      <c r="B2051" s="119" t="s">
        <v>2458</v>
      </c>
      <c r="C2051" s="119" t="s">
        <v>66</v>
      </c>
      <c r="D2051" t="s">
        <v>45</v>
      </c>
      <c r="E2051" s="117">
        <v>610.26</v>
      </c>
    </row>
    <row r="2052" spans="1:5" x14ac:dyDescent="0.25">
      <c r="A2052" s="119" t="s">
        <v>2476</v>
      </c>
      <c r="B2052" s="119" t="s">
        <v>2477</v>
      </c>
      <c r="C2052" s="119" t="s">
        <v>66</v>
      </c>
      <c r="D2052" t="s">
        <v>45</v>
      </c>
      <c r="E2052" s="117">
        <v>0</v>
      </c>
    </row>
    <row r="2053" spans="1:5" x14ac:dyDescent="0.25">
      <c r="A2053" s="119" t="s">
        <v>2478</v>
      </c>
      <c r="B2053" s="119" t="s">
        <v>2458</v>
      </c>
      <c r="C2053" s="119" t="s">
        <v>66</v>
      </c>
      <c r="D2053" t="s">
        <v>6759</v>
      </c>
      <c r="E2053" s="117">
        <v>610.26</v>
      </c>
    </row>
    <row r="2054" spans="1:5" x14ac:dyDescent="0.25">
      <c r="A2054" s="119" t="s">
        <v>2479</v>
      </c>
      <c r="B2054" s="119" t="s">
        <v>2480</v>
      </c>
      <c r="C2054" s="119" t="s">
        <v>66</v>
      </c>
      <c r="D2054" t="s">
        <v>45</v>
      </c>
      <c r="E2054" s="117">
        <v>0</v>
      </c>
    </row>
    <row r="2055" spans="1:5" x14ac:dyDescent="0.25">
      <c r="A2055" s="119" t="s">
        <v>2481</v>
      </c>
      <c r="B2055" s="119" t="s">
        <v>2458</v>
      </c>
      <c r="C2055" s="119" t="s">
        <v>66</v>
      </c>
      <c r="D2055" t="s">
        <v>6759</v>
      </c>
      <c r="E2055" s="117">
        <v>610.26</v>
      </c>
    </row>
    <row r="2056" spans="1:5" x14ac:dyDescent="0.25">
      <c r="A2056" s="119" t="s">
        <v>2482</v>
      </c>
      <c r="B2056" s="119" t="s">
        <v>2483</v>
      </c>
      <c r="C2056" s="119" t="s">
        <v>66</v>
      </c>
      <c r="D2056" t="s">
        <v>45</v>
      </c>
      <c r="E2056" s="117">
        <v>0</v>
      </c>
    </row>
    <row r="2057" spans="1:5" x14ac:dyDescent="0.25">
      <c r="A2057" s="119" t="s">
        <v>2484</v>
      </c>
      <c r="B2057" s="119" t="s">
        <v>2458</v>
      </c>
      <c r="C2057" s="119" t="s">
        <v>66</v>
      </c>
      <c r="D2057" t="s">
        <v>49</v>
      </c>
      <c r="E2057" s="117">
        <v>610.26</v>
      </c>
    </row>
    <row r="2058" spans="1:5" x14ac:dyDescent="0.25">
      <c r="A2058" s="119" t="s">
        <v>2485</v>
      </c>
      <c r="B2058" s="119" t="s">
        <v>2486</v>
      </c>
      <c r="C2058" s="119" t="s">
        <v>66</v>
      </c>
      <c r="D2058" t="s">
        <v>45</v>
      </c>
      <c r="E2058" s="117">
        <v>0</v>
      </c>
    </row>
    <row r="2059" spans="1:5" x14ac:dyDescent="0.25">
      <c r="A2059" s="119" t="s">
        <v>2487</v>
      </c>
      <c r="B2059" s="119" t="s">
        <v>2458</v>
      </c>
      <c r="C2059" s="119" t="s">
        <v>66</v>
      </c>
      <c r="D2059" t="s">
        <v>6759</v>
      </c>
      <c r="E2059" s="117">
        <v>610.26</v>
      </c>
    </row>
    <row r="2060" spans="1:5" x14ac:dyDescent="0.25">
      <c r="A2060" s="119" t="s">
        <v>2488</v>
      </c>
      <c r="B2060" s="119" t="s">
        <v>2489</v>
      </c>
      <c r="C2060" s="119" t="s">
        <v>66</v>
      </c>
      <c r="D2060" t="s">
        <v>45</v>
      </c>
      <c r="E2060" s="117">
        <v>0</v>
      </c>
    </row>
    <row r="2061" spans="1:5" x14ac:dyDescent="0.25">
      <c r="A2061" s="119" t="s">
        <v>2490</v>
      </c>
      <c r="B2061" s="119" t="s">
        <v>2491</v>
      </c>
      <c r="C2061" s="119" t="s">
        <v>66</v>
      </c>
      <c r="D2061" t="s">
        <v>45</v>
      </c>
      <c r="E2061" s="117">
        <v>549.4</v>
      </c>
    </row>
    <row r="2062" spans="1:5" x14ac:dyDescent="0.25">
      <c r="A2062" s="119" t="s">
        <v>2492</v>
      </c>
      <c r="B2062" s="119" t="s">
        <v>2458</v>
      </c>
      <c r="C2062" s="119" t="s">
        <v>66</v>
      </c>
      <c r="D2062" t="s">
        <v>6759</v>
      </c>
      <c r="E2062" s="117">
        <v>610.26</v>
      </c>
    </row>
    <row r="2063" spans="1:5" x14ac:dyDescent="0.25">
      <c r="A2063" s="119" t="s">
        <v>2493</v>
      </c>
      <c r="B2063" s="119" t="s">
        <v>2494</v>
      </c>
      <c r="C2063" s="119" t="s">
        <v>66</v>
      </c>
      <c r="D2063" t="s">
        <v>6759</v>
      </c>
      <c r="E2063" s="117">
        <v>61.03</v>
      </c>
    </row>
    <row r="2064" spans="1:5" x14ac:dyDescent="0.25">
      <c r="A2064" s="119" t="s">
        <v>2495</v>
      </c>
      <c r="B2064" s="119" t="s">
        <v>2458</v>
      </c>
      <c r="C2064" s="119" t="s">
        <v>66</v>
      </c>
      <c r="D2064" t="s">
        <v>49</v>
      </c>
      <c r="E2064" s="117">
        <v>610.26</v>
      </c>
    </row>
    <row r="2065" spans="1:5" x14ac:dyDescent="0.25">
      <c r="A2065" s="119" t="s">
        <v>2496</v>
      </c>
      <c r="B2065" s="119" t="s">
        <v>2497</v>
      </c>
      <c r="C2065" s="119" t="s">
        <v>66</v>
      </c>
      <c r="D2065" t="s">
        <v>45</v>
      </c>
      <c r="E2065" s="117">
        <v>0</v>
      </c>
    </row>
    <row r="2066" spans="1:5" x14ac:dyDescent="0.25">
      <c r="A2066" s="119" t="s">
        <v>2498</v>
      </c>
      <c r="B2066" s="119" t="s">
        <v>2458</v>
      </c>
      <c r="C2066" s="119" t="s">
        <v>66</v>
      </c>
      <c r="D2066" t="s">
        <v>49</v>
      </c>
      <c r="E2066" s="117">
        <v>610.26</v>
      </c>
    </row>
    <row r="2067" spans="1:5" x14ac:dyDescent="0.25">
      <c r="A2067" s="119" t="s">
        <v>2499</v>
      </c>
      <c r="B2067" s="119" t="s">
        <v>6299</v>
      </c>
      <c r="C2067" s="119" t="s">
        <v>66</v>
      </c>
      <c r="D2067" t="s">
        <v>45</v>
      </c>
      <c r="E2067" s="117">
        <v>0</v>
      </c>
    </row>
    <row r="2068" spans="1:5" x14ac:dyDescent="0.25">
      <c r="A2068" s="119" t="s">
        <v>2500</v>
      </c>
      <c r="B2068" s="119" t="s">
        <v>2501</v>
      </c>
      <c r="C2068" s="119" t="s">
        <v>66</v>
      </c>
      <c r="D2068" t="s">
        <v>45</v>
      </c>
      <c r="E2068" s="117">
        <v>158</v>
      </c>
    </row>
    <row r="2069" spans="1:5" x14ac:dyDescent="0.25">
      <c r="A2069" s="119" t="s">
        <v>2502</v>
      </c>
      <c r="B2069" s="119" t="s">
        <v>9402</v>
      </c>
      <c r="C2069" s="119" t="s">
        <v>66</v>
      </c>
      <c r="D2069" t="s">
        <v>6760</v>
      </c>
      <c r="E2069" s="117">
        <v>43.47</v>
      </c>
    </row>
    <row r="2070" spans="1:5" x14ac:dyDescent="0.25">
      <c r="A2070" s="119" t="s">
        <v>2503</v>
      </c>
      <c r="B2070" s="119" t="s">
        <v>9402</v>
      </c>
      <c r="C2070" s="119" t="s">
        <v>66</v>
      </c>
      <c r="D2070" t="s">
        <v>6760</v>
      </c>
      <c r="E2070" s="117">
        <v>39.06</v>
      </c>
    </row>
    <row r="2071" spans="1:5" x14ac:dyDescent="0.25">
      <c r="A2071" s="119" t="s">
        <v>2504</v>
      </c>
      <c r="B2071" s="119" t="s">
        <v>2505</v>
      </c>
      <c r="C2071" s="119" t="s">
        <v>66</v>
      </c>
      <c r="D2071" t="s">
        <v>6759</v>
      </c>
      <c r="E2071" s="117">
        <v>168.53</v>
      </c>
    </row>
    <row r="2072" spans="1:5" x14ac:dyDescent="0.25">
      <c r="A2072" s="119" t="s">
        <v>2506</v>
      </c>
      <c r="B2072" s="119" t="s">
        <v>2507</v>
      </c>
      <c r="C2072" s="119" t="s">
        <v>66</v>
      </c>
      <c r="D2072" t="s">
        <v>6759</v>
      </c>
      <c r="E2072" s="117">
        <v>404.46</v>
      </c>
    </row>
    <row r="2073" spans="1:5" x14ac:dyDescent="0.25">
      <c r="A2073" s="119" t="s">
        <v>2508</v>
      </c>
      <c r="B2073" s="119" t="s">
        <v>2509</v>
      </c>
      <c r="C2073" s="119" t="s">
        <v>66</v>
      </c>
      <c r="D2073" t="s">
        <v>6759</v>
      </c>
      <c r="E2073" s="117">
        <v>752.75</v>
      </c>
    </row>
    <row r="2074" spans="1:5" x14ac:dyDescent="0.25">
      <c r="A2074" s="119" t="s">
        <v>7453</v>
      </c>
      <c r="B2074" s="119" t="s">
        <v>9403</v>
      </c>
      <c r="C2074" s="119" t="s">
        <v>66</v>
      </c>
      <c r="D2074" t="s">
        <v>51</v>
      </c>
      <c r="E2074" s="117">
        <v>112.65</v>
      </c>
    </row>
    <row r="2075" spans="1:5" x14ac:dyDescent="0.25">
      <c r="A2075" s="119" t="s">
        <v>2510</v>
      </c>
      <c r="B2075" s="119" t="s">
        <v>6463</v>
      </c>
      <c r="C2075" s="119" t="s">
        <v>66</v>
      </c>
      <c r="D2075" t="s">
        <v>45</v>
      </c>
      <c r="E2075" s="117">
        <v>16.04</v>
      </c>
    </row>
    <row r="2076" spans="1:5" x14ac:dyDescent="0.25">
      <c r="A2076" s="119" t="s">
        <v>2511</v>
      </c>
      <c r="B2076" s="119" t="s">
        <v>6463</v>
      </c>
      <c r="C2076" s="119" t="s">
        <v>66</v>
      </c>
      <c r="D2076" t="s">
        <v>51</v>
      </c>
      <c r="E2076" s="117">
        <v>16.04</v>
      </c>
    </row>
    <row r="2077" spans="1:5" x14ac:dyDescent="0.25">
      <c r="A2077" s="119" t="s">
        <v>2512</v>
      </c>
      <c r="B2077" s="119" t="s">
        <v>9404</v>
      </c>
      <c r="C2077" s="119" t="s">
        <v>66</v>
      </c>
      <c r="D2077" t="s">
        <v>6760</v>
      </c>
      <c r="E2077" s="117">
        <v>284.24</v>
      </c>
    </row>
    <row r="2078" spans="1:5" x14ac:dyDescent="0.25">
      <c r="A2078" s="119" t="s">
        <v>2513</v>
      </c>
      <c r="B2078" s="119" t="s">
        <v>2514</v>
      </c>
      <c r="C2078" s="119" t="s">
        <v>66</v>
      </c>
      <c r="D2078" t="s">
        <v>45</v>
      </c>
      <c r="E2078" s="117">
        <v>82.58</v>
      </c>
    </row>
    <row r="2079" spans="1:5" x14ac:dyDescent="0.25">
      <c r="A2079" s="119" t="s">
        <v>2515</v>
      </c>
      <c r="B2079" s="119" t="s">
        <v>2516</v>
      </c>
      <c r="C2079" s="119" t="s">
        <v>66</v>
      </c>
      <c r="D2079" t="s">
        <v>45</v>
      </c>
      <c r="E2079" s="117">
        <v>107</v>
      </c>
    </row>
    <row r="2080" spans="1:5" x14ac:dyDescent="0.25">
      <c r="A2080" s="119" t="s">
        <v>2517</v>
      </c>
      <c r="B2080" s="119" t="s">
        <v>2518</v>
      </c>
      <c r="C2080" s="119" t="s">
        <v>66</v>
      </c>
      <c r="D2080" t="s">
        <v>45</v>
      </c>
      <c r="E2080" s="117">
        <v>203.3</v>
      </c>
    </row>
    <row r="2081" spans="1:5" x14ac:dyDescent="0.25">
      <c r="A2081" s="119" t="s">
        <v>2519</v>
      </c>
      <c r="B2081" s="119" t="s">
        <v>2520</v>
      </c>
      <c r="C2081" s="119" t="s">
        <v>66</v>
      </c>
      <c r="D2081" t="s">
        <v>6760</v>
      </c>
      <c r="E2081" s="117">
        <v>255.26</v>
      </c>
    </row>
    <row r="2082" spans="1:5" x14ac:dyDescent="0.25">
      <c r="A2082" s="119" t="s">
        <v>2521</v>
      </c>
      <c r="B2082" s="119" t="s">
        <v>2522</v>
      </c>
      <c r="C2082" s="119" t="s">
        <v>66</v>
      </c>
      <c r="D2082" t="s">
        <v>51</v>
      </c>
      <c r="E2082" s="117">
        <v>8.35</v>
      </c>
    </row>
    <row r="2083" spans="1:5" x14ac:dyDescent="0.25">
      <c r="A2083" s="119" t="s">
        <v>2523</v>
      </c>
      <c r="B2083" s="119" t="s">
        <v>2524</v>
      </c>
      <c r="C2083" s="119" t="s">
        <v>66</v>
      </c>
      <c r="D2083" t="s">
        <v>51</v>
      </c>
      <c r="E2083" s="117">
        <v>9.57</v>
      </c>
    </row>
    <row r="2084" spans="1:5" x14ac:dyDescent="0.25">
      <c r="A2084" s="119" t="s">
        <v>2525</v>
      </c>
      <c r="B2084" s="119" t="s">
        <v>2526</v>
      </c>
      <c r="C2084" s="119" t="s">
        <v>66</v>
      </c>
      <c r="D2084" t="s">
        <v>51</v>
      </c>
      <c r="E2084" s="117">
        <v>10.08</v>
      </c>
    </row>
    <row r="2085" spans="1:5" x14ac:dyDescent="0.25">
      <c r="A2085" s="119" t="s">
        <v>2527</v>
      </c>
      <c r="B2085" s="119" t="s">
        <v>2528</v>
      </c>
      <c r="C2085" s="119" t="s">
        <v>66</v>
      </c>
      <c r="D2085" t="s">
        <v>6760</v>
      </c>
      <c r="E2085" s="117">
        <v>10.61</v>
      </c>
    </row>
    <row r="2086" spans="1:5" x14ac:dyDescent="0.25">
      <c r="A2086" s="119" t="s">
        <v>2529</v>
      </c>
      <c r="B2086" s="119" t="s">
        <v>2530</v>
      </c>
      <c r="C2086" s="119" t="s">
        <v>66</v>
      </c>
      <c r="D2086" t="s">
        <v>51</v>
      </c>
      <c r="E2086" s="117">
        <v>12.5</v>
      </c>
    </row>
    <row r="2087" spans="1:5" x14ac:dyDescent="0.25">
      <c r="A2087" s="119" t="s">
        <v>2531</v>
      </c>
      <c r="B2087" s="119" t="s">
        <v>2532</v>
      </c>
      <c r="C2087" s="119" t="s">
        <v>66</v>
      </c>
      <c r="D2087" t="s">
        <v>51</v>
      </c>
      <c r="E2087" s="117">
        <v>13.86</v>
      </c>
    </row>
    <row r="2088" spans="1:5" x14ac:dyDescent="0.25">
      <c r="A2088" s="119" t="s">
        <v>2533</v>
      </c>
      <c r="B2088" s="119" t="s">
        <v>2534</v>
      </c>
      <c r="C2088" s="119" t="s">
        <v>66</v>
      </c>
      <c r="D2088" t="s">
        <v>51</v>
      </c>
      <c r="E2088" s="117">
        <v>13.99</v>
      </c>
    </row>
    <row r="2089" spans="1:5" x14ac:dyDescent="0.25">
      <c r="A2089" s="119" t="s">
        <v>2535</v>
      </c>
      <c r="B2089" s="119" t="s">
        <v>2536</v>
      </c>
      <c r="C2089" s="119" t="s">
        <v>66</v>
      </c>
      <c r="D2089" t="s">
        <v>45</v>
      </c>
      <c r="E2089" s="117">
        <v>15.77</v>
      </c>
    </row>
    <row r="2090" spans="1:5" x14ac:dyDescent="0.25">
      <c r="A2090" s="119" t="s">
        <v>2537</v>
      </c>
      <c r="B2090" s="119" t="s">
        <v>2538</v>
      </c>
      <c r="C2090" s="119" t="s">
        <v>66</v>
      </c>
      <c r="D2090" t="s">
        <v>51</v>
      </c>
      <c r="E2090" s="117">
        <v>8.5399999999999991</v>
      </c>
    </row>
    <row r="2091" spans="1:5" x14ac:dyDescent="0.25">
      <c r="A2091" s="119" t="s">
        <v>2539</v>
      </c>
      <c r="B2091" s="119" t="s">
        <v>2540</v>
      </c>
      <c r="C2091" s="119" t="s">
        <v>66</v>
      </c>
      <c r="D2091" t="s">
        <v>51</v>
      </c>
      <c r="E2091" s="117">
        <v>9.2899999999999991</v>
      </c>
    </row>
    <row r="2092" spans="1:5" x14ac:dyDescent="0.25">
      <c r="A2092" s="119" t="s">
        <v>2541</v>
      </c>
      <c r="B2092" s="119" t="s">
        <v>2542</v>
      </c>
      <c r="C2092" s="119" t="s">
        <v>66</v>
      </c>
      <c r="D2092" t="s">
        <v>6760</v>
      </c>
      <c r="E2092" s="117">
        <v>9.86</v>
      </c>
    </row>
    <row r="2093" spans="1:5" x14ac:dyDescent="0.25">
      <c r="A2093" s="119" t="s">
        <v>2543</v>
      </c>
      <c r="B2093" s="119" t="s">
        <v>2544</v>
      </c>
      <c r="C2093" s="119" t="s">
        <v>66</v>
      </c>
      <c r="D2093" t="s">
        <v>51</v>
      </c>
      <c r="E2093" s="117">
        <v>10.61</v>
      </c>
    </row>
    <row r="2094" spans="1:5" x14ac:dyDescent="0.25">
      <c r="A2094" s="119" t="s">
        <v>2545</v>
      </c>
      <c r="B2094" s="119" t="s">
        <v>2546</v>
      </c>
      <c r="C2094" s="119" t="s">
        <v>66</v>
      </c>
      <c r="D2094" t="s">
        <v>51</v>
      </c>
      <c r="E2094" s="117">
        <v>11.83</v>
      </c>
    </row>
    <row r="2095" spans="1:5" x14ac:dyDescent="0.25">
      <c r="A2095" s="119" t="s">
        <v>2547</v>
      </c>
      <c r="B2095" s="119" t="s">
        <v>9405</v>
      </c>
      <c r="C2095" s="119" t="s">
        <v>66</v>
      </c>
      <c r="D2095" t="s">
        <v>6759</v>
      </c>
      <c r="E2095" s="117">
        <v>43.58</v>
      </c>
    </row>
    <row r="2096" spans="1:5" x14ac:dyDescent="0.25">
      <c r="A2096" s="119" t="s">
        <v>2548</v>
      </c>
      <c r="B2096" s="119" t="s">
        <v>2549</v>
      </c>
      <c r="C2096" s="119" t="s">
        <v>66</v>
      </c>
      <c r="D2096" t="s">
        <v>51</v>
      </c>
      <c r="E2096" s="117">
        <v>18.690000000000001</v>
      </c>
    </row>
    <row r="2097" spans="1:5" x14ac:dyDescent="0.25">
      <c r="A2097" s="119" t="s">
        <v>2550</v>
      </c>
      <c r="B2097" s="119" t="s">
        <v>9406</v>
      </c>
      <c r="C2097" s="119" t="s">
        <v>66</v>
      </c>
      <c r="D2097" t="s">
        <v>51</v>
      </c>
      <c r="E2097" s="117">
        <v>21.21</v>
      </c>
    </row>
    <row r="2098" spans="1:5" x14ac:dyDescent="0.25">
      <c r="A2098" s="119" t="s">
        <v>8117</v>
      </c>
      <c r="B2098" s="119" t="s">
        <v>8118</v>
      </c>
      <c r="C2098" s="119" t="s">
        <v>66</v>
      </c>
      <c r="D2098" t="s">
        <v>51</v>
      </c>
      <c r="E2098" s="117">
        <v>46</v>
      </c>
    </row>
    <row r="2099" spans="1:5" x14ac:dyDescent="0.25">
      <c r="A2099" s="119" t="s">
        <v>2551</v>
      </c>
      <c r="B2099" s="119" t="s">
        <v>9407</v>
      </c>
      <c r="C2099" s="119" t="s">
        <v>66</v>
      </c>
      <c r="D2099" t="s">
        <v>49</v>
      </c>
      <c r="E2099" s="117">
        <v>26.79</v>
      </c>
    </row>
    <row r="2100" spans="1:5" x14ac:dyDescent="0.25">
      <c r="A2100" s="119" t="s">
        <v>2552</v>
      </c>
      <c r="B2100" s="119" t="s">
        <v>2553</v>
      </c>
      <c r="C2100" s="119" t="s">
        <v>66</v>
      </c>
      <c r="D2100" t="s">
        <v>6759</v>
      </c>
      <c r="E2100" s="117">
        <v>34.81</v>
      </c>
    </row>
    <row r="2101" spans="1:5" x14ac:dyDescent="0.25">
      <c r="A2101" s="119" t="s">
        <v>2554</v>
      </c>
      <c r="B2101" s="119" t="s">
        <v>9408</v>
      </c>
      <c r="C2101" s="119" t="s">
        <v>66</v>
      </c>
      <c r="D2101" t="s">
        <v>49</v>
      </c>
      <c r="E2101" s="117">
        <v>7.43</v>
      </c>
    </row>
    <row r="2102" spans="1:5" x14ac:dyDescent="0.25">
      <c r="A2102" s="119" t="s">
        <v>2555</v>
      </c>
      <c r="B2102" s="119" t="s">
        <v>9409</v>
      </c>
      <c r="C2102" s="119" t="s">
        <v>66</v>
      </c>
      <c r="D2102" t="s">
        <v>51</v>
      </c>
      <c r="E2102" s="117">
        <v>7.43</v>
      </c>
    </row>
    <row r="2103" spans="1:5" x14ac:dyDescent="0.25">
      <c r="A2103" s="119" t="s">
        <v>2556</v>
      </c>
      <c r="B2103" s="119" t="s">
        <v>9410</v>
      </c>
      <c r="C2103" s="119" t="s">
        <v>66</v>
      </c>
      <c r="D2103" t="s">
        <v>45</v>
      </c>
      <c r="E2103" s="117">
        <v>7.08</v>
      </c>
    </row>
    <row r="2104" spans="1:5" x14ac:dyDescent="0.25">
      <c r="A2104" s="119" t="s">
        <v>2557</v>
      </c>
      <c r="B2104" s="119" t="s">
        <v>9411</v>
      </c>
      <c r="C2104" s="119" t="s">
        <v>66</v>
      </c>
      <c r="D2104" t="s">
        <v>49</v>
      </c>
      <c r="E2104" s="117">
        <v>11.21</v>
      </c>
    </row>
    <row r="2105" spans="1:5" x14ac:dyDescent="0.25">
      <c r="A2105" s="119" t="s">
        <v>2558</v>
      </c>
      <c r="B2105" s="119" t="s">
        <v>9412</v>
      </c>
      <c r="C2105" s="119" t="s">
        <v>66</v>
      </c>
      <c r="D2105" t="s">
        <v>51</v>
      </c>
      <c r="E2105" s="117">
        <v>11.21</v>
      </c>
    </row>
    <row r="2106" spans="1:5" x14ac:dyDescent="0.25">
      <c r="A2106" s="119" t="s">
        <v>2559</v>
      </c>
      <c r="B2106" s="119" t="s">
        <v>9413</v>
      </c>
      <c r="C2106" s="119" t="s">
        <v>66</v>
      </c>
      <c r="D2106" t="s">
        <v>45</v>
      </c>
      <c r="E2106" s="117">
        <v>10.68</v>
      </c>
    </row>
    <row r="2107" spans="1:5" x14ac:dyDescent="0.25">
      <c r="A2107" s="119" t="s">
        <v>2560</v>
      </c>
      <c r="B2107" s="119" t="s">
        <v>9414</v>
      </c>
      <c r="C2107" s="119" t="s">
        <v>66</v>
      </c>
      <c r="D2107" t="s">
        <v>45</v>
      </c>
      <c r="E2107" s="117">
        <v>23.1</v>
      </c>
    </row>
    <row r="2108" spans="1:5" x14ac:dyDescent="0.25">
      <c r="A2108" s="119" t="s">
        <v>2561</v>
      </c>
      <c r="B2108" s="119" t="s">
        <v>9415</v>
      </c>
      <c r="C2108" s="119" t="s">
        <v>66</v>
      </c>
      <c r="D2108" t="s">
        <v>45</v>
      </c>
      <c r="E2108" s="117">
        <v>24.57</v>
      </c>
    </row>
    <row r="2109" spans="1:5" x14ac:dyDescent="0.25">
      <c r="A2109" s="119" t="s">
        <v>2562</v>
      </c>
      <c r="B2109" s="119" t="s">
        <v>9416</v>
      </c>
      <c r="C2109" s="119" t="s">
        <v>66</v>
      </c>
      <c r="D2109" t="s">
        <v>51</v>
      </c>
      <c r="E2109" s="117">
        <v>39.590000000000003</v>
      </c>
    </row>
    <row r="2110" spans="1:5" x14ac:dyDescent="0.25">
      <c r="A2110" s="119" t="s">
        <v>2563</v>
      </c>
      <c r="B2110" s="119" t="s">
        <v>9417</v>
      </c>
      <c r="C2110" s="119" t="s">
        <v>66</v>
      </c>
      <c r="D2110" t="s">
        <v>51</v>
      </c>
      <c r="E2110" s="117">
        <v>29.3</v>
      </c>
    </row>
    <row r="2111" spans="1:5" x14ac:dyDescent="0.25">
      <c r="A2111" s="119" t="s">
        <v>2564</v>
      </c>
      <c r="B2111" s="119" t="s">
        <v>9175</v>
      </c>
      <c r="C2111" s="119" t="s">
        <v>66</v>
      </c>
      <c r="D2111" t="s">
        <v>6759</v>
      </c>
      <c r="E2111" s="117">
        <v>87.05</v>
      </c>
    </row>
    <row r="2112" spans="1:5" x14ac:dyDescent="0.25">
      <c r="A2112" s="119" t="s">
        <v>2565</v>
      </c>
      <c r="B2112" s="119" t="s">
        <v>9418</v>
      </c>
      <c r="C2112" s="119" t="s">
        <v>66</v>
      </c>
      <c r="D2112" t="s">
        <v>45</v>
      </c>
      <c r="E2112" s="117">
        <v>39.380000000000003</v>
      </c>
    </row>
    <row r="2113" spans="1:5" x14ac:dyDescent="0.25">
      <c r="A2113" s="119" t="s">
        <v>2566</v>
      </c>
      <c r="B2113" s="119" t="s">
        <v>9419</v>
      </c>
      <c r="C2113" s="119" t="s">
        <v>66</v>
      </c>
      <c r="D2113" t="s">
        <v>45</v>
      </c>
      <c r="E2113" s="117">
        <v>42.74</v>
      </c>
    </row>
    <row r="2114" spans="1:5" x14ac:dyDescent="0.25">
      <c r="A2114" s="119" t="s">
        <v>2567</v>
      </c>
      <c r="B2114" s="119" t="s">
        <v>2568</v>
      </c>
      <c r="C2114" s="119" t="s">
        <v>66</v>
      </c>
      <c r="D2114" t="s">
        <v>45</v>
      </c>
      <c r="E2114" s="117">
        <v>73</v>
      </c>
    </row>
    <row r="2115" spans="1:5" x14ac:dyDescent="0.25">
      <c r="A2115" s="119" t="s">
        <v>2569</v>
      </c>
      <c r="B2115" s="119" t="s">
        <v>9420</v>
      </c>
      <c r="C2115" s="119" t="s">
        <v>66</v>
      </c>
      <c r="D2115" t="s">
        <v>6760</v>
      </c>
      <c r="E2115" s="117">
        <v>34.549999999999997</v>
      </c>
    </row>
    <row r="2116" spans="1:5" x14ac:dyDescent="0.25">
      <c r="A2116" s="119" t="s">
        <v>2570</v>
      </c>
      <c r="B2116" s="119" t="s">
        <v>9421</v>
      </c>
      <c r="C2116" s="119" t="s">
        <v>66</v>
      </c>
      <c r="D2116" t="s">
        <v>45</v>
      </c>
      <c r="E2116" s="117">
        <v>49.46</v>
      </c>
    </row>
    <row r="2117" spans="1:5" x14ac:dyDescent="0.25">
      <c r="A2117" s="119" t="s">
        <v>2571</v>
      </c>
      <c r="B2117" s="119" t="s">
        <v>2572</v>
      </c>
      <c r="C2117" s="119" t="s">
        <v>66</v>
      </c>
      <c r="D2117" t="s">
        <v>49</v>
      </c>
      <c r="E2117" s="117">
        <v>87.15</v>
      </c>
    </row>
    <row r="2118" spans="1:5" x14ac:dyDescent="0.25">
      <c r="A2118" s="119" t="s">
        <v>2573</v>
      </c>
      <c r="B2118" s="119" t="s">
        <v>9422</v>
      </c>
      <c r="C2118" s="119" t="s">
        <v>66</v>
      </c>
      <c r="D2118" t="s">
        <v>6760</v>
      </c>
      <c r="E2118" s="117">
        <v>105</v>
      </c>
    </row>
    <row r="2119" spans="1:5" x14ac:dyDescent="0.25">
      <c r="A2119" s="119" t="s">
        <v>2574</v>
      </c>
      <c r="B2119" s="119" t="s">
        <v>9423</v>
      </c>
      <c r="C2119" s="119" t="s">
        <v>66</v>
      </c>
      <c r="D2119" t="s">
        <v>45</v>
      </c>
      <c r="E2119" s="117">
        <v>48.2</v>
      </c>
    </row>
    <row r="2120" spans="1:5" x14ac:dyDescent="0.25">
      <c r="A2120" s="119" t="s">
        <v>2575</v>
      </c>
      <c r="B2120" s="119" t="s">
        <v>2576</v>
      </c>
      <c r="C2120" s="119" t="s">
        <v>66</v>
      </c>
      <c r="D2120" t="s">
        <v>45</v>
      </c>
      <c r="E2120" s="117">
        <v>134.09</v>
      </c>
    </row>
    <row r="2121" spans="1:5" x14ac:dyDescent="0.25">
      <c r="A2121" s="119" t="s">
        <v>2577</v>
      </c>
      <c r="B2121" s="119" t="s">
        <v>9424</v>
      </c>
      <c r="C2121" s="119" t="s">
        <v>66</v>
      </c>
      <c r="D2121" t="s">
        <v>45</v>
      </c>
      <c r="E2121" s="117">
        <v>77.81</v>
      </c>
    </row>
    <row r="2122" spans="1:5" x14ac:dyDescent="0.25">
      <c r="A2122" s="119" t="s">
        <v>2578</v>
      </c>
      <c r="B2122" s="119" t="s">
        <v>9425</v>
      </c>
      <c r="C2122" s="119" t="s">
        <v>66</v>
      </c>
      <c r="D2122" t="s">
        <v>6760</v>
      </c>
      <c r="E2122" s="117">
        <v>100.07</v>
      </c>
    </row>
    <row r="2123" spans="1:5" x14ac:dyDescent="0.25">
      <c r="A2123" s="119" t="s">
        <v>2579</v>
      </c>
      <c r="B2123" s="119" t="s">
        <v>2580</v>
      </c>
      <c r="C2123" s="119" t="s">
        <v>66</v>
      </c>
      <c r="D2123" t="s">
        <v>45</v>
      </c>
      <c r="E2123" s="117">
        <v>115.4</v>
      </c>
    </row>
    <row r="2124" spans="1:5" x14ac:dyDescent="0.25">
      <c r="A2124" s="119" t="s">
        <v>2581</v>
      </c>
      <c r="B2124" s="119" t="s">
        <v>9426</v>
      </c>
      <c r="C2124" s="119" t="s">
        <v>66</v>
      </c>
      <c r="D2124" t="s">
        <v>49</v>
      </c>
      <c r="E2124" s="117">
        <v>39.9</v>
      </c>
    </row>
    <row r="2125" spans="1:5" x14ac:dyDescent="0.25">
      <c r="A2125" s="119" t="s">
        <v>2582</v>
      </c>
      <c r="B2125" s="119" t="s">
        <v>2583</v>
      </c>
      <c r="C2125" s="119" t="s">
        <v>66</v>
      </c>
      <c r="D2125" t="s">
        <v>45</v>
      </c>
      <c r="E2125" s="117">
        <v>6.25</v>
      </c>
    </row>
    <row r="2126" spans="1:5" x14ac:dyDescent="0.25">
      <c r="A2126" s="119" t="s">
        <v>2584</v>
      </c>
      <c r="B2126" s="119" t="s">
        <v>9427</v>
      </c>
      <c r="C2126" s="119" t="s">
        <v>66</v>
      </c>
      <c r="D2126" t="s">
        <v>51</v>
      </c>
      <c r="E2126" s="117">
        <v>11.45</v>
      </c>
    </row>
    <row r="2127" spans="1:5" x14ac:dyDescent="0.25">
      <c r="A2127" s="119" t="s">
        <v>2585</v>
      </c>
      <c r="B2127" s="119" t="s">
        <v>7454</v>
      </c>
      <c r="C2127" s="119" t="s">
        <v>66</v>
      </c>
      <c r="D2127" t="s">
        <v>51</v>
      </c>
      <c r="E2127" s="117">
        <v>14.7</v>
      </c>
    </row>
    <row r="2128" spans="1:5" x14ac:dyDescent="0.25">
      <c r="A2128" s="119" t="s">
        <v>2586</v>
      </c>
      <c r="B2128" s="119" t="s">
        <v>7455</v>
      </c>
      <c r="C2128" s="119" t="s">
        <v>66</v>
      </c>
      <c r="D2128" t="s">
        <v>51</v>
      </c>
      <c r="E2128" s="117">
        <v>19.95</v>
      </c>
    </row>
    <row r="2129" spans="1:5" x14ac:dyDescent="0.25">
      <c r="A2129" s="119" t="s">
        <v>2587</v>
      </c>
      <c r="B2129" s="119" t="s">
        <v>7456</v>
      </c>
      <c r="C2129" s="119" t="s">
        <v>66</v>
      </c>
      <c r="D2129" t="s">
        <v>51</v>
      </c>
      <c r="E2129" s="117">
        <v>33.6</v>
      </c>
    </row>
    <row r="2130" spans="1:5" x14ac:dyDescent="0.25">
      <c r="A2130" s="119" t="s">
        <v>2588</v>
      </c>
      <c r="B2130" s="119" t="s">
        <v>2589</v>
      </c>
      <c r="C2130" s="119" t="s">
        <v>66</v>
      </c>
      <c r="D2130" t="s">
        <v>51</v>
      </c>
      <c r="E2130" s="117">
        <v>26.25</v>
      </c>
    </row>
    <row r="2131" spans="1:5" x14ac:dyDescent="0.25">
      <c r="A2131" s="119" t="s">
        <v>2590</v>
      </c>
      <c r="B2131" s="119" t="s">
        <v>7457</v>
      </c>
      <c r="C2131" s="119" t="s">
        <v>66</v>
      </c>
      <c r="D2131" t="s">
        <v>51</v>
      </c>
      <c r="E2131" s="117">
        <v>40.950000000000003</v>
      </c>
    </row>
    <row r="2132" spans="1:5" x14ac:dyDescent="0.25">
      <c r="A2132" s="119" t="s">
        <v>2591</v>
      </c>
      <c r="B2132" s="119" t="s">
        <v>7458</v>
      </c>
      <c r="C2132" s="119" t="s">
        <v>66</v>
      </c>
      <c r="D2132" t="s">
        <v>51</v>
      </c>
      <c r="E2132" s="117">
        <v>40.950000000000003</v>
      </c>
    </row>
    <row r="2133" spans="1:5" x14ac:dyDescent="0.25">
      <c r="A2133" s="119" t="s">
        <v>2592</v>
      </c>
      <c r="B2133" s="119" t="s">
        <v>7459</v>
      </c>
      <c r="C2133" s="119" t="s">
        <v>66</v>
      </c>
      <c r="D2133" t="s">
        <v>49</v>
      </c>
      <c r="E2133" s="117">
        <v>52.5</v>
      </c>
    </row>
    <row r="2134" spans="1:5" x14ac:dyDescent="0.25">
      <c r="A2134" s="119" t="s">
        <v>2593</v>
      </c>
      <c r="B2134" s="119" t="s">
        <v>7460</v>
      </c>
      <c r="C2134" s="119" t="s">
        <v>66</v>
      </c>
      <c r="D2134" t="s">
        <v>51</v>
      </c>
      <c r="E2134" s="117">
        <v>50.4</v>
      </c>
    </row>
    <row r="2135" spans="1:5" x14ac:dyDescent="0.25">
      <c r="A2135" s="119" t="s">
        <v>2594</v>
      </c>
      <c r="B2135" s="119" t="s">
        <v>7461</v>
      </c>
      <c r="C2135" s="119" t="s">
        <v>66</v>
      </c>
      <c r="D2135" t="s">
        <v>6760</v>
      </c>
      <c r="E2135" s="117">
        <v>63</v>
      </c>
    </row>
    <row r="2136" spans="1:5" x14ac:dyDescent="0.25">
      <c r="A2136" s="119" t="s">
        <v>2595</v>
      </c>
      <c r="B2136" s="119" t="s">
        <v>7462</v>
      </c>
      <c r="C2136" s="119" t="s">
        <v>66</v>
      </c>
      <c r="D2136" t="s">
        <v>51</v>
      </c>
      <c r="E2136" s="117">
        <v>96.6</v>
      </c>
    </row>
    <row r="2137" spans="1:5" x14ac:dyDescent="0.25">
      <c r="A2137" s="119" t="s">
        <v>2596</v>
      </c>
      <c r="B2137" s="119" t="s">
        <v>7463</v>
      </c>
      <c r="C2137" s="119" t="s">
        <v>66</v>
      </c>
      <c r="D2137" t="s">
        <v>51</v>
      </c>
      <c r="E2137" s="117">
        <v>105</v>
      </c>
    </row>
    <row r="2138" spans="1:5" x14ac:dyDescent="0.25">
      <c r="A2138" s="119" t="s">
        <v>2597</v>
      </c>
      <c r="B2138" s="119" t="s">
        <v>7464</v>
      </c>
      <c r="C2138" s="119" t="s">
        <v>66</v>
      </c>
      <c r="D2138" t="s">
        <v>6760</v>
      </c>
      <c r="E2138" s="117">
        <v>136.5</v>
      </c>
    </row>
    <row r="2139" spans="1:5" x14ac:dyDescent="0.25">
      <c r="A2139" s="119" t="s">
        <v>2598</v>
      </c>
      <c r="B2139" s="119" t="s">
        <v>7465</v>
      </c>
      <c r="C2139" s="119" t="s">
        <v>66</v>
      </c>
      <c r="D2139" t="s">
        <v>51</v>
      </c>
      <c r="E2139" s="117">
        <v>24.15</v>
      </c>
    </row>
    <row r="2140" spans="1:5" x14ac:dyDescent="0.25">
      <c r="A2140" s="119" t="s">
        <v>2599</v>
      </c>
      <c r="B2140" s="119" t="s">
        <v>7466</v>
      </c>
      <c r="C2140" s="119" t="s">
        <v>66</v>
      </c>
      <c r="D2140" t="s">
        <v>51</v>
      </c>
      <c r="E2140" s="117">
        <v>26.25</v>
      </c>
    </row>
    <row r="2141" spans="1:5" x14ac:dyDescent="0.25">
      <c r="A2141" s="119" t="s">
        <v>2600</v>
      </c>
      <c r="B2141" s="119" t="s">
        <v>7467</v>
      </c>
      <c r="C2141" s="119" t="s">
        <v>66</v>
      </c>
      <c r="D2141" t="s">
        <v>51</v>
      </c>
      <c r="E2141" s="117">
        <v>42</v>
      </c>
    </row>
    <row r="2142" spans="1:5" x14ac:dyDescent="0.25">
      <c r="A2142" s="119" t="s">
        <v>2601</v>
      </c>
      <c r="B2142" s="119" t="s">
        <v>7468</v>
      </c>
      <c r="C2142" s="119" t="s">
        <v>66</v>
      </c>
      <c r="D2142" t="s">
        <v>51</v>
      </c>
      <c r="E2142" s="117">
        <v>58.8</v>
      </c>
    </row>
    <row r="2143" spans="1:5" x14ac:dyDescent="0.25">
      <c r="A2143" s="119" t="s">
        <v>2602</v>
      </c>
      <c r="B2143" s="119" t="s">
        <v>7469</v>
      </c>
      <c r="C2143" s="119" t="s">
        <v>66</v>
      </c>
      <c r="D2143" t="s">
        <v>51</v>
      </c>
      <c r="E2143" s="117">
        <v>33.6</v>
      </c>
    </row>
    <row r="2144" spans="1:5" x14ac:dyDescent="0.25">
      <c r="A2144" s="119" t="s">
        <v>2603</v>
      </c>
      <c r="B2144" s="119" t="s">
        <v>7470</v>
      </c>
      <c r="C2144" s="119" t="s">
        <v>66</v>
      </c>
      <c r="D2144" t="s">
        <v>51</v>
      </c>
      <c r="E2144" s="117">
        <v>54.6</v>
      </c>
    </row>
    <row r="2145" spans="1:5" x14ac:dyDescent="0.25">
      <c r="A2145" s="119" t="s">
        <v>2604</v>
      </c>
      <c r="B2145" s="119" t="s">
        <v>7471</v>
      </c>
      <c r="C2145" s="119" t="s">
        <v>66</v>
      </c>
      <c r="D2145" t="s">
        <v>51</v>
      </c>
      <c r="E2145" s="117">
        <v>73.5</v>
      </c>
    </row>
    <row r="2146" spans="1:5" x14ac:dyDescent="0.25">
      <c r="A2146" s="119" t="s">
        <v>2605</v>
      </c>
      <c r="B2146" s="119" t="s">
        <v>7472</v>
      </c>
      <c r="C2146" s="119" t="s">
        <v>66</v>
      </c>
      <c r="D2146" t="s">
        <v>51</v>
      </c>
      <c r="E2146" s="117">
        <v>99.75</v>
      </c>
    </row>
    <row r="2147" spans="1:5" x14ac:dyDescent="0.25">
      <c r="A2147" s="119" t="s">
        <v>2606</v>
      </c>
      <c r="B2147" s="119" t="s">
        <v>7473</v>
      </c>
      <c r="C2147" s="119" t="s">
        <v>66</v>
      </c>
      <c r="D2147" t="s">
        <v>6760</v>
      </c>
      <c r="E2147" s="117">
        <v>136.5</v>
      </c>
    </row>
    <row r="2148" spans="1:5" x14ac:dyDescent="0.25">
      <c r="A2148" s="119" t="s">
        <v>2607</v>
      </c>
      <c r="B2148" s="119" t="s">
        <v>9428</v>
      </c>
      <c r="C2148" s="119" t="s">
        <v>66</v>
      </c>
      <c r="D2148" t="s">
        <v>51</v>
      </c>
      <c r="E2148" s="117">
        <v>147</v>
      </c>
    </row>
    <row r="2149" spans="1:5" x14ac:dyDescent="0.25">
      <c r="A2149" s="119" t="s">
        <v>2608</v>
      </c>
      <c r="B2149" s="119" t="s">
        <v>9429</v>
      </c>
      <c r="C2149" s="119" t="s">
        <v>66</v>
      </c>
      <c r="D2149" t="s">
        <v>51</v>
      </c>
      <c r="E2149" s="117">
        <v>173.25</v>
      </c>
    </row>
    <row r="2150" spans="1:5" x14ac:dyDescent="0.25">
      <c r="A2150" s="119" t="s">
        <v>2609</v>
      </c>
      <c r="B2150" s="119" t="s">
        <v>9430</v>
      </c>
      <c r="C2150" s="119" t="s">
        <v>66</v>
      </c>
      <c r="D2150" t="s">
        <v>51</v>
      </c>
      <c r="E2150" s="117">
        <v>152.25</v>
      </c>
    </row>
    <row r="2151" spans="1:5" x14ac:dyDescent="0.25">
      <c r="A2151" s="119" t="s">
        <v>2610</v>
      </c>
      <c r="B2151" s="119" t="s">
        <v>9431</v>
      </c>
      <c r="C2151" s="119" t="s">
        <v>66</v>
      </c>
      <c r="D2151" t="s">
        <v>51</v>
      </c>
      <c r="E2151" s="117">
        <v>178.5</v>
      </c>
    </row>
    <row r="2152" spans="1:5" x14ac:dyDescent="0.25">
      <c r="A2152" s="119" t="s">
        <v>2611</v>
      </c>
      <c r="B2152" s="119" t="s">
        <v>9432</v>
      </c>
      <c r="C2152" s="119" t="s">
        <v>66</v>
      </c>
      <c r="D2152" t="s">
        <v>51</v>
      </c>
      <c r="E2152" s="117">
        <v>157.5</v>
      </c>
    </row>
    <row r="2153" spans="1:5" x14ac:dyDescent="0.25">
      <c r="A2153" s="119" t="s">
        <v>2612</v>
      </c>
      <c r="B2153" s="119" t="s">
        <v>9433</v>
      </c>
      <c r="C2153" s="119" t="s">
        <v>66</v>
      </c>
      <c r="D2153" t="s">
        <v>51</v>
      </c>
      <c r="E2153" s="117">
        <v>189</v>
      </c>
    </row>
    <row r="2154" spans="1:5" x14ac:dyDescent="0.25">
      <c r="A2154" s="119" t="s">
        <v>2613</v>
      </c>
      <c r="B2154" s="119" t="s">
        <v>9434</v>
      </c>
      <c r="C2154" s="119" t="s">
        <v>66</v>
      </c>
      <c r="D2154" t="s">
        <v>51</v>
      </c>
      <c r="E2154" s="117">
        <v>225.75</v>
      </c>
    </row>
    <row r="2155" spans="1:5" x14ac:dyDescent="0.25">
      <c r="A2155" s="119" t="s">
        <v>2614</v>
      </c>
      <c r="B2155" s="119" t="s">
        <v>9435</v>
      </c>
      <c r="C2155" s="119" t="s">
        <v>66</v>
      </c>
      <c r="D2155" t="s">
        <v>51</v>
      </c>
      <c r="E2155" s="117">
        <v>199.5</v>
      </c>
    </row>
    <row r="2156" spans="1:5" x14ac:dyDescent="0.25">
      <c r="A2156" s="119" t="s">
        <v>2615</v>
      </c>
      <c r="B2156" s="119" t="s">
        <v>9436</v>
      </c>
      <c r="C2156" s="119" t="s">
        <v>66</v>
      </c>
      <c r="D2156" t="s">
        <v>6760</v>
      </c>
      <c r="E2156" s="117">
        <v>231</v>
      </c>
    </row>
    <row r="2157" spans="1:5" x14ac:dyDescent="0.25">
      <c r="A2157" s="119" t="s">
        <v>2616</v>
      </c>
      <c r="B2157" s="119" t="s">
        <v>2617</v>
      </c>
      <c r="C2157" s="119" t="s">
        <v>66</v>
      </c>
      <c r="D2157" t="s">
        <v>49</v>
      </c>
      <c r="E2157" s="117">
        <v>74.16</v>
      </c>
    </row>
    <row r="2158" spans="1:5" x14ac:dyDescent="0.25">
      <c r="A2158" s="119" t="s">
        <v>2618</v>
      </c>
      <c r="B2158" s="119" t="s">
        <v>2619</v>
      </c>
      <c r="C2158" s="119" t="s">
        <v>66</v>
      </c>
      <c r="D2158" t="s">
        <v>6759</v>
      </c>
      <c r="E2158" s="117">
        <v>9999</v>
      </c>
    </row>
    <row r="2159" spans="1:5" x14ac:dyDescent="0.25">
      <c r="A2159" s="119" t="s">
        <v>2620</v>
      </c>
      <c r="B2159" s="119" t="s">
        <v>2621</v>
      </c>
      <c r="C2159" s="119" t="s">
        <v>66</v>
      </c>
      <c r="D2159" t="s">
        <v>6759</v>
      </c>
      <c r="E2159" s="117">
        <v>207.9</v>
      </c>
    </row>
    <row r="2160" spans="1:5" x14ac:dyDescent="0.25">
      <c r="A2160" s="119" t="s">
        <v>2622</v>
      </c>
      <c r="B2160" s="119" t="s">
        <v>2623</v>
      </c>
      <c r="C2160" s="119" t="s">
        <v>66</v>
      </c>
      <c r="D2160" t="s">
        <v>6759</v>
      </c>
      <c r="E2160" s="117">
        <v>239.4</v>
      </c>
    </row>
    <row r="2161" spans="1:5" x14ac:dyDescent="0.25">
      <c r="A2161" s="119" t="s">
        <v>2624</v>
      </c>
      <c r="B2161" s="119" t="s">
        <v>2625</v>
      </c>
      <c r="C2161" s="119" t="s">
        <v>66</v>
      </c>
      <c r="D2161" t="s">
        <v>51</v>
      </c>
      <c r="E2161" s="117">
        <v>6.4</v>
      </c>
    </row>
    <row r="2162" spans="1:5" x14ac:dyDescent="0.25">
      <c r="A2162" s="119" t="s">
        <v>2626</v>
      </c>
      <c r="B2162" s="119" t="s">
        <v>2627</v>
      </c>
      <c r="C2162" s="119" t="s">
        <v>66</v>
      </c>
      <c r="D2162" t="s">
        <v>51</v>
      </c>
      <c r="E2162" s="117">
        <v>6.72</v>
      </c>
    </row>
    <row r="2163" spans="1:5" x14ac:dyDescent="0.25">
      <c r="A2163" s="119" t="s">
        <v>2628</v>
      </c>
      <c r="B2163" s="119" t="s">
        <v>2629</v>
      </c>
      <c r="C2163" s="119" t="s">
        <v>66</v>
      </c>
      <c r="D2163" t="s">
        <v>51</v>
      </c>
      <c r="E2163" s="117">
        <v>9.8000000000000007</v>
      </c>
    </row>
    <row r="2164" spans="1:5" x14ac:dyDescent="0.25">
      <c r="A2164" s="119" t="s">
        <v>2630</v>
      </c>
      <c r="B2164" s="119" t="s">
        <v>2631</v>
      </c>
      <c r="C2164" s="119" t="s">
        <v>66</v>
      </c>
      <c r="D2164" t="s">
        <v>51</v>
      </c>
      <c r="E2164" s="117">
        <v>9.8000000000000007</v>
      </c>
    </row>
    <row r="2165" spans="1:5" x14ac:dyDescent="0.25">
      <c r="A2165" s="119" t="s">
        <v>2632</v>
      </c>
      <c r="B2165" s="119" t="s">
        <v>9437</v>
      </c>
      <c r="C2165" s="119" t="s">
        <v>66</v>
      </c>
      <c r="D2165" t="s">
        <v>49</v>
      </c>
      <c r="E2165" s="117">
        <v>271.29000000000002</v>
      </c>
    </row>
    <row r="2166" spans="1:5" x14ac:dyDescent="0.25">
      <c r="A2166" s="119" t="s">
        <v>2633</v>
      </c>
      <c r="B2166" s="119" t="s">
        <v>9438</v>
      </c>
      <c r="C2166" s="119" t="s">
        <v>66</v>
      </c>
      <c r="D2166" t="s">
        <v>49</v>
      </c>
      <c r="E2166" s="117">
        <v>299.45</v>
      </c>
    </row>
    <row r="2167" spans="1:5" x14ac:dyDescent="0.25">
      <c r="A2167" s="119" t="s">
        <v>2634</v>
      </c>
      <c r="B2167" s="119" t="s">
        <v>9439</v>
      </c>
      <c r="C2167" s="119" t="s">
        <v>66</v>
      </c>
      <c r="D2167" t="s">
        <v>49</v>
      </c>
      <c r="E2167" s="117">
        <v>656.17</v>
      </c>
    </row>
    <row r="2168" spans="1:5" x14ac:dyDescent="0.25">
      <c r="A2168" s="119" t="s">
        <v>2635</v>
      </c>
      <c r="B2168" s="119" t="s">
        <v>9440</v>
      </c>
      <c r="C2168" s="119" t="s">
        <v>66</v>
      </c>
      <c r="D2168" t="s">
        <v>49</v>
      </c>
      <c r="E2168" s="117">
        <v>703.1</v>
      </c>
    </row>
    <row r="2169" spans="1:5" x14ac:dyDescent="0.25">
      <c r="A2169" s="119" t="s">
        <v>2636</v>
      </c>
      <c r="B2169" s="119" t="s">
        <v>9441</v>
      </c>
      <c r="C2169" s="119" t="s">
        <v>66</v>
      </c>
      <c r="D2169" t="s">
        <v>51</v>
      </c>
      <c r="E2169" s="117">
        <v>141.56</v>
      </c>
    </row>
    <row r="2170" spans="1:5" x14ac:dyDescent="0.25">
      <c r="A2170" s="119" t="s">
        <v>2637</v>
      </c>
      <c r="B2170" s="119" t="s">
        <v>2638</v>
      </c>
      <c r="C2170" s="119" t="s">
        <v>66</v>
      </c>
      <c r="D2170" t="s">
        <v>6759</v>
      </c>
      <c r="E2170" s="117">
        <v>199.01</v>
      </c>
    </row>
    <row r="2171" spans="1:5" x14ac:dyDescent="0.25">
      <c r="A2171" s="119" t="s">
        <v>2639</v>
      </c>
      <c r="B2171" s="119" t="s">
        <v>2640</v>
      </c>
      <c r="C2171" s="119" t="s">
        <v>66</v>
      </c>
      <c r="D2171" t="s">
        <v>6759</v>
      </c>
      <c r="E2171" s="117">
        <v>9999</v>
      </c>
    </row>
    <row r="2172" spans="1:5" x14ac:dyDescent="0.25">
      <c r="A2172" s="119" t="s">
        <v>2641</v>
      </c>
      <c r="B2172" s="119" t="s">
        <v>2642</v>
      </c>
      <c r="C2172" s="119" t="s">
        <v>66</v>
      </c>
      <c r="D2172" t="s">
        <v>51</v>
      </c>
      <c r="E2172" s="117">
        <v>118.67</v>
      </c>
    </row>
    <row r="2173" spans="1:5" x14ac:dyDescent="0.25">
      <c r="A2173" s="119" t="s">
        <v>2643</v>
      </c>
      <c r="B2173" s="119" t="s">
        <v>9208</v>
      </c>
      <c r="C2173" s="119" t="s">
        <v>66</v>
      </c>
      <c r="D2173" t="s">
        <v>45</v>
      </c>
      <c r="E2173" s="117">
        <v>101.12</v>
      </c>
    </row>
    <row r="2174" spans="1:5" x14ac:dyDescent="0.25">
      <c r="A2174" s="119" t="s">
        <v>2644</v>
      </c>
      <c r="B2174" s="119" t="s">
        <v>9207</v>
      </c>
      <c r="C2174" s="119" t="s">
        <v>66</v>
      </c>
      <c r="D2174" t="s">
        <v>45</v>
      </c>
      <c r="E2174" s="117">
        <v>144.80000000000001</v>
      </c>
    </row>
    <row r="2175" spans="1:5" x14ac:dyDescent="0.25">
      <c r="A2175" s="119" t="s">
        <v>2645</v>
      </c>
      <c r="B2175" s="119" t="s">
        <v>9211</v>
      </c>
      <c r="C2175" s="119" t="s">
        <v>66</v>
      </c>
      <c r="D2175" t="s">
        <v>45</v>
      </c>
      <c r="E2175" s="117">
        <v>84.8</v>
      </c>
    </row>
    <row r="2176" spans="1:5" x14ac:dyDescent="0.25">
      <c r="A2176" s="119" t="s">
        <v>2646</v>
      </c>
      <c r="B2176" s="119" t="s">
        <v>9210</v>
      </c>
      <c r="C2176" s="119" t="s">
        <v>66</v>
      </c>
      <c r="D2176" t="s">
        <v>45</v>
      </c>
      <c r="E2176" s="117">
        <v>108.57</v>
      </c>
    </row>
    <row r="2177" spans="1:5" x14ac:dyDescent="0.25">
      <c r="A2177" s="119" t="s">
        <v>2647</v>
      </c>
      <c r="B2177" s="119" t="s">
        <v>9209</v>
      </c>
      <c r="C2177" s="119" t="s">
        <v>66</v>
      </c>
      <c r="D2177" t="s">
        <v>45</v>
      </c>
      <c r="E2177" s="117">
        <v>84.53</v>
      </c>
    </row>
    <row r="2178" spans="1:5" x14ac:dyDescent="0.25">
      <c r="A2178" s="119" t="s">
        <v>2648</v>
      </c>
      <c r="B2178" s="119" t="s">
        <v>9214</v>
      </c>
      <c r="C2178" s="119" t="s">
        <v>66</v>
      </c>
      <c r="D2178" t="s">
        <v>45</v>
      </c>
      <c r="E2178" s="117">
        <v>48.3</v>
      </c>
    </row>
    <row r="2179" spans="1:5" x14ac:dyDescent="0.25">
      <c r="A2179" s="119" t="s">
        <v>2649</v>
      </c>
      <c r="B2179" s="119" t="s">
        <v>9442</v>
      </c>
      <c r="C2179" s="119" t="s">
        <v>66</v>
      </c>
      <c r="D2179" t="s">
        <v>6760</v>
      </c>
      <c r="E2179" s="117">
        <v>53.13</v>
      </c>
    </row>
    <row r="2180" spans="1:5" x14ac:dyDescent="0.25">
      <c r="A2180" s="119" t="s">
        <v>2650</v>
      </c>
      <c r="B2180" s="119" t="s">
        <v>9443</v>
      </c>
      <c r="C2180" s="119" t="s">
        <v>66</v>
      </c>
      <c r="D2180" t="s">
        <v>6760</v>
      </c>
      <c r="E2180" s="117">
        <v>70.88</v>
      </c>
    </row>
    <row r="2181" spans="1:5" x14ac:dyDescent="0.25">
      <c r="A2181" s="119" t="s">
        <v>2651</v>
      </c>
      <c r="B2181" s="119" t="s">
        <v>9218</v>
      </c>
      <c r="C2181" s="119" t="s">
        <v>66</v>
      </c>
      <c r="D2181" t="s">
        <v>45</v>
      </c>
      <c r="E2181" s="117">
        <v>48.3</v>
      </c>
    </row>
    <row r="2182" spans="1:5" x14ac:dyDescent="0.25">
      <c r="A2182" s="119" t="s">
        <v>2652</v>
      </c>
      <c r="B2182" s="119" t="s">
        <v>9217</v>
      </c>
      <c r="C2182" s="119" t="s">
        <v>66</v>
      </c>
      <c r="D2182" t="s">
        <v>45</v>
      </c>
      <c r="E2182" s="117">
        <v>60.38</v>
      </c>
    </row>
    <row r="2183" spans="1:5" x14ac:dyDescent="0.25">
      <c r="A2183" s="119" t="s">
        <v>2653</v>
      </c>
      <c r="B2183" s="119" t="s">
        <v>9216</v>
      </c>
      <c r="C2183" s="119" t="s">
        <v>66</v>
      </c>
      <c r="D2183" t="s">
        <v>45</v>
      </c>
      <c r="E2183" s="117">
        <v>0</v>
      </c>
    </row>
    <row r="2184" spans="1:5" x14ac:dyDescent="0.25">
      <c r="A2184" s="119" t="s">
        <v>2654</v>
      </c>
      <c r="B2184" s="119" t="s">
        <v>2284</v>
      </c>
      <c r="C2184" s="119" t="s">
        <v>66</v>
      </c>
      <c r="D2184" t="s">
        <v>45</v>
      </c>
      <c r="E2184" s="117">
        <v>103.43</v>
      </c>
    </row>
    <row r="2185" spans="1:5" x14ac:dyDescent="0.25">
      <c r="A2185" s="119" t="s">
        <v>2655</v>
      </c>
      <c r="B2185" s="119" t="s">
        <v>2282</v>
      </c>
      <c r="C2185" s="119" t="s">
        <v>66</v>
      </c>
      <c r="D2185" t="s">
        <v>45</v>
      </c>
      <c r="E2185" s="117">
        <v>128.72999999999999</v>
      </c>
    </row>
    <row r="2186" spans="1:5" x14ac:dyDescent="0.25">
      <c r="A2186" s="119" t="s">
        <v>2656</v>
      </c>
      <c r="B2186" s="119" t="s">
        <v>9221</v>
      </c>
      <c r="C2186" s="119" t="s">
        <v>66</v>
      </c>
      <c r="D2186" t="s">
        <v>45</v>
      </c>
      <c r="E2186" s="117">
        <v>150.78</v>
      </c>
    </row>
    <row r="2187" spans="1:5" x14ac:dyDescent="0.25">
      <c r="A2187" s="119" t="s">
        <v>2657</v>
      </c>
      <c r="B2187" s="119" t="s">
        <v>2658</v>
      </c>
      <c r="C2187" s="119" t="s">
        <v>66</v>
      </c>
      <c r="D2187" t="s">
        <v>49</v>
      </c>
      <c r="E2187" s="117">
        <v>132.09</v>
      </c>
    </row>
    <row r="2188" spans="1:5" x14ac:dyDescent="0.25">
      <c r="A2188" s="119" t="s">
        <v>2659</v>
      </c>
      <c r="B2188" s="119" t="s">
        <v>9219</v>
      </c>
      <c r="C2188" s="119" t="s">
        <v>66</v>
      </c>
      <c r="D2188" t="s">
        <v>6759</v>
      </c>
      <c r="E2188" s="117">
        <v>48.3</v>
      </c>
    </row>
    <row r="2189" spans="1:5" x14ac:dyDescent="0.25">
      <c r="A2189" s="119" t="s">
        <v>2660</v>
      </c>
      <c r="B2189" s="119" t="s">
        <v>9220</v>
      </c>
      <c r="C2189" s="119" t="s">
        <v>66</v>
      </c>
      <c r="D2189" t="s">
        <v>45</v>
      </c>
      <c r="E2189" s="117">
        <v>48.3</v>
      </c>
    </row>
    <row r="2190" spans="1:5" x14ac:dyDescent="0.25">
      <c r="A2190" s="119" t="s">
        <v>2661</v>
      </c>
      <c r="B2190" s="119" t="s">
        <v>2127</v>
      </c>
      <c r="C2190" s="119" t="s">
        <v>66</v>
      </c>
      <c r="D2190" t="s">
        <v>45</v>
      </c>
      <c r="E2190" s="117">
        <v>96.6</v>
      </c>
    </row>
    <row r="2191" spans="1:5" x14ac:dyDescent="0.25">
      <c r="A2191" s="119" t="s">
        <v>2662</v>
      </c>
      <c r="B2191" s="119" t="s">
        <v>9223</v>
      </c>
      <c r="C2191" s="119" t="s">
        <v>66</v>
      </c>
      <c r="D2191" t="s">
        <v>45</v>
      </c>
      <c r="E2191" s="117">
        <v>144.80000000000001</v>
      </c>
    </row>
    <row r="2192" spans="1:5" x14ac:dyDescent="0.25">
      <c r="A2192" s="119" t="s">
        <v>2663</v>
      </c>
      <c r="B2192" s="119" t="s">
        <v>9226</v>
      </c>
      <c r="C2192" s="119" t="s">
        <v>66</v>
      </c>
      <c r="D2192" t="s">
        <v>6759</v>
      </c>
      <c r="E2192" s="117">
        <v>265.33999999999997</v>
      </c>
    </row>
    <row r="2193" spans="1:5" x14ac:dyDescent="0.25">
      <c r="A2193" s="119" t="s">
        <v>2664</v>
      </c>
      <c r="B2193" s="119" t="s">
        <v>9224</v>
      </c>
      <c r="C2193" s="119" t="s">
        <v>66</v>
      </c>
      <c r="D2193" t="s">
        <v>6759</v>
      </c>
      <c r="E2193" s="117">
        <v>119.39</v>
      </c>
    </row>
    <row r="2194" spans="1:5" x14ac:dyDescent="0.25">
      <c r="A2194" s="119" t="s">
        <v>2665</v>
      </c>
      <c r="B2194" s="119" t="s">
        <v>9444</v>
      </c>
      <c r="C2194" s="119" t="s">
        <v>66</v>
      </c>
      <c r="D2194" t="s">
        <v>49</v>
      </c>
      <c r="E2194" s="117">
        <v>115.71</v>
      </c>
    </row>
    <row r="2195" spans="1:5" x14ac:dyDescent="0.25">
      <c r="A2195" s="119" t="s">
        <v>2666</v>
      </c>
      <c r="B2195" s="119" t="s">
        <v>9222</v>
      </c>
      <c r="C2195" s="119" t="s">
        <v>66</v>
      </c>
      <c r="D2195" t="s">
        <v>45</v>
      </c>
      <c r="E2195" s="117">
        <v>231.84</v>
      </c>
    </row>
    <row r="2196" spans="1:5" x14ac:dyDescent="0.25">
      <c r="A2196" s="119" t="s">
        <v>2667</v>
      </c>
      <c r="B2196" s="119" t="s">
        <v>2668</v>
      </c>
      <c r="C2196" s="119" t="s">
        <v>66</v>
      </c>
      <c r="D2196" t="s">
        <v>49</v>
      </c>
      <c r="E2196" s="117">
        <v>62.79</v>
      </c>
    </row>
    <row r="2197" spans="1:5" x14ac:dyDescent="0.25">
      <c r="A2197" s="119" t="s">
        <v>2669</v>
      </c>
      <c r="B2197" s="119" t="s">
        <v>2670</v>
      </c>
      <c r="C2197" s="119" t="s">
        <v>66</v>
      </c>
      <c r="D2197" t="s">
        <v>49</v>
      </c>
      <c r="E2197" s="117">
        <v>30.77</v>
      </c>
    </row>
    <row r="2198" spans="1:5" x14ac:dyDescent="0.25">
      <c r="A2198" s="119" t="s">
        <v>2671</v>
      </c>
      <c r="B2198" s="119" t="s">
        <v>9445</v>
      </c>
      <c r="C2198" s="119" t="s">
        <v>66</v>
      </c>
      <c r="D2198" t="s">
        <v>51</v>
      </c>
      <c r="E2198" s="117">
        <v>141.75</v>
      </c>
    </row>
    <row r="2199" spans="1:5" x14ac:dyDescent="0.25">
      <c r="A2199" s="119" t="s">
        <v>2672</v>
      </c>
      <c r="B2199" s="119" t="s">
        <v>2673</v>
      </c>
      <c r="C2199" s="119" t="s">
        <v>66</v>
      </c>
      <c r="D2199" t="s">
        <v>49</v>
      </c>
      <c r="E2199" s="117">
        <v>129</v>
      </c>
    </row>
    <row r="2200" spans="1:5" x14ac:dyDescent="0.25">
      <c r="A2200" s="119" t="s">
        <v>8239</v>
      </c>
      <c r="B2200" s="119" t="s">
        <v>8240</v>
      </c>
      <c r="C2200" s="119" t="s">
        <v>66</v>
      </c>
      <c r="D2200" t="s">
        <v>45</v>
      </c>
      <c r="E2200" s="117">
        <v>9999</v>
      </c>
    </row>
    <row r="2201" spans="1:5" x14ac:dyDescent="0.25">
      <c r="A2201" s="119" t="s">
        <v>2674</v>
      </c>
      <c r="B2201" s="119" t="s">
        <v>2234</v>
      </c>
      <c r="C2201" s="119" t="s">
        <v>66</v>
      </c>
      <c r="D2201" t="s">
        <v>6759</v>
      </c>
      <c r="E2201" s="117">
        <v>280.68</v>
      </c>
    </row>
    <row r="2202" spans="1:5" x14ac:dyDescent="0.25">
      <c r="A2202" s="119" t="s">
        <v>2675</v>
      </c>
      <c r="B2202" s="119" t="s">
        <v>9300</v>
      </c>
      <c r="C2202" s="119" t="s">
        <v>66</v>
      </c>
      <c r="D2202" t="s">
        <v>6759</v>
      </c>
      <c r="E2202" s="117">
        <v>301.56</v>
      </c>
    </row>
    <row r="2203" spans="1:5" x14ac:dyDescent="0.25">
      <c r="A2203" s="119" t="s">
        <v>2676</v>
      </c>
      <c r="B2203" s="119" t="s">
        <v>7474</v>
      </c>
      <c r="C2203" s="119" t="s">
        <v>66</v>
      </c>
      <c r="D2203" t="s">
        <v>51</v>
      </c>
      <c r="E2203" s="117">
        <v>81.48</v>
      </c>
    </row>
    <row r="2204" spans="1:5" x14ac:dyDescent="0.25">
      <c r="A2204" s="119" t="s">
        <v>2677</v>
      </c>
      <c r="B2204" s="119" t="s">
        <v>2678</v>
      </c>
      <c r="C2204" s="119" t="s">
        <v>66</v>
      </c>
      <c r="D2204" t="s">
        <v>45</v>
      </c>
      <c r="E2204" s="117">
        <v>178.61</v>
      </c>
    </row>
    <row r="2205" spans="1:5" x14ac:dyDescent="0.25">
      <c r="A2205" s="119" t="s">
        <v>2679</v>
      </c>
      <c r="B2205" s="119" t="s">
        <v>2680</v>
      </c>
      <c r="C2205" s="119" t="s">
        <v>66</v>
      </c>
      <c r="D2205" t="s">
        <v>45</v>
      </c>
      <c r="E2205" s="117">
        <v>178.61</v>
      </c>
    </row>
    <row r="2206" spans="1:5" x14ac:dyDescent="0.25">
      <c r="A2206" s="119" t="s">
        <v>2681</v>
      </c>
      <c r="B2206" s="119" t="s">
        <v>2682</v>
      </c>
      <c r="C2206" s="119" t="s">
        <v>66</v>
      </c>
      <c r="D2206" t="s">
        <v>45</v>
      </c>
      <c r="E2206" s="117">
        <v>178.61</v>
      </c>
    </row>
    <row r="2207" spans="1:5" x14ac:dyDescent="0.25">
      <c r="A2207" s="119" t="s">
        <v>2683</v>
      </c>
      <c r="B2207" s="119" t="s">
        <v>2684</v>
      </c>
      <c r="C2207" s="119" t="s">
        <v>66</v>
      </c>
      <c r="D2207" t="s">
        <v>45</v>
      </c>
      <c r="E2207" s="117">
        <v>178.61</v>
      </c>
    </row>
    <row r="2208" spans="1:5" x14ac:dyDescent="0.25">
      <c r="A2208" s="119" t="s">
        <v>2685</v>
      </c>
      <c r="B2208" s="119" t="s">
        <v>2686</v>
      </c>
      <c r="C2208" s="119" t="s">
        <v>66</v>
      </c>
      <c r="D2208" t="s">
        <v>45</v>
      </c>
      <c r="E2208" s="117">
        <v>178.61</v>
      </c>
    </row>
    <row r="2209" spans="1:5" x14ac:dyDescent="0.25">
      <c r="A2209" s="119" t="s">
        <v>2687</v>
      </c>
      <c r="B2209" s="119" t="s">
        <v>2688</v>
      </c>
      <c r="C2209" s="119" t="s">
        <v>66</v>
      </c>
      <c r="D2209" t="s">
        <v>51</v>
      </c>
      <c r="E2209" s="117">
        <v>52</v>
      </c>
    </row>
    <row r="2210" spans="1:5" x14ac:dyDescent="0.25">
      <c r="A2210" s="119" t="s">
        <v>2689</v>
      </c>
      <c r="B2210" s="119" t="s">
        <v>9446</v>
      </c>
      <c r="C2210" s="119" t="s">
        <v>66</v>
      </c>
      <c r="D2210" t="s">
        <v>45</v>
      </c>
      <c r="E2210" s="117">
        <v>88.1</v>
      </c>
    </row>
    <row r="2211" spans="1:5" x14ac:dyDescent="0.25">
      <c r="A2211" s="119" t="s">
        <v>2690</v>
      </c>
      <c r="B2211" s="119" t="s">
        <v>2691</v>
      </c>
      <c r="C2211" s="119" t="s">
        <v>66</v>
      </c>
      <c r="D2211" t="s">
        <v>49</v>
      </c>
      <c r="E2211" s="117">
        <v>139.87</v>
      </c>
    </row>
    <row r="2212" spans="1:5" x14ac:dyDescent="0.25">
      <c r="A2212" s="119" t="s">
        <v>2692</v>
      </c>
      <c r="B2212" s="119" t="s">
        <v>2693</v>
      </c>
      <c r="C2212" s="119" t="s">
        <v>66</v>
      </c>
      <c r="D2212" t="s">
        <v>6759</v>
      </c>
      <c r="E2212" s="117">
        <v>9999</v>
      </c>
    </row>
    <row r="2213" spans="1:5" x14ac:dyDescent="0.25">
      <c r="A2213" s="119" t="s">
        <v>2694</v>
      </c>
      <c r="B2213" s="119" t="s">
        <v>2695</v>
      </c>
      <c r="C2213" s="119" t="s">
        <v>66</v>
      </c>
      <c r="D2213" t="s">
        <v>45</v>
      </c>
      <c r="E2213" s="117">
        <v>92.1</v>
      </c>
    </row>
    <row r="2214" spans="1:5" x14ac:dyDescent="0.25">
      <c r="A2214" s="119" t="s">
        <v>2696</v>
      </c>
      <c r="B2214" s="119" t="s">
        <v>2697</v>
      </c>
      <c r="C2214" s="119" t="s">
        <v>66</v>
      </c>
      <c r="D2214" t="s">
        <v>45</v>
      </c>
      <c r="E2214" s="117">
        <v>204.12</v>
      </c>
    </row>
    <row r="2215" spans="1:5" x14ac:dyDescent="0.25">
      <c r="A2215" s="119" t="s">
        <v>2698</v>
      </c>
      <c r="B2215" s="119" t="s">
        <v>2699</v>
      </c>
      <c r="C2215" s="119" t="s">
        <v>66</v>
      </c>
      <c r="D2215" t="s">
        <v>45</v>
      </c>
      <c r="E2215" s="117">
        <v>20.88</v>
      </c>
    </row>
    <row r="2216" spans="1:5" x14ac:dyDescent="0.25">
      <c r="A2216" s="119" t="s">
        <v>2700</v>
      </c>
      <c r="B2216" s="119" t="s">
        <v>9447</v>
      </c>
      <c r="C2216" s="119" t="s">
        <v>66</v>
      </c>
      <c r="D2216" t="s">
        <v>6759</v>
      </c>
      <c r="E2216" s="117">
        <v>939</v>
      </c>
    </row>
    <row r="2217" spans="1:5" x14ac:dyDescent="0.25">
      <c r="A2217" s="119" t="s">
        <v>2701</v>
      </c>
      <c r="B2217" s="119" t="s">
        <v>9448</v>
      </c>
      <c r="C2217" s="119" t="s">
        <v>66</v>
      </c>
      <c r="D2217" t="s">
        <v>49</v>
      </c>
      <c r="E2217" s="117">
        <v>1290.07</v>
      </c>
    </row>
    <row r="2218" spans="1:5" x14ac:dyDescent="0.25">
      <c r="A2218" s="119" t="s">
        <v>8119</v>
      </c>
      <c r="B2218" s="119" t="s">
        <v>9449</v>
      </c>
      <c r="C2218" s="119" t="s">
        <v>66</v>
      </c>
      <c r="D2218" t="s">
        <v>45</v>
      </c>
      <c r="E2218" s="117">
        <v>9999</v>
      </c>
    </row>
    <row r="2219" spans="1:5" x14ac:dyDescent="0.25">
      <c r="A2219" s="119" t="s">
        <v>8216</v>
      </c>
      <c r="B2219" s="119" t="s">
        <v>9450</v>
      </c>
      <c r="C2219" s="119" t="s">
        <v>66</v>
      </c>
      <c r="D2219" t="s">
        <v>45</v>
      </c>
      <c r="E2219" s="117">
        <v>9999</v>
      </c>
    </row>
    <row r="2220" spans="1:5" x14ac:dyDescent="0.25">
      <c r="A2220" s="119" t="s">
        <v>8217</v>
      </c>
      <c r="B2220" s="119" t="s">
        <v>9451</v>
      </c>
      <c r="C2220" s="119" t="s">
        <v>66</v>
      </c>
      <c r="D2220" t="s">
        <v>45</v>
      </c>
      <c r="E2220" s="117">
        <v>9999</v>
      </c>
    </row>
    <row r="2221" spans="1:5" x14ac:dyDescent="0.25">
      <c r="A2221" s="119" t="s">
        <v>8218</v>
      </c>
      <c r="B2221" s="119" t="s">
        <v>9452</v>
      </c>
      <c r="C2221" s="119" t="s">
        <v>66</v>
      </c>
      <c r="D2221" t="s">
        <v>45</v>
      </c>
      <c r="E2221" s="117">
        <v>9999</v>
      </c>
    </row>
    <row r="2222" spans="1:5" x14ac:dyDescent="0.25">
      <c r="A2222" s="119" t="s">
        <v>8219</v>
      </c>
      <c r="B2222" s="119" t="s">
        <v>9453</v>
      </c>
      <c r="C2222" s="119" t="s">
        <v>66</v>
      </c>
      <c r="D2222" t="s">
        <v>45</v>
      </c>
      <c r="E2222" s="117">
        <v>9999</v>
      </c>
    </row>
    <row r="2223" spans="1:5" x14ac:dyDescent="0.25">
      <c r="A2223" s="119" t="s">
        <v>8220</v>
      </c>
      <c r="B2223" s="119" t="s">
        <v>9454</v>
      </c>
      <c r="C2223" s="119" t="s">
        <v>66</v>
      </c>
      <c r="D2223" t="s">
        <v>45</v>
      </c>
      <c r="E2223" s="117">
        <v>9999</v>
      </c>
    </row>
    <row r="2224" spans="1:5" x14ac:dyDescent="0.25">
      <c r="A2224" s="119" t="s">
        <v>8221</v>
      </c>
      <c r="B2224" s="119" t="s">
        <v>9455</v>
      </c>
      <c r="C2224" s="119" t="s">
        <v>66</v>
      </c>
      <c r="D2224" t="s">
        <v>45</v>
      </c>
      <c r="E2224" s="117">
        <v>9999</v>
      </c>
    </row>
    <row r="2225" spans="1:5" x14ac:dyDescent="0.25">
      <c r="A2225" s="119" t="s">
        <v>8222</v>
      </c>
      <c r="B2225" s="119" t="s">
        <v>9456</v>
      </c>
      <c r="C2225" s="119" t="s">
        <v>66</v>
      </c>
      <c r="D2225" t="s">
        <v>45</v>
      </c>
      <c r="E2225" s="117">
        <v>9999</v>
      </c>
    </row>
    <row r="2226" spans="1:5" x14ac:dyDescent="0.25">
      <c r="A2226" s="119" t="s">
        <v>8223</v>
      </c>
      <c r="B2226" s="119" t="s">
        <v>9457</v>
      </c>
      <c r="C2226" s="119" t="s">
        <v>66</v>
      </c>
      <c r="D2226" t="s">
        <v>45</v>
      </c>
      <c r="E2226" s="117">
        <v>9999</v>
      </c>
    </row>
    <row r="2227" spans="1:5" x14ac:dyDescent="0.25">
      <c r="A2227" s="119" t="s">
        <v>8224</v>
      </c>
      <c r="B2227" s="119" t="s">
        <v>9458</v>
      </c>
      <c r="C2227" s="119" t="s">
        <v>66</v>
      </c>
      <c r="D2227" t="s">
        <v>45</v>
      </c>
      <c r="E2227" s="117">
        <v>9999</v>
      </c>
    </row>
    <row r="2228" spans="1:5" x14ac:dyDescent="0.25">
      <c r="A2228" s="119" t="s">
        <v>8225</v>
      </c>
      <c r="B2228" s="119" t="s">
        <v>9459</v>
      </c>
      <c r="C2228" s="119" t="s">
        <v>66</v>
      </c>
      <c r="D2228" t="s">
        <v>45</v>
      </c>
      <c r="E2228" s="117">
        <v>9999</v>
      </c>
    </row>
    <row r="2229" spans="1:5" x14ac:dyDescent="0.25">
      <c r="A2229" s="119" t="s">
        <v>8226</v>
      </c>
      <c r="B2229" s="119" t="s">
        <v>9460</v>
      </c>
      <c r="C2229" s="119" t="s">
        <v>66</v>
      </c>
      <c r="D2229" t="s">
        <v>45</v>
      </c>
      <c r="E2229" s="117">
        <v>9999</v>
      </c>
    </row>
    <row r="2230" spans="1:5" x14ac:dyDescent="0.25">
      <c r="A2230" s="119" t="s">
        <v>8227</v>
      </c>
      <c r="B2230" s="119" t="s">
        <v>9461</v>
      </c>
      <c r="C2230" s="119" t="s">
        <v>66</v>
      </c>
      <c r="D2230" t="s">
        <v>45</v>
      </c>
      <c r="E2230" s="117">
        <v>9999</v>
      </c>
    </row>
    <row r="2231" spans="1:5" x14ac:dyDescent="0.25">
      <c r="A2231" s="119" t="s">
        <v>8228</v>
      </c>
      <c r="B2231" s="119" t="s">
        <v>9462</v>
      </c>
      <c r="C2231" s="119" t="s">
        <v>66</v>
      </c>
      <c r="D2231" t="s">
        <v>45</v>
      </c>
      <c r="E2231" s="117">
        <v>9999</v>
      </c>
    </row>
    <row r="2232" spans="1:5" x14ac:dyDescent="0.25">
      <c r="A2232" s="119" t="s">
        <v>8229</v>
      </c>
      <c r="B2232" s="119" t="s">
        <v>9463</v>
      </c>
      <c r="C2232" s="119" t="s">
        <v>66</v>
      </c>
      <c r="D2232" t="s">
        <v>45</v>
      </c>
      <c r="E2232" s="117">
        <v>9999</v>
      </c>
    </row>
    <row r="2233" spans="1:5" x14ac:dyDescent="0.25">
      <c r="A2233" s="119" t="s">
        <v>2702</v>
      </c>
      <c r="B2233" s="119" t="s">
        <v>9464</v>
      </c>
      <c r="C2233" s="119" t="s">
        <v>66</v>
      </c>
      <c r="D2233" t="s">
        <v>6759</v>
      </c>
      <c r="E2233" s="117">
        <v>3200</v>
      </c>
    </row>
    <row r="2234" spans="1:5" x14ac:dyDescent="0.25">
      <c r="A2234" s="119" t="s">
        <v>2703</v>
      </c>
      <c r="B2234" s="119" t="s">
        <v>2704</v>
      </c>
      <c r="C2234" s="119" t="s">
        <v>301</v>
      </c>
      <c r="D2234" t="s">
        <v>45</v>
      </c>
      <c r="E2234" s="117">
        <v>999999999</v>
      </c>
    </row>
    <row r="2235" spans="1:5" x14ac:dyDescent="0.25">
      <c r="A2235" s="119" t="s">
        <v>2705</v>
      </c>
      <c r="B2235" s="119" t="s">
        <v>2706</v>
      </c>
      <c r="C2235" s="119" t="s">
        <v>66</v>
      </c>
      <c r="D2235" t="s">
        <v>6759</v>
      </c>
      <c r="E2235" s="117">
        <v>0</v>
      </c>
    </row>
    <row r="2236" spans="1:5" x14ac:dyDescent="0.25">
      <c r="A2236" s="119" t="s">
        <v>2707</v>
      </c>
      <c r="B2236" s="119" t="s">
        <v>9465</v>
      </c>
      <c r="C2236" s="119" t="s">
        <v>301</v>
      </c>
      <c r="D2236" t="s">
        <v>45</v>
      </c>
      <c r="E2236" s="117">
        <v>5007.8900000000003</v>
      </c>
    </row>
    <row r="2237" spans="1:5" x14ac:dyDescent="0.25">
      <c r="A2237" s="119" t="s">
        <v>2708</v>
      </c>
      <c r="B2237" s="119" t="s">
        <v>9466</v>
      </c>
      <c r="C2237" s="119" t="s">
        <v>301</v>
      </c>
      <c r="D2237" t="s">
        <v>45</v>
      </c>
      <c r="E2237" s="117">
        <v>0</v>
      </c>
    </row>
    <row r="2238" spans="1:5" x14ac:dyDescent="0.25">
      <c r="A2238" s="119" t="s">
        <v>2709</v>
      </c>
      <c r="B2238" s="119" t="s">
        <v>9467</v>
      </c>
      <c r="C2238" s="119" t="s">
        <v>301</v>
      </c>
      <c r="D2238" t="s">
        <v>45</v>
      </c>
      <c r="E2238" s="117">
        <v>0</v>
      </c>
    </row>
    <row r="2239" spans="1:5" x14ac:dyDescent="0.25">
      <c r="A2239" s="119" t="s">
        <v>2710</v>
      </c>
      <c r="B2239" s="119" t="s">
        <v>9468</v>
      </c>
      <c r="C2239" s="119" t="s">
        <v>301</v>
      </c>
      <c r="D2239" t="s">
        <v>6759</v>
      </c>
      <c r="E2239" s="117">
        <v>2517.38</v>
      </c>
    </row>
    <row r="2240" spans="1:5" x14ac:dyDescent="0.25">
      <c r="A2240" s="119" t="s">
        <v>2711</v>
      </c>
      <c r="B2240" s="119" t="s">
        <v>2712</v>
      </c>
      <c r="C2240" s="119" t="s">
        <v>301</v>
      </c>
      <c r="D2240" t="s">
        <v>45</v>
      </c>
      <c r="E2240" s="117">
        <v>4590.57</v>
      </c>
    </row>
    <row r="2241" spans="1:5" x14ac:dyDescent="0.25">
      <c r="A2241" s="119" t="s">
        <v>2713</v>
      </c>
      <c r="B2241" s="119" t="s">
        <v>2714</v>
      </c>
      <c r="C2241" s="119" t="s">
        <v>66</v>
      </c>
      <c r="D2241" t="s">
        <v>45</v>
      </c>
      <c r="E2241" s="117">
        <v>0</v>
      </c>
    </row>
    <row r="2242" spans="1:5" x14ac:dyDescent="0.25">
      <c r="A2242" s="119" t="s">
        <v>2715</v>
      </c>
      <c r="B2242" s="119" t="s">
        <v>9469</v>
      </c>
      <c r="C2242" s="119" t="s">
        <v>301</v>
      </c>
      <c r="D2242" t="s">
        <v>45</v>
      </c>
      <c r="E2242" s="117">
        <v>255.29</v>
      </c>
    </row>
    <row r="2243" spans="1:5" x14ac:dyDescent="0.25">
      <c r="A2243" s="119" t="s">
        <v>2716</v>
      </c>
      <c r="B2243" s="119" t="s">
        <v>9470</v>
      </c>
      <c r="C2243" s="119" t="s">
        <v>301</v>
      </c>
      <c r="D2243" t="s">
        <v>45</v>
      </c>
      <c r="E2243" s="117">
        <v>853.3</v>
      </c>
    </row>
    <row r="2244" spans="1:5" x14ac:dyDescent="0.25">
      <c r="A2244" s="119" t="s">
        <v>2717</v>
      </c>
      <c r="B2244" s="119" t="s">
        <v>2718</v>
      </c>
      <c r="C2244" s="119" t="s">
        <v>301</v>
      </c>
      <c r="D2244" t="s">
        <v>45</v>
      </c>
      <c r="E2244" s="117">
        <v>0</v>
      </c>
    </row>
    <row r="2245" spans="1:5" x14ac:dyDescent="0.25">
      <c r="A2245" s="119" t="s">
        <v>2719</v>
      </c>
      <c r="B2245" s="119" t="s">
        <v>9471</v>
      </c>
      <c r="C2245" s="119" t="s">
        <v>301</v>
      </c>
      <c r="D2245" t="s">
        <v>45</v>
      </c>
      <c r="E2245" s="117">
        <v>0</v>
      </c>
    </row>
    <row r="2246" spans="1:5" x14ac:dyDescent="0.25">
      <c r="A2246" s="119" t="s">
        <v>2720</v>
      </c>
      <c r="B2246" s="119" t="s">
        <v>9472</v>
      </c>
      <c r="C2246" s="119" t="s">
        <v>301</v>
      </c>
      <c r="D2246" t="s">
        <v>45</v>
      </c>
      <c r="E2246" s="117">
        <v>0</v>
      </c>
    </row>
    <row r="2247" spans="1:5" x14ac:dyDescent="0.25">
      <c r="A2247" s="119" t="s">
        <v>2721</v>
      </c>
      <c r="B2247" s="119" t="s">
        <v>9473</v>
      </c>
      <c r="C2247" s="119" t="s">
        <v>301</v>
      </c>
      <c r="D2247" t="s">
        <v>45</v>
      </c>
      <c r="E2247" s="117">
        <v>0</v>
      </c>
    </row>
    <row r="2248" spans="1:5" x14ac:dyDescent="0.25">
      <c r="A2248" s="119" t="s">
        <v>2722</v>
      </c>
      <c r="B2248" s="119" t="s">
        <v>9474</v>
      </c>
      <c r="C2248" s="119" t="s">
        <v>301</v>
      </c>
      <c r="D2248" t="s">
        <v>45</v>
      </c>
      <c r="E2248" s="117">
        <v>0</v>
      </c>
    </row>
    <row r="2249" spans="1:5" x14ac:dyDescent="0.25">
      <c r="A2249" s="119" t="s">
        <v>2723</v>
      </c>
      <c r="B2249" s="119" t="s">
        <v>9474</v>
      </c>
      <c r="C2249" s="119" t="s">
        <v>301</v>
      </c>
      <c r="D2249" t="s">
        <v>45</v>
      </c>
      <c r="E2249" s="117">
        <v>0</v>
      </c>
    </row>
    <row r="2250" spans="1:5" x14ac:dyDescent="0.25">
      <c r="A2250" s="119" t="s">
        <v>2724</v>
      </c>
      <c r="B2250" s="119" t="s">
        <v>9474</v>
      </c>
      <c r="C2250" s="119" t="s">
        <v>301</v>
      </c>
      <c r="D2250" t="s">
        <v>45</v>
      </c>
      <c r="E2250" s="117">
        <v>0</v>
      </c>
    </row>
    <row r="2251" spans="1:5" x14ac:dyDescent="0.25">
      <c r="A2251" s="119" t="s">
        <v>2725</v>
      </c>
      <c r="B2251" s="119" t="s">
        <v>9475</v>
      </c>
      <c r="C2251" s="119" t="s">
        <v>301</v>
      </c>
      <c r="D2251" t="s">
        <v>45</v>
      </c>
      <c r="E2251" s="117">
        <v>501.7</v>
      </c>
    </row>
    <row r="2252" spans="1:5" x14ac:dyDescent="0.25">
      <c r="A2252" s="119" t="s">
        <v>2726</v>
      </c>
      <c r="B2252" s="119" t="s">
        <v>9476</v>
      </c>
      <c r="C2252" s="119" t="s">
        <v>301</v>
      </c>
      <c r="D2252" t="s">
        <v>45</v>
      </c>
      <c r="E2252" s="117">
        <v>0</v>
      </c>
    </row>
    <row r="2253" spans="1:5" x14ac:dyDescent="0.25">
      <c r="A2253" s="119" t="s">
        <v>2727</v>
      </c>
      <c r="B2253" s="119" t="s">
        <v>2728</v>
      </c>
      <c r="C2253" s="119" t="s">
        <v>301</v>
      </c>
      <c r="D2253" t="s">
        <v>45</v>
      </c>
      <c r="E2253" s="117">
        <v>0</v>
      </c>
    </row>
    <row r="2254" spans="1:5" x14ac:dyDescent="0.25">
      <c r="A2254" s="119" t="s">
        <v>2729</v>
      </c>
      <c r="B2254" s="119" t="s">
        <v>9477</v>
      </c>
      <c r="C2254" s="119" t="s">
        <v>301</v>
      </c>
      <c r="D2254" t="s">
        <v>45</v>
      </c>
      <c r="E2254" s="117">
        <v>0</v>
      </c>
    </row>
    <row r="2255" spans="1:5" x14ac:dyDescent="0.25">
      <c r="A2255" s="119" t="s">
        <v>2730</v>
      </c>
      <c r="B2255" s="119" t="s">
        <v>2731</v>
      </c>
      <c r="C2255" s="119" t="s">
        <v>301</v>
      </c>
      <c r="D2255" t="s">
        <v>45</v>
      </c>
      <c r="E2255" s="117">
        <v>0</v>
      </c>
    </row>
    <row r="2256" spans="1:5" x14ac:dyDescent="0.25">
      <c r="A2256" s="119" t="s">
        <v>2732</v>
      </c>
      <c r="B2256" s="119" t="s">
        <v>9478</v>
      </c>
      <c r="C2256" s="119" t="s">
        <v>301</v>
      </c>
      <c r="D2256" t="s">
        <v>45</v>
      </c>
      <c r="E2256" s="117">
        <v>0</v>
      </c>
    </row>
    <row r="2257" spans="1:5" x14ac:dyDescent="0.25">
      <c r="A2257" s="119" t="s">
        <v>2733</v>
      </c>
      <c r="B2257" s="119" t="s">
        <v>9479</v>
      </c>
      <c r="C2257" s="119" t="s">
        <v>301</v>
      </c>
      <c r="D2257" t="s">
        <v>45</v>
      </c>
      <c r="E2257" s="117">
        <v>0</v>
      </c>
    </row>
    <row r="2258" spans="1:5" x14ac:dyDescent="0.25">
      <c r="A2258" s="119" t="s">
        <v>2734</v>
      </c>
      <c r="B2258" s="119" t="s">
        <v>9480</v>
      </c>
      <c r="C2258" s="119" t="s">
        <v>301</v>
      </c>
      <c r="D2258" t="s">
        <v>45</v>
      </c>
      <c r="E2258" s="117">
        <v>0</v>
      </c>
    </row>
    <row r="2259" spans="1:5" x14ac:dyDescent="0.25">
      <c r="A2259" s="119" t="s">
        <v>2735</v>
      </c>
      <c r="B2259" s="119" t="s">
        <v>9481</v>
      </c>
      <c r="C2259" s="119" t="s">
        <v>301</v>
      </c>
      <c r="D2259" t="s">
        <v>45</v>
      </c>
      <c r="E2259" s="117">
        <v>0</v>
      </c>
    </row>
    <row r="2260" spans="1:5" x14ac:dyDescent="0.25">
      <c r="A2260" s="119" t="s">
        <v>2736</v>
      </c>
      <c r="B2260" s="119" t="s">
        <v>2737</v>
      </c>
      <c r="C2260" s="119" t="s">
        <v>301</v>
      </c>
      <c r="D2260" t="s">
        <v>45</v>
      </c>
      <c r="E2260" s="117">
        <v>0</v>
      </c>
    </row>
    <row r="2261" spans="1:5" x14ac:dyDescent="0.25">
      <c r="A2261" s="119" t="s">
        <v>2738</v>
      </c>
      <c r="B2261" s="119" t="s">
        <v>9482</v>
      </c>
      <c r="C2261" s="119" t="s">
        <v>301</v>
      </c>
      <c r="D2261" t="s">
        <v>45</v>
      </c>
      <c r="E2261" s="117">
        <v>7011.04</v>
      </c>
    </row>
    <row r="2262" spans="1:5" x14ac:dyDescent="0.25">
      <c r="A2262" s="119" t="s">
        <v>2739</v>
      </c>
      <c r="B2262" s="119" t="s">
        <v>9483</v>
      </c>
      <c r="C2262" s="119" t="s">
        <v>301</v>
      </c>
      <c r="D2262" t="s">
        <v>45</v>
      </c>
      <c r="E2262" s="117">
        <v>0</v>
      </c>
    </row>
    <row r="2263" spans="1:5" x14ac:dyDescent="0.25">
      <c r="A2263" s="119" t="s">
        <v>2740</v>
      </c>
      <c r="B2263" s="119" t="s">
        <v>9484</v>
      </c>
      <c r="C2263" s="119" t="s">
        <v>301</v>
      </c>
      <c r="D2263" t="s">
        <v>45</v>
      </c>
      <c r="E2263" s="117">
        <v>0</v>
      </c>
    </row>
    <row r="2264" spans="1:5" x14ac:dyDescent="0.25">
      <c r="A2264" s="119" t="s">
        <v>2741</v>
      </c>
      <c r="B2264" s="119" t="s">
        <v>9485</v>
      </c>
      <c r="C2264" s="119" t="s">
        <v>301</v>
      </c>
      <c r="D2264" t="s">
        <v>45</v>
      </c>
      <c r="E2264" s="117">
        <v>0</v>
      </c>
    </row>
    <row r="2265" spans="1:5" x14ac:dyDescent="0.25">
      <c r="A2265" s="119" t="s">
        <v>2742</v>
      </c>
      <c r="B2265" s="119" t="s">
        <v>9486</v>
      </c>
      <c r="C2265" s="119" t="s">
        <v>301</v>
      </c>
      <c r="D2265" t="s">
        <v>45</v>
      </c>
      <c r="E2265" s="117">
        <v>0</v>
      </c>
    </row>
    <row r="2266" spans="1:5" x14ac:dyDescent="0.25">
      <c r="A2266" s="119" t="s">
        <v>2743</v>
      </c>
      <c r="B2266" s="119" t="s">
        <v>9487</v>
      </c>
      <c r="C2266" s="119" t="s">
        <v>301</v>
      </c>
      <c r="D2266" t="s">
        <v>45</v>
      </c>
      <c r="E2266" s="117">
        <v>0</v>
      </c>
    </row>
    <row r="2267" spans="1:5" x14ac:dyDescent="0.25">
      <c r="A2267" s="119" t="s">
        <v>2744</v>
      </c>
      <c r="B2267" s="119" t="s">
        <v>9488</v>
      </c>
      <c r="C2267" s="119" t="s">
        <v>301</v>
      </c>
      <c r="D2267" t="s">
        <v>45</v>
      </c>
      <c r="E2267" s="117">
        <v>0</v>
      </c>
    </row>
    <row r="2268" spans="1:5" x14ac:dyDescent="0.25">
      <c r="A2268" s="119" t="s">
        <v>2745</v>
      </c>
      <c r="B2268" s="119" t="s">
        <v>9489</v>
      </c>
      <c r="C2268" s="119" t="s">
        <v>301</v>
      </c>
      <c r="D2268" t="s">
        <v>45</v>
      </c>
      <c r="E2268" s="117">
        <v>0</v>
      </c>
    </row>
    <row r="2269" spans="1:5" x14ac:dyDescent="0.25">
      <c r="A2269" s="119" t="s">
        <v>2746</v>
      </c>
      <c r="B2269" s="119" t="s">
        <v>9490</v>
      </c>
      <c r="C2269" s="119" t="s">
        <v>301</v>
      </c>
      <c r="D2269" t="s">
        <v>45</v>
      </c>
      <c r="E2269" s="117">
        <v>0</v>
      </c>
    </row>
    <row r="2270" spans="1:5" x14ac:dyDescent="0.25">
      <c r="A2270" s="119" t="s">
        <v>2747</v>
      </c>
      <c r="B2270" s="119" t="s">
        <v>9489</v>
      </c>
      <c r="C2270" s="119" t="s">
        <v>301</v>
      </c>
      <c r="D2270" t="s">
        <v>45</v>
      </c>
      <c r="E2270" s="117">
        <v>0</v>
      </c>
    </row>
    <row r="2271" spans="1:5" x14ac:dyDescent="0.25">
      <c r="A2271" s="119" t="s">
        <v>2748</v>
      </c>
      <c r="B2271" s="119" t="s">
        <v>9491</v>
      </c>
      <c r="C2271" s="119" t="s">
        <v>301</v>
      </c>
      <c r="D2271" t="s">
        <v>45</v>
      </c>
      <c r="E2271" s="117">
        <v>0</v>
      </c>
    </row>
    <row r="2272" spans="1:5" x14ac:dyDescent="0.25">
      <c r="A2272" s="119" t="s">
        <v>2749</v>
      </c>
      <c r="B2272" s="119" t="s">
        <v>9492</v>
      </c>
      <c r="C2272" s="119" t="s">
        <v>301</v>
      </c>
      <c r="D2272" t="s">
        <v>45</v>
      </c>
      <c r="E2272" s="117">
        <v>0</v>
      </c>
    </row>
    <row r="2273" spans="1:5" x14ac:dyDescent="0.25">
      <c r="A2273" s="119" t="s">
        <v>2750</v>
      </c>
      <c r="B2273" s="119" t="s">
        <v>9493</v>
      </c>
      <c r="C2273" s="119" t="s">
        <v>301</v>
      </c>
      <c r="D2273" t="s">
        <v>45</v>
      </c>
      <c r="E2273" s="117">
        <v>0</v>
      </c>
    </row>
    <row r="2274" spans="1:5" x14ac:dyDescent="0.25">
      <c r="A2274" s="119" t="s">
        <v>2751</v>
      </c>
      <c r="B2274" s="119" t="s">
        <v>9494</v>
      </c>
      <c r="C2274" s="119" t="s">
        <v>301</v>
      </c>
      <c r="D2274" t="s">
        <v>45</v>
      </c>
      <c r="E2274" s="117">
        <v>0</v>
      </c>
    </row>
    <row r="2275" spans="1:5" x14ac:dyDescent="0.25">
      <c r="A2275" s="119" t="s">
        <v>2752</v>
      </c>
      <c r="B2275" s="119" t="s">
        <v>9495</v>
      </c>
      <c r="C2275" s="119" t="s">
        <v>301</v>
      </c>
      <c r="D2275" t="s">
        <v>45</v>
      </c>
      <c r="E2275" s="117">
        <v>0</v>
      </c>
    </row>
    <row r="2276" spans="1:5" x14ac:dyDescent="0.25">
      <c r="A2276" s="119" t="s">
        <v>2753</v>
      </c>
      <c r="B2276" s="119" t="s">
        <v>9496</v>
      </c>
      <c r="C2276" s="119" t="s">
        <v>301</v>
      </c>
      <c r="D2276" t="s">
        <v>45</v>
      </c>
      <c r="E2276" s="117">
        <v>1289.53</v>
      </c>
    </row>
    <row r="2277" spans="1:5" x14ac:dyDescent="0.25">
      <c r="A2277" s="119" t="s">
        <v>2754</v>
      </c>
      <c r="B2277" s="119" t="s">
        <v>9497</v>
      </c>
      <c r="C2277" s="119" t="s">
        <v>301</v>
      </c>
      <c r="D2277" t="s">
        <v>45</v>
      </c>
      <c r="E2277" s="117">
        <v>1714.06</v>
      </c>
    </row>
    <row r="2278" spans="1:5" x14ac:dyDescent="0.25">
      <c r="A2278" s="119" t="s">
        <v>2755</v>
      </c>
      <c r="B2278" s="119" t="s">
        <v>9498</v>
      </c>
      <c r="C2278" s="119" t="s">
        <v>301</v>
      </c>
      <c r="D2278" t="s">
        <v>45</v>
      </c>
      <c r="E2278" s="117">
        <v>0</v>
      </c>
    </row>
    <row r="2279" spans="1:5" x14ac:dyDescent="0.25">
      <c r="A2279" s="119" t="s">
        <v>2756</v>
      </c>
      <c r="B2279" s="119" t="s">
        <v>9499</v>
      </c>
      <c r="C2279" s="119" t="s">
        <v>301</v>
      </c>
      <c r="D2279" t="s">
        <v>45</v>
      </c>
      <c r="E2279" s="117">
        <v>0</v>
      </c>
    </row>
    <row r="2280" spans="1:5" x14ac:dyDescent="0.25">
      <c r="A2280" s="119" t="s">
        <v>2757</v>
      </c>
      <c r="B2280" s="119" t="s">
        <v>9500</v>
      </c>
      <c r="C2280" s="119" t="s">
        <v>301</v>
      </c>
      <c r="D2280" t="s">
        <v>45</v>
      </c>
      <c r="E2280" s="117">
        <v>0</v>
      </c>
    </row>
    <row r="2281" spans="1:5" x14ac:dyDescent="0.25">
      <c r="A2281" s="119" t="s">
        <v>2758</v>
      </c>
      <c r="B2281" s="119" t="s">
        <v>9501</v>
      </c>
      <c r="C2281" s="119" t="s">
        <v>301</v>
      </c>
      <c r="D2281" t="s">
        <v>45</v>
      </c>
      <c r="E2281" s="117">
        <v>0</v>
      </c>
    </row>
    <row r="2282" spans="1:5" x14ac:dyDescent="0.25">
      <c r="A2282" s="119" t="s">
        <v>2759</v>
      </c>
      <c r="B2282" s="119" t="s">
        <v>9502</v>
      </c>
      <c r="C2282" s="119" t="s">
        <v>301</v>
      </c>
      <c r="D2282" t="s">
        <v>45</v>
      </c>
      <c r="E2282" s="117">
        <v>0</v>
      </c>
    </row>
    <row r="2283" spans="1:5" x14ac:dyDescent="0.25">
      <c r="A2283" s="119" t="s">
        <v>2760</v>
      </c>
      <c r="B2283" s="119" t="s">
        <v>9503</v>
      </c>
      <c r="C2283" s="119" t="s">
        <v>301</v>
      </c>
      <c r="D2283" t="s">
        <v>45</v>
      </c>
      <c r="E2283" s="117">
        <v>0</v>
      </c>
    </row>
    <row r="2284" spans="1:5" x14ac:dyDescent="0.25">
      <c r="A2284" s="119" t="s">
        <v>2761</v>
      </c>
      <c r="B2284" s="119" t="s">
        <v>9504</v>
      </c>
      <c r="C2284" s="119" t="s">
        <v>66</v>
      </c>
      <c r="D2284" t="s">
        <v>51</v>
      </c>
      <c r="E2284" s="117">
        <v>699</v>
      </c>
    </row>
    <row r="2285" spans="1:5" x14ac:dyDescent="0.25">
      <c r="A2285" s="119" t="s">
        <v>2762</v>
      </c>
      <c r="B2285" s="119" t="s">
        <v>2763</v>
      </c>
      <c r="C2285" s="119" t="s">
        <v>66</v>
      </c>
      <c r="D2285" t="s">
        <v>45</v>
      </c>
      <c r="E2285" s="117">
        <v>0</v>
      </c>
    </row>
    <row r="2286" spans="1:5" x14ac:dyDescent="0.25">
      <c r="A2286" s="119" t="s">
        <v>2764</v>
      </c>
      <c r="B2286" s="119" t="s">
        <v>9505</v>
      </c>
      <c r="C2286" s="119" t="s">
        <v>301</v>
      </c>
      <c r="D2286" t="s">
        <v>45</v>
      </c>
      <c r="E2286" s="117">
        <v>0</v>
      </c>
    </row>
    <row r="2287" spans="1:5" x14ac:dyDescent="0.25">
      <c r="A2287" s="119" t="s">
        <v>2765</v>
      </c>
      <c r="B2287" s="119" t="s">
        <v>9506</v>
      </c>
      <c r="C2287" s="119" t="s">
        <v>301</v>
      </c>
      <c r="D2287" t="s">
        <v>45</v>
      </c>
      <c r="E2287" s="117">
        <v>0</v>
      </c>
    </row>
    <row r="2288" spans="1:5" x14ac:dyDescent="0.25">
      <c r="A2288" s="119" t="s">
        <v>2766</v>
      </c>
      <c r="B2288" s="119" t="s">
        <v>2767</v>
      </c>
      <c r="C2288" s="119" t="s">
        <v>66</v>
      </c>
      <c r="D2288" t="s">
        <v>45</v>
      </c>
      <c r="E2288" s="117">
        <v>0</v>
      </c>
    </row>
    <row r="2289" spans="1:5" x14ac:dyDescent="0.25">
      <c r="A2289" s="119" t="s">
        <v>2768</v>
      </c>
      <c r="B2289" s="119" t="s">
        <v>2769</v>
      </c>
      <c r="C2289" s="119" t="s">
        <v>66</v>
      </c>
      <c r="D2289" t="s">
        <v>45</v>
      </c>
      <c r="E2289" s="117">
        <v>0</v>
      </c>
    </row>
    <row r="2290" spans="1:5" x14ac:dyDescent="0.25">
      <c r="A2290" s="119" t="s">
        <v>2770</v>
      </c>
      <c r="B2290" s="119" t="s">
        <v>9507</v>
      </c>
      <c r="C2290" s="119" t="s">
        <v>66</v>
      </c>
      <c r="D2290" t="s">
        <v>45</v>
      </c>
      <c r="E2290" s="117">
        <v>0</v>
      </c>
    </row>
    <row r="2291" spans="1:5" x14ac:dyDescent="0.25">
      <c r="A2291" s="119" t="s">
        <v>2771</v>
      </c>
      <c r="B2291" s="119" t="s">
        <v>2772</v>
      </c>
      <c r="C2291" s="119" t="s">
        <v>301</v>
      </c>
      <c r="D2291" t="s">
        <v>45</v>
      </c>
      <c r="E2291" s="117">
        <v>0</v>
      </c>
    </row>
    <row r="2292" spans="1:5" x14ac:dyDescent="0.25">
      <c r="A2292" s="119" t="s">
        <v>7475</v>
      </c>
      <c r="B2292" s="119" t="s">
        <v>6578</v>
      </c>
      <c r="C2292" s="119" t="s">
        <v>301</v>
      </c>
      <c r="D2292" t="s">
        <v>6759</v>
      </c>
      <c r="E2292" s="117">
        <v>2251.9899999999998</v>
      </c>
    </row>
    <row r="2293" spans="1:5" x14ac:dyDescent="0.25">
      <c r="A2293" s="119" t="s">
        <v>7476</v>
      </c>
      <c r="B2293" s="119" t="s">
        <v>6578</v>
      </c>
      <c r="C2293" s="119" t="s">
        <v>301</v>
      </c>
      <c r="D2293" t="s">
        <v>6759</v>
      </c>
      <c r="E2293" s="117">
        <v>0</v>
      </c>
    </row>
    <row r="2294" spans="1:5" x14ac:dyDescent="0.25">
      <c r="A2294" s="119" t="s">
        <v>8120</v>
      </c>
      <c r="B2294" s="119" t="s">
        <v>9508</v>
      </c>
      <c r="C2294" s="119" t="s">
        <v>301</v>
      </c>
      <c r="D2294" t="s">
        <v>45</v>
      </c>
      <c r="E2294" s="117">
        <v>0</v>
      </c>
    </row>
    <row r="2295" spans="1:5" x14ac:dyDescent="0.25">
      <c r="A2295" s="119" t="s">
        <v>8121</v>
      </c>
      <c r="B2295" s="119" t="s">
        <v>8122</v>
      </c>
      <c r="C2295" s="119" t="s">
        <v>301</v>
      </c>
      <c r="D2295" t="s">
        <v>45</v>
      </c>
      <c r="E2295" s="117">
        <v>0</v>
      </c>
    </row>
    <row r="2296" spans="1:5" x14ac:dyDescent="0.25">
      <c r="A2296" s="119" t="s">
        <v>2773</v>
      </c>
      <c r="B2296" s="119" t="s">
        <v>9509</v>
      </c>
      <c r="C2296" s="119" t="s">
        <v>301</v>
      </c>
      <c r="D2296" t="s">
        <v>6759</v>
      </c>
      <c r="E2296" s="117">
        <v>859</v>
      </c>
    </row>
    <row r="2297" spans="1:5" x14ac:dyDescent="0.25">
      <c r="A2297" s="119" t="s">
        <v>6267</v>
      </c>
      <c r="B2297" s="119" t="s">
        <v>6268</v>
      </c>
      <c r="C2297" s="119" t="s">
        <v>301</v>
      </c>
      <c r="D2297" t="s">
        <v>6759</v>
      </c>
      <c r="E2297" s="117">
        <v>9999</v>
      </c>
    </row>
    <row r="2298" spans="1:5" x14ac:dyDescent="0.25">
      <c r="A2298" s="119" t="s">
        <v>6315</v>
      </c>
      <c r="B2298" s="119" t="s">
        <v>9510</v>
      </c>
      <c r="C2298" s="119" t="s">
        <v>301</v>
      </c>
      <c r="D2298" t="s">
        <v>6759</v>
      </c>
      <c r="E2298" s="117">
        <v>890.85</v>
      </c>
    </row>
    <row r="2299" spans="1:5" x14ac:dyDescent="0.25">
      <c r="A2299" s="119" t="s">
        <v>6616</v>
      </c>
      <c r="B2299" s="119" t="s">
        <v>6617</v>
      </c>
      <c r="C2299" s="119" t="s">
        <v>301</v>
      </c>
      <c r="D2299" t="s">
        <v>6759</v>
      </c>
      <c r="E2299" s="117">
        <v>9999</v>
      </c>
    </row>
    <row r="2300" spans="1:5" x14ac:dyDescent="0.25">
      <c r="A2300" s="119" t="s">
        <v>2774</v>
      </c>
      <c r="B2300" s="119" t="s">
        <v>9511</v>
      </c>
      <c r="C2300" s="119" t="s">
        <v>301</v>
      </c>
      <c r="D2300" t="s">
        <v>51</v>
      </c>
      <c r="E2300" s="117">
        <v>330.19</v>
      </c>
    </row>
    <row r="2301" spans="1:5" x14ac:dyDescent="0.25">
      <c r="A2301" s="119" t="s">
        <v>2775</v>
      </c>
      <c r="B2301" s="119" t="s">
        <v>9512</v>
      </c>
      <c r="C2301" s="119" t="s">
        <v>301</v>
      </c>
      <c r="D2301" t="s">
        <v>45</v>
      </c>
      <c r="E2301" s="117">
        <v>0</v>
      </c>
    </row>
    <row r="2302" spans="1:5" x14ac:dyDescent="0.25">
      <c r="A2302" s="119" t="s">
        <v>2776</v>
      </c>
      <c r="B2302" s="119" t="s">
        <v>9513</v>
      </c>
      <c r="C2302" s="119" t="s">
        <v>301</v>
      </c>
      <c r="D2302" t="s">
        <v>6760</v>
      </c>
      <c r="E2302" s="117">
        <v>330.19</v>
      </c>
    </row>
    <row r="2303" spans="1:5" x14ac:dyDescent="0.25">
      <c r="A2303" s="119" t="s">
        <v>2777</v>
      </c>
      <c r="B2303" s="119" t="s">
        <v>9514</v>
      </c>
      <c r="C2303" s="119" t="s">
        <v>301</v>
      </c>
      <c r="D2303" t="s">
        <v>6760</v>
      </c>
      <c r="E2303" s="117">
        <v>473.12</v>
      </c>
    </row>
    <row r="2304" spans="1:5" x14ac:dyDescent="0.25">
      <c r="A2304" s="119" t="s">
        <v>2778</v>
      </c>
      <c r="B2304" s="119" t="s">
        <v>9515</v>
      </c>
      <c r="C2304" s="119" t="s">
        <v>301</v>
      </c>
      <c r="D2304" t="s">
        <v>49</v>
      </c>
      <c r="E2304" s="117">
        <v>576.61</v>
      </c>
    </row>
    <row r="2305" spans="1:5" x14ac:dyDescent="0.25">
      <c r="A2305" s="119" t="s">
        <v>2779</v>
      </c>
      <c r="B2305" s="119" t="s">
        <v>9516</v>
      </c>
      <c r="C2305" s="119" t="s">
        <v>301</v>
      </c>
      <c r="D2305" t="s">
        <v>45</v>
      </c>
      <c r="E2305" s="117">
        <v>0</v>
      </c>
    </row>
    <row r="2306" spans="1:5" x14ac:dyDescent="0.25">
      <c r="A2306" s="119" t="s">
        <v>2780</v>
      </c>
      <c r="B2306" s="119" t="s">
        <v>9517</v>
      </c>
      <c r="C2306" s="119" t="s">
        <v>301</v>
      </c>
      <c r="D2306" t="s">
        <v>45</v>
      </c>
      <c r="E2306" s="117">
        <v>0</v>
      </c>
    </row>
    <row r="2307" spans="1:5" x14ac:dyDescent="0.25">
      <c r="A2307" s="119" t="s">
        <v>2781</v>
      </c>
      <c r="B2307" s="119" t="s">
        <v>9518</v>
      </c>
      <c r="C2307" s="119" t="s">
        <v>301</v>
      </c>
      <c r="D2307" t="s">
        <v>45</v>
      </c>
      <c r="E2307" s="117">
        <v>0</v>
      </c>
    </row>
    <row r="2308" spans="1:5" x14ac:dyDescent="0.25">
      <c r="A2308" s="119" t="s">
        <v>2782</v>
      </c>
      <c r="B2308" s="119" t="s">
        <v>2783</v>
      </c>
      <c r="C2308" s="119" t="s">
        <v>301</v>
      </c>
      <c r="D2308" t="s">
        <v>45</v>
      </c>
      <c r="E2308" s="117">
        <v>0</v>
      </c>
    </row>
    <row r="2309" spans="1:5" x14ac:dyDescent="0.25">
      <c r="A2309" s="119" t="s">
        <v>2784</v>
      </c>
      <c r="B2309" s="119" t="s">
        <v>9519</v>
      </c>
      <c r="C2309" s="119" t="s">
        <v>301</v>
      </c>
      <c r="D2309" t="s">
        <v>45</v>
      </c>
      <c r="E2309" s="117">
        <v>0</v>
      </c>
    </row>
    <row r="2310" spans="1:5" x14ac:dyDescent="0.25">
      <c r="A2310" s="119" t="s">
        <v>2785</v>
      </c>
      <c r="B2310" s="119" t="s">
        <v>2786</v>
      </c>
      <c r="C2310" s="119" t="s">
        <v>301</v>
      </c>
      <c r="D2310" t="s">
        <v>45</v>
      </c>
      <c r="E2310" s="117">
        <v>0</v>
      </c>
    </row>
    <row r="2311" spans="1:5" x14ac:dyDescent="0.25">
      <c r="A2311" s="119" t="s">
        <v>2787</v>
      </c>
      <c r="B2311" s="119" t="s">
        <v>2788</v>
      </c>
      <c r="C2311" s="119" t="s">
        <v>301</v>
      </c>
      <c r="D2311" t="s">
        <v>45</v>
      </c>
      <c r="E2311" s="117">
        <v>0</v>
      </c>
    </row>
    <row r="2312" spans="1:5" x14ac:dyDescent="0.25">
      <c r="A2312" s="119" t="s">
        <v>6281</v>
      </c>
      <c r="B2312" s="119" t="s">
        <v>9520</v>
      </c>
      <c r="C2312" s="119" t="s">
        <v>301</v>
      </c>
      <c r="D2312" t="s">
        <v>6759</v>
      </c>
      <c r="E2312" s="117">
        <v>1259</v>
      </c>
    </row>
    <row r="2313" spans="1:5" x14ac:dyDescent="0.25">
      <c r="A2313" s="119" t="s">
        <v>6344</v>
      </c>
      <c r="B2313" s="119" t="s">
        <v>9521</v>
      </c>
      <c r="C2313" s="119" t="s">
        <v>301</v>
      </c>
      <c r="D2313" t="s">
        <v>6759</v>
      </c>
      <c r="E2313" s="117">
        <v>1</v>
      </c>
    </row>
    <row r="2314" spans="1:5" x14ac:dyDescent="0.25">
      <c r="A2314" s="119" t="s">
        <v>8123</v>
      </c>
      <c r="B2314" s="119" t="s">
        <v>9522</v>
      </c>
      <c r="C2314" s="119" t="s">
        <v>301</v>
      </c>
      <c r="D2314" t="s">
        <v>6759</v>
      </c>
      <c r="E2314" s="117">
        <v>1294.5</v>
      </c>
    </row>
    <row r="2315" spans="1:5" x14ac:dyDescent="0.25">
      <c r="A2315" s="119" t="s">
        <v>7477</v>
      </c>
      <c r="B2315" s="119" t="s">
        <v>7478</v>
      </c>
      <c r="C2315" s="119" t="s">
        <v>301</v>
      </c>
      <c r="D2315" t="s">
        <v>6759</v>
      </c>
      <c r="E2315" s="117">
        <v>9999</v>
      </c>
    </row>
    <row r="2316" spans="1:5" x14ac:dyDescent="0.25">
      <c r="A2316" s="119" t="s">
        <v>2789</v>
      </c>
      <c r="B2316" s="119" t="s">
        <v>9523</v>
      </c>
      <c r="C2316" s="119" t="s">
        <v>301</v>
      </c>
      <c r="D2316" t="s">
        <v>45</v>
      </c>
      <c r="E2316" s="117">
        <v>0</v>
      </c>
    </row>
    <row r="2317" spans="1:5" x14ac:dyDescent="0.25">
      <c r="A2317" s="119" t="s">
        <v>2790</v>
      </c>
      <c r="B2317" s="119" t="s">
        <v>9524</v>
      </c>
      <c r="C2317" s="119" t="s">
        <v>301</v>
      </c>
      <c r="D2317" t="s">
        <v>45</v>
      </c>
      <c r="E2317" s="117">
        <v>0</v>
      </c>
    </row>
    <row r="2318" spans="1:5" x14ac:dyDescent="0.25">
      <c r="A2318" s="119" t="s">
        <v>2791</v>
      </c>
      <c r="B2318" s="119" t="s">
        <v>9525</v>
      </c>
      <c r="C2318" s="119" t="s">
        <v>301</v>
      </c>
      <c r="D2318" t="s">
        <v>45</v>
      </c>
      <c r="E2318" s="117">
        <v>0</v>
      </c>
    </row>
    <row r="2319" spans="1:5" x14ac:dyDescent="0.25">
      <c r="A2319" s="119" t="s">
        <v>2792</v>
      </c>
      <c r="B2319" s="119" t="s">
        <v>9526</v>
      </c>
      <c r="C2319" s="119" t="s">
        <v>301</v>
      </c>
      <c r="D2319" t="s">
        <v>45</v>
      </c>
      <c r="E2319" s="117">
        <v>0</v>
      </c>
    </row>
    <row r="2320" spans="1:5" x14ac:dyDescent="0.25">
      <c r="A2320" s="119" t="s">
        <v>2793</v>
      </c>
      <c r="B2320" s="119" t="s">
        <v>9527</v>
      </c>
      <c r="C2320" s="119" t="s">
        <v>301</v>
      </c>
      <c r="D2320" t="s">
        <v>45</v>
      </c>
      <c r="E2320" s="117">
        <v>0</v>
      </c>
    </row>
    <row r="2321" spans="1:5" x14ac:dyDescent="0.25">
      <c r="A2321" s="119" t="s">
        <v>2794</v>
      </c>
      <c r="B2321" s="119" t="s">
        <v>2795</v>
      </c>
      <c r="C2321" s="119" t="s">
        <v>66</v>
      </c>
      <c r="D2321" t="s">
        <v>45</v>
      </c>
      <c r="E2321" s="117">
        <v>630</v>
      </c>
    </row>
    <row r="2322" spans="1:5" x14ac:dyDescent="0.25">
      <c r="A2322" s="119" t="s">
        <v>2796</v>
      </c>
      <c r="B2322" s="119" t="s">
        <v>2797</v>
      </c>
      <c r="C2322" s="119" t="s">
        <v>301</v>
      </c>
      <c r="D2322" t="s">
        <v>45</v>
      </c>
      <c r="E2322" s="117">
        <v>0</v>
      </c>
    </row>
    <row r="2323" spans="1:5" x14ac:dyDescent="0.25">
      <c r="A2323" s="119" t="s">
        <v>2798</v>
      </c>
      <c r="B2323" s="119" t="s">
        <v>2797</v>
      </c>
      <c r="C2323" s="119" t="s">
        <v>301</v>
      </c>
      <c r="D2323" t="s">
        <v>45</v>
      </c>
      <c r="E2323" s="117">
        <v>0</v>
      </c>
    </row>
    <row r="2324" spans="1:5" x14ac:dyDescent="0.25">
      <c r="A2324" s="119" t="s">
        <v>2799</v>
      </c>
      <c r="B2324" s="119" t="s">
        <v>2797</v>
      </c>
      <c r="C2324" s="119" t="s">
        <v>301</v>
      </c>
      <c r="D2324" t="s">
        <v>45</v>
      </c>
      <c r="E2324" s="117">
        <v>0</v>
      </c>
    </row>
    <row r="2325" spans="1:5" x14ac:dyDescent="0.25">
      <c r="A2325" s="119" t="s">
        <v>2800</v>
      </c>
      <c r="B2325" s="119" t="s">
        <v>2801</v>
      </c>
      <c r="C2325" s="119" t="s">
        <v>301</v>
      </c>
      <c r="D2325" t="s">
        <v>45</v>
      </c>
      <c r="E2325" s="117">
        <v>0</v>
      </c>
    </row>
    <row r="2326" spans="1:5" x14ac:dyDescent="0.25">
      <c r="A2326" s="119" t="s">
        <v>2802</v>
      </c>
      <c r="B2326" s="119" t="s">
        <v>2803</v>
      </c>
      <c r="C2326" s="119" t="s">
        <v>301</v>
      </c>
      <c r="D2326" t="s">
        <v>45</v>
      </c>
      <c r="E2326" s="117">
        <v>0</v>
      </c>
    </row>
    <row r="2327" spans="1:5" x14ac:dyDescent="0.25">
      <c r="A2327" s="119" t="s">
        <v>2804</v>
      </c>
      <c r="B2327" s="119" t="s">
        <v>9528</v>
      </c>
      <c r="C2327" s="119" t="s">
        <v>301</v>
      </c>
      <c r="D2327" t="s">
        <v>45</v>
      </c>
      <c r="E2327" s="117">
        <v>0</v>
      </c>
    </row>
    <row r="2328" spans="1:5" x14ac:dyDescent="0.25">
      <c r="A2328" s="119" t="s">
        <v>2805</v>
      </c>
      <c r="B2328" s="119" t="s">
        <v>9529</v>
      </c>
      <c r="C2328" s="119" t="s">
        <v>301</v>
      </c>
      <c r="D2328" t="s">
        <v>45</v>
      </c>
      <c r="E2328" s="117">
        <v>0</v>
      </c>
    </row>
    <row r="2329" spans="1:5" x14ac:dyDescent="0.25">
      <c r="A2329" s="119" t="s">
        <v>2806</v>
      </c>
      <c r="B2329" s="119" t="s">
        <v>9530</v>
      </c>
      <c r="C2329" s="119" t="s">
        <v>301</v>
      </c>
      <c r="D2329" t="s">
        <v>45</v>
      </c>
      <c r="E2329" s="117">
        <v>0</v>
      </c>
    </row>
    <row r="2330" spans="1:5" x14ac:dyDescent="0.25">
      <c r="A2330" s="119" t="s">
        <v>2807</v>
      </c>
      <c r="B2330" s="119" t="s">
        <v>9531</v>
      </c>
      <c r="C2330" s="119" t="s">
        <v>301</v>
      </c>
      <c r="D2330" t="s">
        <v>45</v>
      </c>
      <c r="E2330" s="117">
        <v>0</v>
      </c>
    </row>
    <row r="2331" spans="1:5" x14ac:dyDescent="0.25">
      <c r="A2331" s="119" t="s">
        <v>2808</v>
      </c>
      <c r="B2331" s="119" t="s">
        <v>9532</v>
      </c>
      <c r="C2331" s="119" t="s">
        <v>301</v>
      </c>
      <c r="D2331" t="s">
        <v>45</v>
      </c>
      <c r="E2331" s="117">
        <v>0</v>
      </c>
    </row>
    <row r="2332" spans="1:5" x14ac:dyDescent="0.25">
      <c r="A2332" s="119" t="s">
        <v>2809</v>
      </c>
      <c r="B2332" s="119" t="s">
        <v>9533</v>
      </c>
      <c r="C2332" s="119" t="s">
        <v>301</v>
      </c>
      <c r="D2332" t="s">
        <v>45</v>
      </c>
      <c r="E2332" s="117">
        <v>0</v>
      </c>
    </row>
    <row r="2333" spans="1:5" x14ac:dyDescent="0.25">
      <c r="A2333" s="119" t="s">
        <v>2810</v>
      </c>
      <c r="B2333" s="119" t="s">
        <v>2811</v>
      </c>
      <c r="C2333" s="119" t="s">
        <v>301</v>
      </c>
      <c r="D2333" t="s">
        <v>45</v>
      </c>
      <c r="E2333" s="117">
        <v>0</v>
      </c>
    </row>
    <row r="2334" spans="1:5" x14ac:dyDescent="0.25">
      <c r="A2334" s="119" t="s">
        <v>2812</v>
      </c>
      <c r="B2334" s="119" t="s">
        <v>9534</v>
      </c>
      <c r="C2334" s="119" t="s">
        <v>301</v>
      </c>
      <c r="D2334" t="s">
        <v>45</v>
      </c>
      <c r="E2334" s="117">
        <v>0</v>
      </c>
    </row>
    <row r="2335" spans="1:5" x14ac:dyDescent="0.25">
      <c r="A2335" s="119" t="s">
        <v>2813</v>
      </c>
      <c r="B2335" s="119" t="s">
        <v>9535</v>
      </c>
      <c r="C2335" s="119" t="s">
        <v>301</v>
      </c>
      <c r="D2335" t="s">
        <v>45</v>
      </c>
      <c r="E2335" s="117">
        <v>0</v>
      </c>
    </row>
    <row r="2336" spans="1:5" x14ac:dyDescent="0.25">
      <c r="A2336" s="119" t="s">
        <v>2814</v>
      </c>
      <c r="B2336" s="119" t="s">
        <v>9536</v>
      </c>
      <c r="C2336" s="119" t="s">
        <v>301</v>
      </c>
      <c r="D2336" t="s">
        <v>45</v>
      </c>
      <c r="E2336" s="117">
        <v>0</v>
      </c>
    </row>
    <row r="2337" spans="1:5" x14ac:dyDescent="0.25">
      <c r="A2337" s="119" t="s">
        <v>2815</v>
      </c>
      <c r="B2337" s="119" t="s">
        <v>9537</v>
      </c>
      <c r="C2337" s="119" t="s">
        <v>301</v>
      </c>
      <c r="D2337" t="s">
        <v>45</v>
      </c>
      <c r="E2337" s="117">
        <v>2775.2</v>
      </c>
    </row>
    <row r="2338" spans="1:5" x14ac:dyDescent="0.25">
      <c r="A2338" s="119" t="s">
        <v>2816</v>
      </c>
      <c r="B2338" s="119" t="s">
        <v>9538</v>
      </c>
      <c r="C2338" s="119" t="s">
        <v>301</v>
      </c>
      <c r="D2338" t="s">
        <v>45</v>
      </c>
      <c r="E2338" s="117">
        <v>0</v>
      </c>
    </row>
    <row r="2339" spans="1:5" x14ac:dyDescent="0.25">
      <c r="A2339" s="119" t="s">
        <v>2817</v>
      </c>
      <c r="B2339" s="119" t="s">
        <v>9539</v>
      </c>
      <c r="C2339" s="119" t="s">
        <v>301</v>
      </c>
      <c r="D2339" t="s">
        <v>45</v>
      </c>
      <c r="E2339" s="117">
        <v>6426.79</v>
      </c>
    </row>
    <row r="2340" spans="1:5" x14ac:dyDescent="0.25">
      <c r="A2340" s="119" t="s">
        <v>2818</v>
      </c>
      <c r="B2340" s="119" t="s">
        <v>9540</v>
      </c>
      <c r="C2340" s="119" t="s">
        <v>301</v>
      </c>
      <c r="D2340" t="s">
        <v>45</v>
      </c>
      <c r="E2340" s="117">
        <v>0</v>
      </c>
    </row>
    <row r="2341" spans="1:5" x14ac:dyDescent="0.25">
      <c r="A2341" s="119" t="s">
        <v>2819</v>
      </c>
      <c r="B2341" s="119" t="s">
        <v>2820</v>
      </c>
      <c r="C2341" s="119" t="s">
        <v>301</v>
      </c>
      <c r="D2341" t="s">
        <v>45</v>
      </c>
      <c r="E2341" s="117">
        <v>0</v>
      </c>
    </row>
    <row r="2342" spans="1:5" x14ac:dyDescent="0.25">
      <c r="A2342" s="119" t="s">
        <v>2821</v>
      </c>
      <c r="B2342" s="119" t="s">
        <v>9541</v>
      </c>
      <c r="C2342" s="119" t="s">
        <v>301</v>
      </c>
      <c r="D2342" t="s">
        <v>45</v>
      </c>
      <c r="E2342" s="117">
        <v>0</v>
      </c>
    </row>
    <row r="2343" spans="1:5" x14ac:dyDescent="0.25">
      <c r="A2343" s="119" t="s">
        <v>2822</v>
      </c>
      <c r="B2343" s="119" t="s">
        <v>9542</v>
      </c>
      <c r="C2343" s="119" t="s">
        <v>301</v>
      </c>
      <c r="D2343" t="s">
        <v>45</v>
      </c>
      <c r="E2343" s="117">
        <v>0</v>
      </c>
    </row>
    <row r="2344" spans="1:5" x14ac:dyDescent="0.25">
      <c r="A2344" s="119" t="s">
        <v>2823</v>
      </c>
      <c r="B2344" s="119" t="s">
        <v>9543</v>
      </c>
      <c r="C2344" s="119" t="s">
        <v>301</v>
      </c>
      <c r="D2344" t="s">
        <v>45</v>
      </c>
      <c r="E2344" s="117">
        <v>0</v>
      </c>
    </row>
    <row r="2345" spans="1:5" x14ac:dyDescent="0.25">
      <c r="A2345" s="119" t="s">
        <v>2824</v>
      </c>
      <c r="B2345" s="119" t="s">
        <v>2825</v>
      </c>
      <c r="C2345" s="119" t="s">
        <v>301</v>
      </c>
      <c r="D2345" t="s">
        <v>45</v>
      </c>
      <c r="E2345" s="117">
        <v>0</v>
      </c>
    </row>
    <row r="2346" spans="1:5" x14ac:dyDescent="0.25">
      <c r="A2346" s="119" t="s">
        <v>2826</v>
      </c>
      <c r="B2346" s="119" t="s">
        <v>9544</v>
      </c>
      <c r="C2346" s="119" t="s">
        <v>301</v>
      </c>
      <c r="D2346" t="s">
        <v>45</v>
      </c>
      <c r="E2346" s="117">
        <v>2796.08</v>
      </c>
    </row>
    <row r="2347" spans="1:5" x14ac:dyDescent="0.25">
      <c r="A2347" s="119" t="s">
        <v>2827</v>
      </c>
      <c r="B2347" s="119" t="s">
        <v>9545</v>
      </c>
      <c r="C2347" s="119" t="s">
        <v>301</v>
      </c>
      <c r="D2347" t="s">
        <v>45</v>
      </c>
      <c r="E2347" s="117">
        <v>0</v>
      </c>
    </row>
    <row r="2348" spans="1:5" x14ac:dyDescent="0.25">
      <c r="A2348" s="119" t="s">
        <v>2828</v>
      </c>
      <c r="B2348" s="119" t="s">
        <v>2829</v>
      </c>
      <c r="C2348" s="119" t="s">
        <v>301</v>
      </c>
      <c r="D2348" t="s">
        <v>45</v>
      </c>
      <c r="E2348" s="117">
        <v>0</v>
      </c>
    </row>
    <row r="2349" spans="1:5" x14ac:dyDescent="0.25">
      <c r="A2349" s="119" t="s">
        <v>2830</v>
      </c>
      <c r="B2349" s="119" t="s">
        <v>9546</v>
      </c>
      <c r="C2349" s="119" t="s">
        <v>301</v>
      </c>
      <c r="D2349" t="s">
        <v>45</v>
      </c>
      <c r="E2349" s="117">
        <v>2395.16</v>
      </c>
    </row>
    <row r="2350" spans="1:5" x14ac:dyDescent="0.25">
      <c r="A2350" s="119" t="s">
        <v>2831</v>
      </c>
      <c r="B2350" s="119" t="s">
        <v>9547</v>
      </c>
      <c r="C2350" s="119" t="s">
        <v>301</v>
      </c>
      <c r="D2350" t="s">
        <v>45</v>
      </c>
      <c r="E2350" s="117">
        <v>501.7</v>
      </c>
    </row>
    <row r="2351" spans="1:5" x14ac:dyDescent="0.25">
      <c r="A2351" s="119" t="s">
        <v>2832</v>
      </c>
      <c r="B2351" s="119" t="s">
        <v>2833</v>
      </c>
      <c r="C2351" s="119" t="s">
        <v>301</v>
      </c>
      <c r="D2351" t="s">
        <v>45</v>
      </c>
      <c r="E2351" s="117">
        <v>0</v>
      </c>
    </row>
    <row r="2352" spans="1:5" x14ac:dyDescent="0.25">
      <c r="A2352" s="119" t="s">
        <v>2834</v>
      </c>
      <c r="B2352" s="119" t="s">
        <v>9548</v>
      </c>
      <c r="C2352" s="119" t="s">
        <v>301</v>
      </c>
      <c r="D2352" t="s">
        <v>45</v>
      </c>
      <c r="E2352" s="117">
        <v>0</v>
      </c>
    </row>
    <row r="2353" spans="1:5" x14ac:dyDescent="0.25">
      <c r="A2353" s="119" t="s">
        <v>2835</v>
      </c>
      <c r="B2353" s="119" t="s">
        <v>9549</v>
      </c>
      <c r="C2353" s="119" t="s">
        <v>301</v>
      </c>
      <c r="D2353" t="s">
        <v>45</v>
      </c>
      <c r="E2353" s="117">
        <v>886.11</v>
      </c>
    </row>
    <row r="2354" spans="1:5" x14ac:dyDescent="0.25">
      <c r="A2354" s="119" t="s">
        <v>2836</v>
      </c>
      <c r="B2354" s="119" t="s">
        <v>9550</v>
      </c>
      <c r="C2354" s="119" t="s">
        <v>301</v>
      </c>
      <c r="D2354" t="s">
        <v>45</v>
      </c>
      <c r="E2354" s="117">
        <v>590.4</v>
      </c>
    </row>
    <row r="2355" spans="1:5" x14ac:dyDescent="0.25">
      <c r="A2355" s="119" t="s">
        <v>2837</v>
      </c>
      <c r="B2355" s="119" t="s">
        <v>9551</v>
      </c>
      <c r="C2355" s="119" t="s">
        <v>301</v>
      </c>
      <c r="D2355" t="s">
        <v>45</v>
      </c>
      <c r="E2355" s="117">
        <v>0</v>
      </c>
    </row>
    <row r="2356" spans="1:5" x14ac:dyDescent="0.25">
      <c r="A2356" s="119" t="s">
        <v>2838</v>
      </c>
      <c r="B2356" s="119" t="s">
        <v>2839</v>
      </c>
      <c r="C2356" s="119" t="s">
        <v>66</v>
      </c>
      <c r="D2356" t="s">
        <v>6759</v>
      </c>
      <c r="E2356" s="117">
        <v>249</v>
      </c>
    </row>
    <row r="2357" spans="1:5" x14ac:dyDescent="0.25">
      <c r="A2357" s="119" t="s">
        <v>2840</v>
      </c>
      <c r="B2357" s="119" t="s">
        <v>2841</v>
      </c>
      <c r="C2357" s="119" t="s">
        <v>66</v>
      </c>
      <c r="D2357" t="s">
        <v>6759</v>
      </c>
      <c r="E2357" s="117">
        <v>299</v>
      </c>
    </row>
    <row r="2358" spans="1:5" x14ac:dyDescent="0.25">
      <c r="A2358" s="119" t="s">
        <v>2842</v>
      </c>
      <c r="B2358" s="119" t="s">
        <v>2843</v>
      </c>
      <c r="C2358" s="119" t="s">
        <v>66</v>
      </c>
      <c r="D2358" t="s">
        <v>6759</v>
      </c>
      <c r="E2358" s="117">
        <v>219</v>
      </c>
    </row>
    <row r="2359" spans="1:5" x14ac:dyDescent="0.25">
      <c r="A2359" s="119" t="s">
        <v>2844</v>
      </c>
      <c r="B2359" s="119" t="s">
        <v>2845</v>
      </c>
      <c r="C2359" s="119" t="s">
        <v>301</v>
      </c>
      <c r="D2359" t="s">
        <v>45</v>
      </c>
      <c r="E2359" s="117">
        <v>4750</v>
      </c>
    </row>
    <row r="2360" spans="1:5" x14ac:dyDescent="0.25">
      <c r="A2360" s="119" t="s">
        <v>2846</v>
      </c>
      <c r="B2360" s="119" t="s">
        <v>2847</v>
      </c>
      <c r="C2360" s="119" t="s">
        <v>301</v>
      </c>
      <c r="D2360" t="s">
        <v>45</v>
      </c>
      <c r="E2360" s="117">
        <v>0</v>
      </c>
    </row>
    <row r="2361" spans="1:5" x14ac:dyDescent="0.25">
      <c r="A2361" s="119" t="s">
        <v>2848</v>
      </c>
      <c r="B2361" s="119" t="s">
        <v>9552</v>
      </c>
      <c r="C2361" s="119" t="s">
        <v>301</v>
      </c>
      <c r="D2361" t="s">
        <v>49</v>
      </c>
      <c r="E2361" s="117">
        <v>4804.01</v>
      </c>
    </row>
    <row r="2362" spans="1:5" x14ac:dyDescent="0.25">
      <c r="A2362" s="119" t="s">
        <v>2849</v>
      </c>
      <c r="B2362" s="119" t="s">
        <v>9553</v>
      </c>
      <c r="C2362" s="119" t="s">
        <v>301</v>
      </c>
      <c r="D2362" t="s">
        <v>45</v>
      </c>
      <c r="E2362" s="117">
        <v>5000</v>
      </c>
    </row>
    <row r="2363" spans="1:5" x14ac:dyDescent="0.25">
      <c r="A2363" s="119" t="s">
        <v>2850</v>
      </c>
      <c r="B2363" s="119" t="s">
        <v>2851</v>
      </c>
      <c r="C2363" s="119" t="s">
        <v>301</v>
      </c>
      <c r="D2363" t="s">
        <v>6759</v>
      </c>
      <c r="E2363" s="117">
        <v>9999</v>
      </c>
    </row>
    <row r="2364" spans="1:5" x14ac:dyDescent="0.25">
      <c r="A2364" s="119" t="s">
        <v>2852</v>
      </c>
      <c r="B2364" s="119" t="s">
        <v>2851</v>
      </c>
      <c r="C2364" s="119" t="s">
        <v>301</v>
      </c>
      <c r="D2364" t="s">
        <v>45</v>
      </c>
      <c r="E2364" s="117">
        <v>9999999999</v>
      </c>
    </row>
    <row r="2365" spans="1:5" x14ac:dyDescent="0.25">
      <c r="A2365" s="119" t="s">
        <v>2853</v>
      </c>
      <c r="B2365" s="119" t="s">
        <v>9554</v>
      </c>
      <c r="C2365" s="119" t="s">
        <v>301</v>
      </c>
      <c r="D2365" t="s">
        <v>49</v>
      </c>
      <c r="E2365" s="117">
        <v>2999</v>
      </c>
    </row>
    <row r="2366" spans="1:5" x14ac:dyDescent="0.25">
      <c r="A2366" s="119" t="s">
        <v>6277</v>
      </c>
      <c r="B2366" s="119" t="s">
        <v>6278</v>
      </c>
      <c r="C2366" s="119" t="s">
        <v>301</v>
      </c>
      <c r="D2366" t="s">
        <v>45</v>
      </c>
      <c r="E2366" s="117">
        <v>1</v>
      </c>
    </row>
    <row r="2367" spans="1:5" x14ac:dyDescent="0.25">
      <c r="A2367" s="119" t="s">
        <v>2854</v>
      </c>
      <c r="B2367" s="119" t="s">
        <v>9555</v>
      </c>
      <c r="C2367" s="119" t="s">
        <v>301</v>
      </c>
      <c r="D2367" t="s">
        <v>45</v>
      </c>
      <c r="E2367" s="117">
        <v>491.84</v>
      </c>
    </row>
    <row r="2368" spans="1:5" x14ac:dyDescent="0.25">
      <c r="A2368" s="119" t="s">
        <v>2855</v>
      </c>
      <c r="B2368" s="119" t="s">
        <v>9556</v>
      </c>
      <c r="C2368" s="119" t="s">
        <v>301</v>
      </c>
      <c r="D2368" t="s">
        <v>45</v>
      </c>
      <c r="E2368" s="117">
        <v>0</v>
      </c>
    </row>
    <row r="2369" spans="1:5" x14ac:dyDescent="0.25">
      <c r="A2369" s="119" t="s">
        <v>2856</v>
      </c>
      <c r="B2369" s="119" t="s">
        <v>9557</v>
      </c>
      <c r="C2369" s="119" t="s">
        <v>301</v>
      </c>
      <c r="D2369" t="s">
        <v>45</v>
      </c>
      <c r="E2369" s="117">
        <v>639.69000000000005</v>
      </c>
    </row>
    <row r="2370" spans="1:5" x14ac:dyDescent="0.25">
      <c r="A2370" s="119" t="s">
        <v>2857</v>
      </c>
      <c r="B2370" s="119" t="s">
        <v>2858</v>
      </c>
      <c r="C2370" s="119" t="s">
        <v>301</v>
      </c>
      <c r="D2370" t="s">
        <v>45</v>
      </c>
      <c r="E2370" s="117">
        <v>0</v>
      </c>
    </row>
    <row r="2371" spans="1:5" x14ac:dyDescent="0.25">
      <c r="A2371" s="119" t="s">
        <v>2859</v>
      </c>
      <c r="B2371" s="119" t="s">
        <v>9558</v>
      </c>
      <c r="C2371" s="119" t="s">
        <v>301</v>
      </c>
      <c r="D2371" t="s">
        <v>6759</v>
      </c>
      <c r="E2371" s="117">
        <v>2400</v>
      </c>
    </row>
    <row r="2372" spans="1:5" x14ac:dyDescent="0.25">
      <c r="A2372" s="119" t="s">
        <v>2860</v>
      </c>
      <c r="B2372" s="119" t="s">
        <v>9559</v>
      </c>
      <c r="C2372" s="119" t="s">
        <v>301</v>
      </c>
      <c r="D2372" t="s">
        <v>6759</v>
      </c>
      <c r="E2372" s="117">
        <v>1</v>
      </c>
    </row>
    <row r="2373" spans="1:5" x14ac:dyDescent="0.25">
      <c r="A2373" s="119" t="s">
        <v>2861</v>
      </c>
      <c r="B2373" s="119" t="s">
        <v>9560</v>
      </c>
      <c r="C2373" s="119" t="s">
        <v>301</v>
      </c>
      <c r="D2373" t="s">
        <v>45</v>
      </c>
      <c r="E2373" s="117">
        <v>245.43</v>
      </c>
    </row>
    <row r="2374" spans="1:5" x14ac:dyDescent="0.25">
      <c r="A2374" s="119" t="s">
        <v>2862</v>
      </c>
      <c r="B2374" s="119" t="s">
        <v>9561</v>
      </c>
      <c r="C2374" s="119" t="s">
        <v>301</v>
      </c>
      <c r="D2374" t="s">
        <v>45</v>
      </c>
      <c r="E2374" s="117">
        <v>0</v>
      </c>
    </row>
    <row r="2375" spans="1:5" x14ac:dyDescent="0.25">
      <c r="A2375" s="119" t="s">
        <v>2863</v>
      </c>
      <c r="B2375" s="119" t="s">
        <v>9562</v>
      </c>
      <c r="C2375" s="119" t="s">
        <v>301</v>
      </c>
      <c r="D2375" t="s">
        <v>45</v>
      </c>
      <c r="E2375" s="117">
        <v>0</v>
      </c>
    </row>
    <row r="2376" spans="1:5" x14ac:dyDescent="0.25">
      <c r="A2376" s="119" t="s">
        <v>2864</v>
      </c>
      <c r="B2376" s="119" t="s">
        <v>9563</v>
      </c>
      <c r="C2376" s="119" t="s">
        <v>301</v>
      </c>
      <c r="D2376" t="s">
        <v>45</v>
      </c>
      <c r="E2376" s="117">
        <v>836.83</v>
      </c>
    </row>
    <row r="2377" spans="1:5" x14ac:dyDescent="0.25">
      <c r="A2377" s="119" t="s">
        <v>2865</v>
      </c>
      <c r="B2377" s="119" t="s">
        <v>9564</v>
      </c>
      <c r="C2377" s="119" t="s">
        <v>301</v>
      </c>
      <c r="D2377" t="s">
        <v>45</v>
      </c>
      <c r="E2377" s="117">
        <v>0</v>
      </c>
    </row>
    <row r="2378" spans="1:5" x14ac:dyDescent="0.25">
      <c r="A2378" s="119" t="s">
        <v>2866</v>
      </c>
      <c r="B2378" s="119" t="s">
        <v>9565</v>
      </c>
      <c r="C2378" s="119" t="s">
        <v>301</v>
      </c>
      <c r="D2378" t="s">
        <v>6759</v>
      </c>
      <c r="E2378" s="117">
        <v>822.03</v>
      </c>
    </row>
    <row r="2379" spans="1:5" x14ac:dyDescent="0.25">
      <c r="A2379" s="119" t="s">
        <v>2867</v>
      </c>
      <c r="B2379" s="119" t="s">
        <v>9566</v>
      </c>
      <c r="C2379" s="119" t="s">
        <v>301</v>
      </c>
      <c r="D2379" t="s">
        <v>45</v>
      </c>
      <c r="E2379" s="117">
        <v>822.03</v>
      </c>
    </row>
    <row r="2380" spans="1:5" x14ac:dyDescent="0.25">
      <c r="A2380" s="119" t="s">
        <v>2868</v>
      </c>
      <c r="B2380" s="119" t="s">
        <v>9567</v>
      </c>
      <c r="C2380" s="119" t="s">
        <v>301</v>
      </c>
      <c r="D2380" t="s">
        <v>45</v>
      </c>
      <c r="E2380" s="117">
        <v>0</v>
      </c>
    </row>
    <row r="2381" spans="1:5" x14ac:dyDescent="0.25">
      <c r="A2381" s="119" t="s">
        <v>2869</v>
      </c>
      <c r="B2381" s="119" t="s">
        <v>9568</v>
      </c>
      <c r="C2381" s="119" t="s">
        <v>301</v>
      </c>
      <c r="D2381" t="s">
        <v>45</v>
      </c>
      <c r="E2381" s="117">
        <v>0</v>
      </c>
    </row>
    <row r="2382" spans="1:5" x14ac:dyDescent="0.25">
      <c r="A2382" s="119" t="s">
        <v>2870</v>
      </c>
      <c r="B2382" s="119" t="s">
        <v>9569</v>
      </c>
      <c r="C2382" s="119" t="s">
        <v>301</v>
      </c>
      <c r="D2382" t="s">
        <v>45</v>
      </c>
      <c r="E2382" s="117">
        <v>0</v>
      </c>
    </row>
    <row r="2383" spans="1:5" x14ac:dyDescent="0.25">
      <c r="A2383" s="119" t="s">
        <v>2871</v>
      </c>
      <c r="B2383" s="119" t="s">
        <v>9570</v>
      </c>
      <c r="C2383" s="119" t="s">
        <v>301</v>
      </c>
      <c r="D2383" t="s">
        <v>45</v>
      </c>
      <c r="E2383" s="117">
        <v>822.03</v>
      </c>
    </row>
    <row r="2384" spans="1:5" x14ac:dyDescent="0.25">
      <c r="A2384" s="119" t="s">
        <v>2872</v>
      </c>
      <c r="B2384" s="119" t="s">
        <v>2873</v>
      </c>
      <c r="C2384" s="119" t="s">
        <v>301</v>
      </c>
      <c r="D2384" t="s">
        <v>45</v>
      </c>
      <c r="E2384" s="117">
        <v>0</v>
      </c>
    </row>
    <row r="2385" spans="1:5" x14ac:dyDescent="0.25">
      <c r="A2385" s="119" t="s">
        <v>2874</v>
      </c>
      <c r="B2385" s="119" t="s">
        <v>9571</v>
      </c>
      <c r="C2385" s="119" t="s">
        <v>301</v>
      </c>
      <c r="D2385" t="s">
        <v>49</v>
      </c>
      <c r="E2385" s="117">
        <v>733.95</v>
      </c>
    </row>
    <row r="2386" spans="1:5" x14ac:dyDescent="0.25">
      <c r="A2386" s="119" t="s">
        <v>2875</v>
      </c>
      <c r="B2386" s="119" t="s">
        <v>9572</v>
      </c>
      <c r="C2386" s="119" t="s">
        <v>301</v>
      </c>
      <c r="D2386" t="s">
        <v>45</v>
      </c>
      <c r="E2386" s="117">
        <v>2099</v>
      </c>
    </row>
    <row r="2387" spans="1:5" x14ac:dyDescent="0.25">
      <c r="A2387" s="119" t="s">
        <v>2876</v>
      </c>
      <c r="B2387" s="119" t="s">
        <v>2873</v>
      </c>
      <c r="C2387" s="119" t="s">
        <v>301</v>
      </c>
      <c r="D2387" t="s">
        <v>45</v>
      </c>
      <c r="E2387" s="117">
        <v>901.95</v>
      </c>
    </row>
    <row r="2388" spans="1:5" x14ac:dyDescent="0.25">
      <c r="A2388" s="119" t="s">
        <v>2877</v>
      </c>
      <c r="B2388" s="119" t="s">
        <v>2873</v>
      </c>
      <c r="C2388" s="119" t="s">
        <v>301</v>
      </c>
      <c r="D2388" t="s">
        <v>45</v>
      </c>
      <c r="E2388" s="117">
        <v>0</v>
      </c>
    </row>
    <row r="2389" spans="1:5" x14ac:dyDescent="0.25">
      <c r="A2389" s="119" t="s">
        <v>2878</v>
      </c>
      <c r="B2389" s="119" t="s">
        <v>9573</v>
      </c>
      <c r="C2389" s="119" t="s">
        <v>301</v>
      </c>
      <c r="D2389" t="s">
        <v>6759</v>
      </c>
      <c r="E2389" s="117">
        <v>901.95</v>
      </c>
    </row>
    <row r="2390" spans="1:5" x14ac:dyDescent="0.25">
      <c r="A2390" s="119" t="s">
        <v>2879</v>
      </c>
      <c r="B2390" s="119" t="s">
        <v>2873</v>
      </c>
      <c r="C2390" s="119" t="s">
        <v>301</v>
      </c>
      <c r="D2390" t="s">
        <v>45</v>
      </c>
      <c r="E2390" s="117">
        <v>999999</v>
      </c>
    </row>
    <row r="2391" spans="1:5" x14ac:dyDescent="0.25">
      <c r="A2391" s="119" t="s">
        <v>2880</v>
      </c>
      <c r="B2391" s="119" t="s">
        <v>9574</v>
      </c>
      <c r="C2391" s="119" t="s">
        <v>301</v>
      </c>
      <c r="D2391" t="s">
        <v>6760</v>
      </c>
      <c r="E2391" s="117">
        <v>901.95</v>
      </c>
    </row>
    <row r="2392" spans="1:5" x14ac:dyDescent="0.25">
      <c r="A2392" s="119" t="s">
        <v>6727</v>
      </c>
      <c r="B2392" s="119" t="s">
        <v>9575</v>
      </c>
      <c r="C2392" s="119" t="s">
        <v>301</v>
      </c>
      <c r="D2392" t="s">
        <v>49</v>
      </c>
      <c r="E2392" s="117">
        <v>2500</v>
      </c>
    </row>
    <row r="2393" spans="1:5" x14ac:dyDescent="0.25">
      <c r="A2393" s="119" t="s">
        <v>6579</v>
      </c>
      <c r="B2393" s="119" t="s">
        <v>6889</v>
      </c>
      <c r="C2393" s="119" t="s">
        <v>301</v>
      </c>
      <c r="D2393" t="s">
        <v>6759</v>
      </c>
      <c r="E2393" s="117">
        <v>9999</v>
      </c>
    </row>
    <row r="2394" spans="1:5" x14ac:dyDescent="0.25">
      <c r="A2394" s="119" t="s">
        <v>2881</v>
      </c>
      <c r="B2394" s="119" t="s">
        <v>9576</v>
      </c>
      <c r="C2394" s="119" t="s">
        <v>301</v>
      </c>
      <c r="D2394" t="s">
        <v>45</v>
      </c>
      <c r="E2394" s="117">
        <v>0</v>
      </c>
    </row>
    <row r="2395" spans="1:5" x14ac:dyDescent="0.25">
      <c r="A2395" s="119" t="s">
        <v>2882</v>
      </c>
      <c r="B2395" s="119" t="s">
        <v>9577</v>
      </c>
      <c r="C2395" s="119" t="s">
        <v>301</v>
      </c>
      <c r="D2395" t="s">
        <v>45</v>
      </c>
      <c r="E2395" s="117">
        <v>0</v>
      </c>
    </row>
    <row r="2396" spans="1:5" x14ac:dyDescent="0.25">
      <c r="A2396" s="119" t="s">
        <v>2883</v>
      </c>
      <c r="B2396" s="119" t="s">
        <v>9578</v>
      </c>
      <c r="C2396" s="119" t="s">
        <v>301</v>
      </c>
      <c r="D2396" t="s">
        <v>45</v>
      </c>
      <c r="E2396" s="117">
        <v>261.45</v>
      </c>
    </row>
    <row r="2397" spans="1:5" x14ac:dyDescent="0.25">
      <c r="A2397" s="119" t="s">
        <v>2884</v>
      </c>
      <c r="B2397" s="119" t="s">
        <v>2885</v>
      </c>
      <c r="C2397" s="119" t="s">
        <v>301</v>
      </c>
      <c r="D2397" t="s">
        <v>45</v>
      </c>
      <c r="E2397" s="117">
        <v>0</v>
      </c>
    </row>
    <row r="2398" spans="1:5" x14ac:dyDescent="0.25">
      <c r="A2398" s="119" t="s">
        <v>2886</v>
      </c>
      <c r="B2398" s="119" t="s">
        <v>9579</v>
      </c>
      <c r="C2398" s="119" t="s">
        <v>301</v>
      </c>
      <c r="D2398" t="s">
        <v>45</v>
      </c>
      <c r="E2398" s="117">
        <v>561.5</v>
      </c>
    </row>
    <row r="2399" spans="1:5" x14ac:dyDescent="0.25">
      <c r="A2399" s="119" t="s">
        <v>2887</v>
      </c>
      <c r="B2399" s="119" t="s">
        <v>9580</v>
      </c>
      <c r="C2399" s="119" t="s">
        <v>301</v>
      </c>
      <c r="D2399" t="s">
        <v>45</v>
      </c>
      <c r="E2399" s="117">
        <v>292.27999999999997</v>
      </c>
    </row>
    <row r="2400" spans="1:5" x14ac:dyDescent="0.25">
      <c r="A2400" s="119" t="s">
        <v>2888</v>
      </c>
      <c r="B2400" s="119" t="s">
        <v>2885</v>
      </c>
      <c r="C2400" s="119" t="s">
        <v>301</v>
      </c>
      <c r="D2400" t="s">
        <v>45</v>
      </c>
      <c r="E2400" s="117">
        <v>0</v>
      </c>
    </row>
    <row r="2401" spans="1:5" x14ac:dyDescent="0.25">
      <c r="A2401" s="119" t="s">
        <v>2889</v>
      </c>
      <c r="B2401" s="119" t="s">
        <v>9581</v>
      </c>
      <c r="C2401" s="119" t="s">
        <v>301</v>
      </c>
      <c r="D2401" t="s">
        <v>45</v>
      </c>
      <c r="E2401" s="117">
        <v>691.95</v>
      </c>
    </row>
    <row r="2402" spans="1:5" x14ac:dyDescent="0.25">
      <c r="A2402" s="119" t="s">
        <v>2890</v>
      </c>
      <c r="B2402" s="119" t="s">
        <v>9582</v>
      </c>
      <c r="C2402" s="119" t="s">
        <v>301</v>
      </c>
      <c r="D2402" t="s">
        <v>45</v>
      </c>
      <c r="E2402" s="117">
        <v>334.24</v>
      </c>
    </row>
    <row r="2403" spans="1:5" x14ac:dyDescent="0.25">
      <c r="A2403" s="119" t="s">
        <v>2891</v>
      </c>
      <c r="B2403" s="119" t="s">
        <v>9583</v>
      </c>
      <c r="C2403" s="119" t="s">
        <v>301</v>
      </c>
      <c r="D2403" t="s">
        <v>6760</v>
      </c>
      <c r="E2403" s="117">
        <v>334.24</v>
      </c>
    </row>
    <row r="2404" spans="1:5" x14ac:dyDescent="0.25">
      <c r="A2404" s="119" t="s">
        <v>2892</v>
      </c>
      <c r="B2404" s="119" t="s">
        <v>9584</v>
      </c>
      <c r="C2404" s="119" t="s">
        <v>301</v>
      </c>
      <c r="D2404" t="s">
        <v>45</v>
      </c>
      <c r="E2404" s="117">
        <v>544.95000000000005</v>
      </c>
    </row>
    <row r="2405" spans="1:5" x14ac:dyDescent="0.25">
      <c r="A2405" s="119" t="s">
        <v>2893</v>
      </c>
      <c r="B2405" s="119" t="s">
        <v>2894</v>
      </c>
      <c r="C2405" s="119" t="s">
        <v>301</v>
      </c>
      <c r="D2405" t="s">
        <v>45</v>
      </c>
      <c r="E2405" s="117">
        <v>0</v>
      </c>
    </row>
    <row r="2406" spans="1:5" x14ac:dyDescent="0.25">
      <c r="A2406" s="119" t="s">
        <v>2895</v>
      </c>
      <c r="B2406" s="119" t="s">
        <v>9585</v>
      </c>
      <c r="C2406" s="119" t="s">
        <v>301</v>
      </c>
      <c r="D2406" t="s">
        <v>49</v>
      </c>
      <c r="E2406" s="117">
        <v>607.95000000000005</v>
      </c>
    </row>
    <row r="2407" spans="1:5" x14ac:dyDescent="0.25">
      <c r="A2407" s="119" t="s">
        <v>2896</v>
      </c>
      <c r="B2407" s="119" t="s">
        <v>2894</v>
      </c>
      <c r="C2407" s="119" t="s">
        <v>301</v>
      </c>
      <c r="D2407" t="s">
        <v>45</v>
      </c>
      <c r="E2407" s="117">
        <v>999999</v>
      </c>
    </row>
    <row r="2408" spans="1:5" x14ac:dyDescent="0.25">
      <c r="A2408" s="119" t="s">
        <v>2897</v>
      </c>
      <c r="B2408" s="119" t="s">
        <v>9586</v>
      </c>
      <c r="C2408" s="119" t="s">
        <v>301</v>
      </c>
      <c r="D2408" t="s">
        <v>49</v>
      </c>
      <c r="E2408" s="117">
        <v>607.95000000000005</v>
      </c>
    </row>
    <row r="2409" spans="1:5" x14ac:dyDescent="0.25">
      <c r="A2409" s="119" t="s">
        <v>2898</v>
      </c>
      <c r="B2409" s="119" t="s">
        <v>2894</v>
      </c>
      <c r="C2409" s="119" t="s">
        <v>301</v>
      </c>
      <c r="D2409" t="s">
        <v>45</v>
      </c>
      <c r="E2409" s="117">
        <v>999999</v>
      </c>
    </row>
    <row r="2410" spans="1:5" x14ac:dyDescent="0.25">
      <c r="A2410" s="119" t="s">
        <v>2899</v>
      </c>
      <c r="B2410" s="119" t="s">
        <v>9587</v>
      </c>
      <c r="C2410" s="119" t="s">
        <v>301</v>
      </c>
      <c r="D2410" t="s">
        <v>49</v>
      </c>
      <c r="E2410" s="117">
        <v>607.95000000000005</v>
      </c>
    </row>
    <row r="2411" spans="1:5" x14ac:dyDescent="0.25">
      <c r="A2411" s="119" t="s">
        <v>2900</v>
      </c>
      <c r="B2411" s="119" t="s">
        <v>2894</v>
      </c>
      <c r="C2411" s="119" t="s">
        <v>301</v>
      </c>
      <c r="D2411" t="s">
        <v>45</v>
      </c>
      <c r="E2411" s="117">
        <v>999999</v>
      </c>
    </row>
    <row r="2412" spans="1:5" x14ac:dyDescent="0.25">
      <c r="A2412" s="119" t="s">
        <v>2901</v>
      </c>
      <c r="B2412" s="119" t="s">
        <v>9588</v>
      </c>
      <c r="C2412" s="119" t="s">
        <v>301</v>
      </c>
      <c r="D2412" t="s">
        <v>45</v>
      </c>
      <c r="E2412" s="117">
        <v>834.65</v>
      </c>
    </row>
    <row r="2413" spans="1:5" x14ac:dyDescent="0.25">
      <c r="A2413" s="119" t="s">
        <v>2902</v>
      </c>
      <c r="B2413" s="119" t="s">
        <v>9589</v>
      </c>
      <c r="C2413" s="119" t="s">
        <v>301</v>
      </c>
      <c r="D2413" t="s">
        <v>45</v>
      </c>
      <c r="E2413" s="117">
        <v>523.95000000000005</v>
      </c>
    </row>
    <row r="2414" spans="1:5" x14ac:dyDescent="0.25">
      <c r="A2414" s="119" t="s">
        <v>2903</v>
      </c>
      <c r="B2414" s="119" t="s">
        <v>2904</v>
      </c>
      <c r="C2414" s="119" t="s">
        <v>301</v>
      </c>
      <c r="D2414" t="s">
        <v>45</v>
      </c>
      <c r="E2414" s="117">
        <v>0</v>
      </c>
    </row>
    <row r="2415" spans="1:5" x14ac:dyDescent="0.25">
      <c r="A2415" s="119" t="s">
        <v>2905</v>
      </c>
      <c r="B2415" s="119" t="s">
        <v>9590</v>
      </c>
      <c r="C2415" s="119" t="s">
        <v>301</v>
      </c>
      <c r="D2415" t="s">
        <v>45</v>
      </c>
      <c r="E2415" s="117">
        <v>0</v>
      </c>
    </row>
    <row r="2416" spans="1:5" x14ac:dyDescent="0.25">
      <c r="A2416" s="119" t="s">
        <v>2906</v>
      </c>
      <c r="B2416" s="119" t="s">
        <v>9591</v>
      </c>
      <c r="C2416" s="119" t="s">
        <v>301</v>
      </c>
      <c r="D2416" t="s">
        <v>45</v>
      </c>
      <c r="E2416" s="117">
        <v>0</v>
      </c>
    </row>
    <row r="2417" spans="1:5" x14ac:dyDescent="0.25">
      <c r="A2417" s="119" t="s">
        <v>7479</v>
      </c>
      <c r="B2417" s="119" t="s">
        <v>9592</v>
      </c>
      <c r="C2417" s="119" t="s">
        <v>301</v>
      </c>
      <c r="D2417" t="s">
        <v>6760</v>
      </c>
      <c r="E2417" s="117">
        <v>380</v>
      </c>
    </row>
    <row r="2418" spans="1:5" x14ac:dyDescent="0.25">
      <c r="A2418" s="119" t="s">
        <v>7480</v>
      </c>
      <c r="B2418" s="119" t="s">
        <v>2873</v>
      </c>
      <c r="C2418" s="119" t="s">
        <v>301</v>
      </c>
      <c r="D2418" t="s">
        <v>6759</v>
      </c>
      <c r="E2418" s="117">
        <v>999999</v>
      </c>
    </row>
    <row r="2419" spans="1:5" x14ac:dyDescent="0.25">
      <c r="A2419" s="119" t="s">
        <v>11904</v>
      </c>
      <c r="B2419" s="119" t="s">
        <v>11905</v>
      </c>
      <c r="C2419" s="119" t="s">
        <v>301</v>
      </c>
      <c r="D2419" t="s">
        <v>45</v>
      </c>
      <c r="E2419" s="117">
        <v>0</v>
      </c>
    </row>
    <row r="2420" spans="1:5" x14ac:dyDescent="0.25">
      <c r="A2420" s="119" t="s">
        <v>2907</v>
      </c>
      <c r="B2420" s="119" t="s">
        <v>9593</v>
      </c>
      <c r="C2420" s="119" t="s">
        <v>301</v>
      </c>
      <c r="D2420" t="s">
        <v>51</v>
      </c>
      <c r="E2420" s="117">
        <v>755</v>
      </c>
    </row>
    <row r="2421" spans="1:5" x14ac:dyDescent="0.25">
      <c r="A2421" s="119" t="s">
        <v>2908</v>
      </c>
      <c r="B2421" s="119" t="s">
        <v>2909</v>
      </c>
      <c r="C2421" s="119" t="s">
        <v>301</v>
      </c>
      <c r="D2421" t="s">
        <v>45</v>
      </c>
      <c r="E2421" s="117">
        <v>1048.95</v>
      </c>
    </row>
    <row r="2422" spans="1:5" x14ac:dyDescent="0.25">
      <c r="A2422" s="119" t="s">
        <v>2910</v>
      </c>
      <c r="B2422" s="119" t="s">
        <v>2911</v>
      </c>
      <c r="C2422" s="119" t="s">
        <v>66</v>
      </c>
      <c r="D2422" t="s">
        <v>6759</v>
      </c>
      <c r="E2422" s="117">
        <v>132.5</v>
      </c>
    </row>
    <row r="2423" spans="1:5" x14ac:dyDescent="0.25">
      <c r="A2423" s="119" t="s">
        <v>2912</v>
      </c>
      <c r="B2423" s="119" t="s">
        <v>9594</v>
      </c>
      <c r="C2423" s="119" t="s">
        <v>301</v>
      </c>
      <c r="D2423" t="s">
        <v>45</v>
      </c>
      <c r="E2423" s="117">
        <v>555.91</v>
      </c>
    </row>
    <row r="2424" spans="1:5" x14ac:dyDescent="0.25">
      <c r="A2424" s="119" t="s">
        <v>2913</v>
      </c>
      <c r="B2424" s="119" t="s">
        <v>9595</v>
      </c>
      <c r="C2424" s="119" t="s">
        <v>301</v>
      </c>
      <c r="D2424" t="s">
        <v>45</v>
      </c>
      <c r="E2424" s="117">
        <v>225.72</v>
      </c>
    </row>
    <row r="2425" spans="1:5" x14ac:dyDescent="0.25">
      <c r="A2425" s="119" t="s">
        <v>2914</v>
      </c>
      <c r="B2425" s="119" t="s">
        <v>9596</v>
      </c>
      <c r="C2425" s="119" t="s">
        <v>301</v>
      </c>
      <c r="D2425" t="s">
        <v>6759</v>
      </c>
      <c r="E2425" s="117">
        <v>2660.29</v>
      </c>
    </row>
    <row r="2426" spans="1:5" x14ac:dyDescent="0.25">
      <c r="A2426" s="119" t="s">
        <v>2915</v>
      </c>
      <c r="B2426" s="119" t="s">
        <v>9597</v>
      </c>
      <c r="C2426" s="119" t="s">
        <v>301</v>
      </c>
      <c r="D2426" t="s">
        <v>45</v>
      </c>
      <c r="E2426" s="117">
        <v>2660.29</v>
      </c>
    </row>
    <row r="2427" spans="1:5" x14ac:dyDescent="0.25">
      <c r="A2427" s="119" t="s">
        <v>12199</v>
      </c>
      <c r="B2427" s="119" t="s">
        <v>12200</v>
      </c>
      <c r="C2427" s="119" t="s">
        <v>301</v>
      </c>
      <c r="D2427" t="s">
        <v>45</v>
      </c>
      <c r="E2427" s="117">
        <v>9999</v>
      </c>
    </row>
    <row r="2428" spans="1:5" x14ac:dyDescent="0.25">
      <c r="A2428" s="119" t="s">
        <v>12005</v>
      </c>
      <c r="B2428" s="119" t="s">
        <v>12006</v>
      </c>
      <c r="C2428" s="119" t="s">
        <v>301</v>
      </c>
      <c r="D2428" t="s">
        <v>45</v>
      </c>
      <c r="E2428" s="117">
        <v>9999</v>
      </c>
    </row>
    <row r="2429" spans="1:5" x14ac:dyDescent="0.25">
      <c r="A2429" s="119" t="s">
        <v>2916</v>
      </c>
      <c r="B2429" s="119" t="s">
        <v>9598</v>
      </c>
      <c r="C2429" s="119" t="s">
        <v>301</v>
      </c>
      <c r="D2429" t="s">
        <v>45</v>
      </c>
      <c r="E2429" s="117">
        <v>0</v>
      </c>
    </row>
    <row r="2430" spans="1:5" x14ac:dyDescent="0.25">
      <c r="A2430" s="119" t="s">
        <v>2917</v>
      </c>
      <c r="B2430" s="119" t="s">
        <v>9599</v>
      </c>
      <c r="C2430" s="119" t="s">
        <v>301</v>
      </c>
      <c r="D2430" t="s">
        <v>45</v>
      </c>
      <c r="E2430" s="117">
        <v>0</v>
      </c>
    </row>
    <row r="2431" spans="1:5" x14ac:dyDescent="0.25">
      <c r="A2431" s="119" t="s">
        <v>2918</v>
      </c>
      <c r="B2431" s="119" t="s">
        <v>9600</v>
      </c>
      <c r="C2431" s="119" t="s">
        <v>301</v>
      </c>
      <c r="D2431" t="s">
        <v>6759</v>
      </c>
      <c r="E2431" s="117">
        <v>654.48</v>
      </c>
    </row>
    <row r="2432" spans="1:5" x14ac:dyDescent="0.25">
      <c r="A2432" s="119" t="s">
        <v>2919</v>
      </c>
      <c r="B2432" s="119" t="s">
        <v>9601</v>
      </c>
      <c r="C2432" s="119" t="s">
        <v>301</v>
      </c>
      <c r="D2432" t="s">
        <v>6759</v>
      </c>
      <c r="E2432" s="117">
        <v>654.48</v>
      </c>
    </row>
    <row r="2433" spans="1:5" x14ac:dyDescent="0.25">
      <c r="A2433" s="119" t="s">
        <v>2920</v>
      </c>
      <c r="B2433" s="119" t="s">
        <v>9602</v>
      </c>
      <c r="C2433" s="119" t="s">
        <v>301</v>
      </c>
      <c r="D2433" t="s">
        <v>45</v>
      </c>
      <c r="E2433" s="117">
        <v>654.48</v>
      </c>
    </row>
    <row r="2434" spans="1:5" x14ac:dyDescent="0.25">
      <c r="A2434" s="119" t="s">
        <v>2921</v>
      </c>
      <c r="B2434" s="119" t="s">
        <v>9603</v>
      </c>
      <c r="C2434" s="119" t="s">
        <v>301</v>
      </c>
      <c r="D2434" t="s">
        <v>45</v>
      </c>
      <c r="E2434" s="117">
        <v>654.48</v>
      </c>
    </row>
    <row r="2435" spans="1:5" x14ac:dyDescent="0.25">
      <c r="A2435" s="119" t="s">
        <v>2922</v>
      </c>
      <c r="B2435" s="119" t="s">
        <v>9604</v>
      </c>
      <c r="C2435" s="119" t="s">
        <v>301</v>
      </c>
      <c r="D2435" t="s">
        <v>6759</v>
      </c>
      <c r="E2435" s="117">
        <v>654.48</v>
      </c>
    </row>
    <row r="2436" spans="1:5" x14ac:dyDescent="0.25">
      <c r="A2436" s="119" t="s">
        <v>2923</v>
      </c>
      <c r="B2436" s="119" t="s">
        <v>9605</v>
      </c>
      <c r="C2436" s="119" t="s">
        <v>301</v>
      </c>
      <c r="D2436" t="s">
        <v>6759</v>
      </c>
      <c r="E2436" s="117">
        <v>654.48</v>
      </c>
    </row>
    <row r="2437" spans="1:5" x14ac:dyDescent="0.25">
      <c r="A2437" s="119" t="s">
        <v>2924</v>
      </c>
      <c r="B2437" s="119" t="s">
        <v>7481</v>
      </c>
      <c r="C2437" s="119" t="s">
        <v>301</v>
      </c>
      <c r="D2437" t="s">
        <v>45</v>
      </c>
      <c r="E2437" s="117">
        <v>3448.82</v>
      </c>
    </row>
    <row r="2438" spans="1:5" x14ac:dyDescent="0.25">
      <c r="A2438" s="119" t="s">
        <v>2925</v>
      </c>
      <c r="B2438" s="119" t="s">
        <v>2926</v>
      </c>
      <c r="C2438" s="119" t="s">
        <v>301</v>
      </c>
      <c r="D2438" t="s">
        <v>45</v>
      </c>
      <c r="E2438" s="117">
        <v>0</v>
      </c>
    </row>
    <row r="2439" spans="1:5" x14ac:dyDescent="0.25">
      <c r="A2439" s="119" t="s">
        <v>2927</v>
      </c>
      <c r="B2439" s="119" t="s">
        <v>9606</v>
      </c>
      <c r="C2439" s="119" t="s">
        <v>301</v>
      </c>
      <c r="D2439" t="s">
        <v>6759</v>
      </c>
      <c r="E2439" s="117">
        <v>5800</v>
      </c>
    </row>
    <row r="2440" spans="1:5" x14ac:dyDescent="0.25">
      <c r="A2440" s="119" t="s">
        <v>2928</v>
      </c>
      <c r="B2440" s="119" t="s">
        <v>9607</v>
      </c>
      <c r="C2440" s="119" t="s">
        <v>301</v>
      </c>
      <c r="D2440" t="s">
        <v>6759</v>
      </c>
      <c r="E2440" s="117">
        <v>3054.56</v>
      </c>
    </row>
    <row r="2441" spans="1:5" x14ac:dyDescent="0.25">
      <c r="A2441" s="119" t="s">
        <v>2929</v>
      </c>
      <c r="B2441" s="119" t="s">
        <v>2930</v>
      </c>
      <c r="C2441" s="119" t="s">
        <v>301</v>
      </c>
      <c r="D2441" t="s">
        <v>45</v>
      </c>
      <c r="E2441" s="117">
        <v>0</v>
      </c>
    </row>
    <row r="2442" spans="1:5" x14ac:dyDescent="0.25">
      <c r="A2442" s="119" t="s">
        <v>2931</v>
      </c>
      <c r="B2442" s="119" t="s">
        <v>9608</v>
      </c>
      <c r="C2442" s="119" t="s">
        <v>301</v>
      </c>
      <c r="D2442" t="s">
        <v>6759</v>
      </c>
      <c r="E2442" s="117">
        <v>4050</v>
      </c>
    </row>
    <row r="2443" spans="1:5" x14ac:dyDescent="0.25">
      <c r="A2443" s="119" t="s">
        <v>2932</v>
      </c>
      <c r="B2443" s="119" t="s">
        <v>2930</v>
      </c>
      <c r="C2443" s="119" t="s">
        <v>301</v>
      </c>
      <c r="D2443" t="s">
        <v>45</v>
      </c>
      <c r="E2443" s="117">
        <v>9999</v>
      </c>
    </row>
    <row r="2444" spans="1:5" x14ac:dyDescent="0.25">
      <c r="A2444" s="119" t="s">
        <v>2933</v>
      </c>
      <c r="B2444" s="119" t="s">
        <v>9609</v>
      </c>
      <c r="C2444" s="119" t="s">
        <v>66</v>
      </c>
      <c r="D2444" t="s">
        <v>45</v>
      </c>
      <c r="E2444" s="117">
        <v>6</v>
      </c>
    </row>
    <row r="2445" spans="1:5" x14ac:dyDescent="0.25">
      <c r="A2445" s="119" t="s">
        <v>2934</v>
      </c>
      <c r="B2445" s="119" t="s">
        <v>9610</v>
      </c>
      <c r="C2445" s="119" t="s">
        <v>66</v>
      </c>
      <c r="D2445" t="s">
        <v>45</v>
      </c>
      <c r="E2445" s="117">
        <v>0</v>
      </c>
    </row>
    <row r="2446" spans="1:5" x14ac:dyDescent="0.25">
      <c r="A2446" s="119" t="s">
        <v>2935</v>
      </c>
      <c r="B2446" s="119" t="s">
        <v>9611</v>
      </c>
      <c r="C2446" s="119" t="s">
        <v>66</v>
      </c>
      <c r="D2446" t="s">
        <v>51</v>
      </c>
      <c r="E2446" s="117">
        <v>6.93</v>
      </c>
    </row>
    <row r="2447" spans="1:5" x14ac:dyDescent="0.25">
      <c r="A2447" s="119" t="s">
        <v>2936</v>
      </c>
      <c r="B2447" s="119" t="s">
        <v>9612</v>
      </c>
      <c r="C2447" s="119" t="s">
        <v>66</v>
      </c>
      <c r="D2447" t="s">
        <v>51</v>
      </c>
      <c r="E2447" s="117">
        <v>7.46</v>
      </c>
    </row>
    <row r="2448" spans="1:5" x14ac:dyDescent="0.25">
      <c r="A2448" s="119" t="s">
        <v>2937</v>
      </c>
      <c r="B2448" s="119" t="s">
        <v>9613</v>
      </c>
      <c r="C2448" s="119" t="s">
        <v>66</v>
      </c>
      <c r="D2448" t="s">
        <v>51</v>
      </c>
      <c r="E2448" s="117">
        <v>7.46</v>
      </c>
    </row>
    <row r="2449" spans="1:5" x14ac:dyDescent="0.25">
      <c r="A2449" s="119" t="s">
        <v>2938</v>
      </c>
      <c r="B2449" s="119" t="s">
        <v>9614</v>
      </c>
      <c r="C2449" s="119" t="s">
        <v>66</v>
      </c>
      <c r="D2449" t="s">
        <v>45</v>
      </c>
      <c r="E2449" s="117">
        <v>7.35</v>
      </c>
    </row>
    <row r="2450" spans="1:5" x14ac:dyDescent="0.25">
      <c r="A2450" s="119" t="s">
        <v>2939</v>
      </c>
      <c r="B2450" s="119" t="s">
        <v>9615</v>
      </c>
      <c r="C2450" s="119" t="s">
        <v>66</v>
      </c>
      <c r="D2450" t="s">
        <v>45</v>
      </c>
      <c r="E2450" s="117">
        <v>0</v>
      </c>
    </row>
    <row r="2451" spans="1:5" x14ac:dyDescent="0.25">
      <c r="A2451" s="119" t="s">
        <v>2940</v>
      </c>
      <c r="B2451" s="119" t="s">
        <v>9616</v>
      </c>
      <c r="C2451" s="119" t="s">
        <v>66</v>
      </c>
      <c r="D2451" t="s">
        <v>45</v>
      </c>
      <c r="E2451" s="117">
        <v>0</v>
      </c>
    </row>
    <row r="2452" spans="1:5" x14ac:dyDescent="0.25">
      <c r="A2452" s="119" t="s">
        <v>2941</v>
      </c>
      <c r="B2452" s="119" t="s">
        <v>9617</v>
      </c>
      <c r="C2452" s="119" t="s">
        <v>66</v>
      </c>
      <c r="D2452" t="s">
        <v>6760</v>
      </c>
      <c r="E2452" s="117">
        <v>8.3000000000000007</v>
      </c>
    </row>
    <row r="2453" spans="1:5" x14ac:dyDescent="0.25">
      <c r="A2453" s="119" t="s">
        <v>2942</v>
      </c>
      <c r="B2453" s="119" t="s">
        <v>9618</v>
      </c>
      <c r="C2453" s="119" t="s">
        <v>66</v>
      </c>
      <c r="D2453" t="s">
        <v>6760</v>
      </c>
      <c r="E2453" s="117">
        <v>8.3000000000000007</v>
      </c>
    </row>
    <row r="2454" spans="1:5" x14ac:dyDescent="0.25">
      <c r="A2454" s="119" t="s">
        <v>2943</v>
      </c>
      <c r="B2454" s="119" t="s">
        <v>9619</v>
      </c>
      <c r="C2454" s="119" t="s">
        <v>66</v>
      </c>
      <c r="D2454" t="s">
        <v>45</v>
      </c>
      <c r="E2454" s="117">
        <v>8.3000000000000007</v>
      </c>
    </row>
    <row r="2455" spans="1:5" x14ac:dyDescent="0.25">
      <c r="A2455" s="119" t="s">
        <v>2944</v>
      </c>
      <c r="B2455" s="119" t="s">
        <v>9620</v>
      </c>
      <c r="C2455" s="119" t="s">
        <v>66</v>
      </c>
      <c r="D2455" t="s">
        <v>51</v>
      </c>
      <c r="E2455" s="117">
        <v>8.51</v>
      </c>
    </row>
    <row r="2456" spans="1:5" x14ac:dyDescent="0.25">
      <c r="A2456" s="119" t="s">
        <v>2945</v>
      </c>
      <c r="B2456" s="119" t="s">
        <v>9621</v>
      </c>
      <c r="C2456" s="119" t="s">
        <v>66</v>
      </c>
      <c r="D2456" t="s">
        <v>45</v>
      </c>
      <c r="E2456" s="117">
        <v>0</v>
      </c>
    </row>
    <row r="2457" spans="1:5" x14ac:dyDescent="0.25">
      <c r="A2457" s="119" t="s">
        <v>2946</v>
      </c>
      <c r="B2457" s="119" t="s">
        <v>9622</v>
      </c>
      <c r="C2457" s="119" t="s">
        <v>66</v>
      </c>
      <c r="D2457" t="s">
        <v>49</v>
      </c>
      <c r="E2457" s="117">
        <v>9.98</v>
      </c>
    </row>
    <row r="2458" spans="1:5" x14ac:dyDescent="0.25">
      <c r="A2458" s="119" t="s">
        <v>2947</v>
      </c>
      <c r="B2458" s="119" t="s">
        <v>9623</v>
      </c>
      <c r="C2458" s="119" t="s">
        <v>66</v>
      </c>
      <c r="D2458" t="s">
        <v>51</v>
      </c>
      <c r="E2458" s="117">
        <v>8.51</v>
      </c>
    </row>
    <row r="2459" spans="1:5" x14ac:dyDescent="0.25">
      <c r="A2459" s="119" t="s">
        <v>2948</v>
      </c>
      <c r="B2459" s="119" t="s">
        <v>9624</v>
      </c>
      <c r="C2459" s="119" t="s">
        <v>66</v>
      </c>
      <c r="D2459" t="s">
        <v>51</v>
      </c>
      <c r="E2459" s="117">
        <v>9.4499999999999993</v>
      </c>
    </row>
    <row r="2460" spans="1:5" x14ac:dyDescent="0.25">
      <c r="A2460" s="119" t="s">
        <v>2949</v>
      </c>
      <c r="B2460" s="119" t="s">
        <v>9625</v>
      </c>
      <c r="C2460" s="119" t="s">
        <v>66</v>
      </c>
      <c r="D2460" t="s">
        <v>45</v>
      </c>
      <c r="E2460" s="117">
        <v>0</v>
      </c>
    </row>
    <row r="2461" spans="1:5" x14ac:dyDescent="0.25">
      <c r="A2461" s="119" t="s">
        <v>2950</v>
      </c>
      <c r="B2461" s="119" t="s">
        <v>9626</v>
      </c>
      <c r="C2461" s="119" t="s">
        <v>66</v>
      </c>
      <c r="D2461" t="s">
        <v>45</v>
      </c>
      <c r="E2461" s="117">
        <v>0</v>
      </c>
    </row>
    <row r="2462" spans="1:5" x14ac:dyDescent="0.25">
      <c r="A2462" s="119" t="s">
        <v>2951</v>
      </c>
      <c r="B2462" s="119" t="s">
        <v>9627</v>
      </c>
      <c r="C2462" s="119" t="s">
        <v>66</v>
      </c>
      <c r="D2462" t="s">
        <v>45</v>
      </c>
      <c r="E2462" s="117">
        <v>0</v>
      </c>
    </row>
    <row r="2463" spans="1:5" x14ac:dyDescent="0.25">
      <c r="A2463" s="119" t="s">
        <v>2952</v>
      </c>
      <c r="B2463" s="119" t="s">
        <v>9628</v>
      </c>
      <c r="C2463" s="119" t="s">
        <v>66</v>
      </c>
      <c r="D2463" t="s">
        <v>51</v>
      </c>
      <c r="E2463" s="117">
        <v>9.4499999999999993</v>
      </c>
    </row>
    <row r="2464" spans="1:5" x14ac:dyDescent="0.25">
      <c r="A2464" s="119" t="s">
        <v>2953</v>
      </c>
      <c r="B2464" s="119" t="s">
        <v>9629</v>
      </c>
      <c r="C2464" s="119" t="s">
        <v>66</v>
      </c>
      <c r="D2464" t="s">
        <v>45</v>
      </c>
      <c r="E2464" s="117">
        <v>0</v>
      </c>
    </row>
    <row r="2465" spans="1:5" x14ac:dyDescent="0.25">
      <c r="A2465" s="119" t="s">
        <v>2954</v>
      </c>
      <c r="B2465" s="119" t="s">
        <v>9630</v>
      </c>
      <c r="C2465" s="119" t="s">
        <v>66</v>
      </c>
      <c r="D2465" t="s">
        <v>51</v>
      </c>
      <c r="E2465" s="117">
        <v>11.24</v>
      </c>
    </row>
    <row r="2466" spans="1:5" x14ac:dyDescent="0.25">
      <c r="A2466" s="119" t="s">
        <v>2955</v>
      </c>
      <c r="B2466" s="119" t="s">
        <v>9631</v>
      </c>
      <c r="C2466" s="119" t="s">
        <v>66</v>
      </c>
      <c r="D2466" t="s">
        <v>51</v>
      </c>
      <c r="E2466" s="117">
        <v>11.24</v>
      </c>
    </row>
    <row r="2467" spans="1:5" x14ac:dyDescent="0.25">
      <c r="A2467" s="119" t="s">
        <v>2956</v>
      </c>
      <c r="B2467" s="119" t="s">
        <v>9632</v>
      </c>
      <c r="C2467" s="119" t="s">
        <v>66</v>
      </c>
      <c r="D2467" t="s">
        <v>45</v>
      </c>
      <c r="E2467" s="117">
        <v>13.65</v>
      </c>
    </row>
    <row r="2468" spans="1:5" x14ac:dyDescent="0.25">
      <c r="A2468" s="119" t="s">
        <v>2957</v>
      </c>
      <c r="B2468" s="119" t="s">
        <v>9633</v>
      </c>
      <c r="C2468" s="119" t="s">
        <v>66</v>
      </c>
      <c r="D2468" t="s">
        <v>45</v>
      </c>
      <c r="E2468" s="117">
        <v>0</v>
      </c>
    </row>
    <row r="2469" spans="1:5" x14ac:dyDescent="0.25">
      <c r="A2469" s="119" t="s">
        <v>2958</v>
      </c>
      <c r="B2469" s="119" t="s">
        <v>9634</v>
      </c>
      <c r="C2469" s="119" t="s">
        <v>66</v>
      </c>
      <c r="D2469" t="s">
        <v>45</v>
      </c>
      <c r="E2469" s="117">
        <v>0</v>
      </c>
    </row>
    <row r="2470" spans="1:5" x14ac:dyDescent="0.25">
      <c r="A2470" s="119" t="s">
        <v>2959</v>
      </c>
      <c r="B2470" s="119" t="s">
        <v>9635</v>
      </c>
      <c r="C2470" s="119" t="s">
        <v>66</v>
      </c>
      <c r="D2470" t="s">
        <v>6760</v>
      </c>
      <c r="E2470" s="117">
        <v>22.47</v>
      </c>
    </row>
    <row r="2471" spans="1:5" x14ac:dyDescent="0.25">
      <c r="A2471" s="119" t="s">
        <v>2960</v>
      </c>
      <c r="B2471" s="119" t="s">
        <v>9636</v>
      </c>
      <c r="C2471" s="119" t="s">
        <v>66</v>
      </c>
      <c r="D2471" t="s">
        <v>51</v>
      </c>
      <c r="E2471" s="117">
        <v>23.52</v>
      </c>
    </row>
    <row r="2472" spans="1:5" x14ac:dyDescent="0.25">
      <c r="A2472" s="119" t="s">
        <v>2961</v>
      </c>
      <c r="B2472" s="119" t="s">
        <v>9637</v>
      </c>
      <c r="C2472" s="119" t="s">
        <v>66</v>
      </c>
      <c r="D2472" t="s">
        <v>45</v>
      </c>
      <c r="E2472" s="117">
        <v>0</v>
      </c>
    </row>
    <row r="2473" spans="1:5" x14ac:dyDescent="0.25">
      <c r="A2473" s="119" t="s">
        <v>2962</v>
      </c>
      <c r="B2473" s="119" t="s">
        <v>9638</v>
      </c>
      <c r="C2473" s="119" t="s">
        <v>66</v>
      </c>
      <c r="D2473" t="s">
        <v>6760</v>
      </c>
      <c r="E2473" s="117">
        <v>25.31</v>
      </c>
    </row>
    <row r="2474" spans="1:5" x14ac:dyDescent="0.25">
      <c r="A2474" s="119" t="s">
        <v>2963</v>
      </c>
      <c r="B2474" s="119" t="s">
        <v>9639</v>
      </c>
      <c r="C2474" s="119" t="s">
        <v>66</v>
      </c>
      <c r="D2474" t="s">
        <v>6760</v>
      </c>
      <c r="E2474" s="117">
        <v>27.2</v>
      </c>
    </row>
    <row r="2475" spans="1:5" x14ac:dyDescent="0.25">
      <c r="A2475" s="119" t="s">
        <v>2964</v>
      </c>
      <c r="B2475" s="119" t="s">
        <v>9640</v>
      </c>
      <c r="C2475" s="119" t="s">
        <v>66</v>
      </c>
      <c r="D2475" t="s">
        <v>45</v>
      </c>
      <c r="E2475" s="117">
        <v>0</v>
      </c>
    </row>
    <row r="2476" spans="1:5" x14ac:dyDescent="0.25">
      <c r="A2476" s="119" t="s">
        <v>2965</v>
      </c>
      <c r="B2476" s="119" t="s">
        <v>9641</v>
      </c>
      <c r="C2476" s="119" t="s">
        <v>66</v>
      </c>
      <c r="D2476" t="s">
        <v>49</v>
      </c>
      <c r="E2476" s="117">
        <v>40.950000000000003</v>
      </c>
    </row>
    <row r="2477" spans="1:5" x14ac:dyDescent="0.25">
      <c r="A2477" s="119" t="s">
        <v>2966</v>
      </c>
      <c r="B2477" s="119" t="s">
        <v>9642</v>
      </c>
      <c r="C2477" s="119" t="s">
        <v>66</v>
      </c>
      <c r="D2477" t="s">
        <v>45</v>
      </c>
      <c r="E2477" s="117">
        <v>0</v>
      </c>
    </row>
    <row r="2478" spans="1:5" x14ac:dyDescent="0.25">
      <c r="A2478" s="119" t="s">
        <v>2967</v>
      </c>
      <c r="B2478" s="119" t="s">
        <v>2968</v>
      </c>
      <c r="C2478" s="119" t="s">
        <v>66</v>
      </c>
      <c r="D2478" t="s">
        <v>6760</v>
      </c>
      <c r="E2478" s="117">
        <v>26.04</v>
      </c>
    </row>
    <row r="2479" spans="1:5" x14ac:dyDescent="0.25">
      <c r="A2479" s="119" t="s">
        <v>2969</v>
      </c>
      <c r="B2479" s="119" t="s">
        <v>9643</v>
      </c>
      <c r="C2479" s="119" t="s">
        <v>66</v>
      </c>
      <c r="D2479" t="s">
        <v>51</v>
      </c>
      <c r="E2479" s="117">
        <v>5.67</v>
      </c>
    </row>
    <row r="2480" spans="1:5" x14ac:dyDescent="0.25">
      <c r="A2480" s="119" t="s">
        <v>2970</v>
      </c>
      <c r="B2480" s="119" t="s">
        <v>9644</v>
      </c>
      <c r="C2480" s="119" t="s">
        <v>66</v>
      </c>
      <c r="D2480" t="s">
        <v>51</v>
      </c>
      <c r="E2480" s="117">
        <v>6.3</v>
      </c>
    </row>
    <row r="2481" spans="1:5" x14ac:dyDescent="0.25">
      <c r="A2481" s="119" t="s">
        <v>2971</v>
      </c>
      <c r="B2481" s="119" t="s">
        <v>9645</v>
      </c>
      <c r="C2481" s="119" t="s">
        <v>66</v>
      </c>
      <c r="D2481" t="s">
        <v>51</v>
      </c>
      <c r="E2481" s="117">
        <v>7.46</v>
      </c>
    </row>
    <row r="2482" spans="1:5" x14ac:dyDescent="0.25">
      <c r="A2482" s="119" t="s">
        <v>2972</v>
      </c>
      <c r="B2482" s="119" t="s">
        <v>9646</v>
      </c>
      <c r="C2482" s="119" t="s">
        <v>66</v>
      </c>
      <c r="D2482" t="s">
        <v>51</v>
      </c>
      <c r="E2482" s="117">
        <v>7.46</v>
      </c>
    </row>
    <row r="2483" spans="1:5" x14ac:dyDescent="0.25">
      <c r="A2483" s="119" t="s">
        <v>2973</v>
      </c>
      <c r="B2483" s="119" t="s">
        <v>9647</v>
      </c>
      <c r="C2483" s="119" t="s">
        <v>66</v>
      </c>
      <c r="D2483" t="s">
        <v>45</v>
      </c>
      <c r="E2483" s="117">
        <v>7.46</v>
      </c>
    </row>
    <row r="2484" spans="1:5" x14ac:dyDescent="0.25">
      <c r="A2484" s="119" t="s">
        <v>2974</v>
      </c>
      <c r="B2484" s="119" t="s">
        <v>9648</v>
      </c>
      <c r="C2484" s="119" t="s">
        <v>66</v>
      </c>
      <c r="D2484" t="s">
        <v>51</v>
      </c>
      <c r="E2484" s="117">
        <v>5.8</v>
      </c>
    </row>
    <row r="2485" spans="1:5" x14ac:dyDescent="0.25">
      <c r="A2485" s="119" t="s">
        <v>2975</v>
      </c>
      <c r="B2485" s="119" t="s">
        <v>9649</v>
      </c>
      <c r="C2485" s="119" t="s">
        <v>66</v>
      </c>
      <c r="D2485" t="s">
        <v>51</v>
      </c>
      <c r="E2485" s="117">
        <v>9.35</v>
      </c>
    </row>
    <row r="2486" spans="1:5" x14ac:dyDescent="0.25">
      <c r="A2486" s="119" t="s">
        <v>2976</v>
      </c>
      <c r="B2486" s="119" t="s">
        <v>9650</v>
      </c>
      <c r="C2486" s="119" t="s">
        <v>66</v>
      </c>
      <c r="D2486" t="s">
        <v>45</v>
      </c>
      <c r="E2486" s="117">
        <v>8.7200000000000006</v>
      </c>
    </row>
    <row r="2487" spans="1:5" x14ac:dyDescent="0.25">
      <c r="A2487" s="119" t="s">
        <v>2977</v>
      </c>
      <c r="B2487" s="119" t="s">
        <v>9651</v>
      </c>
      <c r="C2487" s="119" t="s">
        <v>66</v>
      </c>
      <c r="D2487" t="s">
        <v>45</v>
      </c>
      <c r="E2487" s="117">
        <v>10.71</v>
      </c>
    </row>
    <row r="2488" spans="1:5" x14ac:dyDescent="0.25">
      <c r="A2488" s="119" t="s">
        <v>2978</v>
      </c>
      <c r="B2488" s="119" t="s">
        <v>9652</v>
      </c>
      <c r="C2488" s="119" t="s">
        <v>66</v>
      </c>
      <c r="D2488" t="s">
        <v>51</v>
      </c>
      <c r="E2488" s="117">
        <v>9.35</v>
      </c>
    </row>
    <row r="2489" spans="1:5" x14ac:dyDescent="0.25">
      <c r="A2489" s="119" t="s">
        <v>2979</v>
      </c>
      <c r="B2489" s="119" t="s">
        <v>9653</v>
      </c>
      <c r="C2489" s="119" t="s">
        <v>66</v>
      </c>
      <c r="D2489" t="s">
        <v>51</v>
      </c>
      <c r="E2489" s="117">
        <v>11.24</v>
      </c>
    </row>
    <row r="2490" spans="1:5" x14ac:dyDescent="0.25">
      <c r="A2490" s="119" t="s">
        <v>2980</v>
      </c>
      <c r="B2490" s="119" t="s">
        <v>9654</v>
      </c>
      <c r="C2490" s="119" t="s">
        <v>66</v>
      </c>
      <c r="D2490" t="s">
        <v>51</v>
      </c>
      <c r="E2490" s="117">
        <v>12.5</v>
      </c>
    </row>
    <row r="2491" spans="1:5" x14ac:dyDescent="0.25">
      <c r="A2491" s="119" t="s">
        <v>2981</v>
      </c>
      <c r="B2491" s="119" t="s">
        <v>9655</v>
      </c>
      <c r="C2491" s="119" t="s">
        <v>66</v>
      </c>
      <c r="D2491" t="s">
        <v>51</v>
      </c>
      <c r="E2491" s="117">
        <v>12.5</v>
      </c>
    </row>
    <row r="2492" spans="1:5" x14ac:dyDescent="0.25">
      <c r="A2492" s="119" t="s">
        <v>2982</v>
      </c>
      <c r="B2492" s="119" t="s">
        <v>9656</v>
      </c>
      <c r="C2492" s="119" t="s">
        <v>66</v>
      </c>
      <c r="D2492" t="s">
        <v>51</v>
      </c>
      <c r="E2492" s="117">
        <v>12.5</v>
      </c>
    </row>
    <row r="2493" spans="1:5" x14ac:dyDescent="0.25">
      <c r="A2493" s="119" t="s">
        <v>2983</v>
      </c>
      <c r="B2493" s="119" t="s">
        <v>9657</v>
      </c>
      <c r="C2493" s="119" t="s">
        <v>66</v>
      </c>
      <c r="D2493" t="s">
        <v>51</v>
      </c>
      <c r="E2493" s="117">
        <v>14.91</v>
      </c>
    </row>
    <row r="2494" spans="1:5" x14ac:dyDescent="0.25">
      <c r="A2494" s="119" t="s">
        <v>2984</v>
      </c>
      <c r="B2494" s="119" t="s">
        <v>9658</v>
      </c>
      <c r="C2494" s="119" t="s">
        <v>66</v>
      </c>
      <c r="D2494" t="s">
        <v>6760</v>
      </c>
      <c r="E2494" s="117">
        <v>14.91</v>
      </c>
    </row>
    <row r="2495" spans="1:5" x14ac:dyDescent="0.25">
      <c r="A2495" s="119" t="s">
        <v>2985</v>
      </c>
      <c r="B2495" s="119" t="s">
        <v>9659</v>
      </c>
      <c r="C2495" s="119" t="s">
        <v>66</v>
      </c>
      <c r="D2495" t="s">
        <v>45</v>
      </c>
      <c r="E2495" s="117">
        <v>16.8</v>
      </c>
    </row>
    <row r="2496" spans="1:5" x14ac:dyDescent="0.25">
      <c r="A2496" s="119" t="s">
        <v>2986</v>
      </c>
      <c r="B2496" s="119" t="s">
        <v>9660</v>
      </c>
      <c r="C2496" s="119" t="s">
        <v>66</v>
      </c>
      <c r="D2496" t="s">
        <v>6760</v>
      </c>
      <c r="E2496" s="117">
        <v>17.54</v>
      </c>
    </row>
    <row r="2497" spans="1:5" x14ac:dyDescent="0.25">
      <c r="A2497" s="119" t="s">
        <v>2987</v>
      </c>
      <c r="B2497" s="119" t="s">
        <v>9661</v>
      </c>
      <c r="C2497" s="119" t="s">
        <v>66</v>
      </c>
      <c r="D2497" t="s">
        <v>6760</v>
      </c>
      <c r="E2497" s="117">
        <v>20.27</v>
      </c>
    </row>
    <row r="2498" spans="1:5" x14ac:dyDescent="0.25">
      <c r="A2498" s="119" t="s">
        <v>2988</v>
      </c>
      <c r="B2498" s="119" t="s">
        <v>9662</v>
      </c>
      <c r="C2498" s="119" t="s">
        <v>66</v>
      </c>
      <c r="D2498" t="s">
        <v>45</v>
      </c>
      <c r="E2498" s="117">
        <v>23.63</v>
      </c>
    </row>
    <row r="2499" spans="1:5" x14ac:dyDescent="0.25">
      <c r="A2499" s="119" t="s">
        <v>2989</v>
      </c>
      <c r="B2499" s="119" t="s">
        <v>9663</v>
      </c>
      <c r="C2499" s="119" t="s">
        <v>66</v>
      </c>
      <c r="D2499" t="s">
        <v>51</v>
      </c>
      <c r="E2499" s="117">
        <v>23.63</v>
      </c>
    </row>
    <row r="2500" spans="1:5" x14ac:dyDescent="0.25">
      <c r="A2500" s="119" t="s">
        <v>2990</v>
      </c>
      <c r="B2500" s="119" t="s">
        <v>9664</v>
      </c>
      <c r="C2500" s="119" t="s">
        <v>66</v>
      </c>
      <c r="D2500" t="s">
        <v>49</v>
      </c>
      <c r="E2500" s="117">
        <v>32.549999999999997</v>
      </c>
    </row>
    <row r="2501" spans="1:5" x14ac:dyDescent="0.25">
      <c r="A2501" s="119" t="s">
        <v>2991</v>
      </c>
      <c r="B2501" s="119" t="s">
        <v>9665</v>
      </c>
      <c r="C2501" s="119" t="s">
        <v>66</v>
      </c>
      <c r="D2501" t="s">
        <v>45</v>
      </c>
      <c r="E2501" s="117">
        <v>0</v>
      </c>
    </row>
    <row r="2502" spans="1:5" x14ac:dyDescent="0.25">
      <c r="A2502" s="119" t="s">
        <v>2992</v>
      </c>
      <c r="B2502" s="119" t="s">
        <v>6464</v>
      </c>
      <c r="C2502" s="119" t="s">
        <v>66</v>
      </c>
      <c r="D2502" t="s">
        <v>45</v>
      </c>
      <c r="E2502" s="117">
        <v>75.900000000000006</v>
      </c>
    </row>
    <row r="2503" spans="1:5" x14ac:dyDescent="0.25">
      <c r="A2503" s="119" t="s">
        <v>2993</v>
      </c>
      <c r="B2503" s="119" t="s">
        <v>6345</v>
      </c>
      <c r="C2503" s="119" t="s">
        <v>66</v>
      </c>
      <c r="D2503" t="s">
        <v>45</v>
      </c>
      <c r="E2503" s="117">
        <v>99.8</v>
      </c>
    </row>
    <row r="2504" spans="1:5" x14ac:dyDescent="0.25">
      <c r="A2504" s="119" t="s">
        <v>2994</v>
      </c>
      <c r="B2504" s="119" t="s">
        <v>6465</v>
      </c>
      <c r="C2504" s="119" t="s">
        <v>66</v>
      </c>
      <c r="D2504" t="s">
        <v>45</v>
      </c>
      <c r="E2504" s="117">
        <v>0</v>
      </c>
    </row>
    <row r="2505" spans="1:5" x14ac:dyDescent="0.25">
      <c r="A2505" s="119" t="s">
        <v>2995</v>
      </c>
      <c r="B2505" s="119" t="s">
        <v>6466</v>
      </c>
      <c r="C2505" s="119" t="s">
        <v>66</v>
      </c>
      <c r="D2505" t="s">
        <v>45</v>
      </c>
      <c r="E2505" s="117">
        <v>82.8</v>
      </c>
    </row>
    <row r="2506" spans="1:5" x14ac:dyDescent="0.25">
      <c r="A2506" s="119" t="s">
        <v>2996</v>
      </c>
      <c r="B2506" s="119" t="s">
        <v>9666</v>
      </c>
      <c r="C2506" s="119" t="s">
        <v>66</v>
      </c>
      <c r="D2506" t="s">
        <v>6759</v>
      </c>
      <c r="E2506" s="117">
        <v>49.77</v>
      </c>
    </row>
    <row r="2507" spans="1:5" x14ac:dyDescent="0.25">
      <c r="A2507" s="119" t="s">
        <v>2997</v>
      </c>
      <c r="B2507" s="119" t="s">
        <v>9667</v>
      </c>
      <c r="C2507" s="119" t="s">
        <v>66</v>
      </c>
      <c r="D2507" t="s">
        <v>49</v>
      </c>
      <c r="E2507" s="117">
        <v>47.25</v>
      </c>
    </row>
    <row r="2508" spans="1:5" x14ac:dyDescent="0.25">
      <c r="A2508" s="119" t="s">
        <v>2998</v>
      </c>
      <c r="B2508" s="119" t="s">
        <v>9668</v>
      </c>
      <c r="C2508" s="119" t="s">
        <v>66</v>
      </c>
      <c r="D2508" t="s">
        <v>6760</v>
      </c>
      <c r="E2508" s="117">
        <v>62.27</v>
      </c>
    </row>
    <row r="2509" spans="1:5" x14ac:dyDescent="0.25">
      <c r="A2509" s="119" t="s">
        <v>2999</v>
      </c>
      <c r="B2509" s="119" t="s">
        <v>7482</v>
      </c>
      <c r="C2509" s="119" t="s">
        <v>66</v>
      </c>
      <c r="D2509" t="s">
        <v>51</v>
      </c>
      <c r="E2509" s="117">
        <v>121.91</v>
      </c>
    </row>
    <row r="2510" spans="1:5" x14ac:dyDescent="0.25">
      <c r="A2510" s="119" t="s">
        <v>3000</v>
      </c>
      <c r="B2510" s="119" t="s">
        <v>7483</v>
      </c>
      <c r="C2510" s="119" t="s">
        <v>66</v>
      </c>
      <c r="D2510" t="s">
        <v>49</v>
      </c>
      <c r="E2510" s="117">
        <v>222.39</v>
      </c>
    </row>
    <row r="2511" spans="1:5" x14ac:dyDescent="0.25">
      <c r="A2511" s="119" t="s">
        <v>3001</v>
      </c>
      <c r="B2511" s="119" t="s">
        <v>7484</v>
      </c>
      <c r="C2511" s="119" t="s">
        <v>66</v>
      </c>
      <c r="D2511" t="s">
        <v>6760</v>
      </c>
      <c r="E2511" s="117">
        <v>234.89</v>
      </c>
    </row>
    <row r="2512" spans="1:5" x14ac:dyDescent="0.25">
      <c r="A2512" s="119" t="s">
        <v>3002</v>
      </c>
      <c r="B2512" s="119" t="s">
        <v>9669</v>
      </c>
      <c r="C2512" s="119" t="s">
        <v>66</v>
      </c>
      <c r="D2512" t="s">
        <v>45</v>
      </c>
      <c r="E2512" s="117">
        <v>0</v>
      </c>
    </row>
    <row r="2513" spans="1:5" x14ac:dyDescent="0.25">
      <c r="A2513" s="119" t="s">
        <v>3003</v>
      </c>
      <c r="B2513" s="119" t="s">
        <v>7485</v>
      </c>
      <c r="C2513" s="119" t="s">
        <v>66</v>
      </c>
      <c r="D2513" t="s">
        <v>51</v>
      </c>
      <c r="E2513" s="117">
        <v>48.51</v>
      </c>
    </row>
    <row r="2514" spans="1:5" x14ac:dyDescent="0.25">
      <c r="A2514" s="119" t="s">
        <v>3004</v>
      </c>
      <c r="B2514" s="119" t="s">
        <v>9670</v>
      </c>
      <c r="C2514" s="119" t="s">
        <v>66</v>
      </c>
      <c r="D2514" t="s">
        <v>51</v>
      </c>
      <c r="E2514" s="117">
        <v>67.2</v>
      </c>
    </row>
    <row r="2515" spans="1:5" x14ac:dyDescent="0.25">
      <c r="A2515" s="119" t="s">
        <v>3005</v>
      </c>
      <c r="B2515" s="119" t="s">
        <v>9671</v>
      </c>
      <c r="C2515" s="119" t="s">
        <v>66</v>
      </c>
      <c r="D2515" t="s">
        <v>45</v>
      </c>
      <c r="E2515" s="117">
        <v>0</v>
      </c>
    </row>
    <row r="2516" spans="1:5" x14ac:dyDescent="0.25">
      <c r="A2516" s="119" t="s">
        <v>3006</v>
      </c>
      <c r="B2516" s="119" t="s">
        <v>9672</v>
      </c>
      <c r="C2516" s="119" t="s">
        <v>66</v>
      </c>
      <c r="D2516" t="s">
        <v>45</v>
      </c>
      <c r="E2516" s="117">
        <v>17.8</v>
      </c>
    </row>
    <row r="2517" spans="1:5" x14ac:dyDescent="0.25">
      <c r="A2517" s="119" t="s">
        <v>3007</v>
      </c>
      <c r="B2517" s="119" t="s">
        <v>9673</v>
      </c>
      <c r="C2517" s="119" t="s">
        <v>66</v>
      </c>
      <c r="D2517" t="s">
        <v>6759</v>
      </c>
      <c r="E2517" s="117">
        <v>12.5</v>
      </c>
    </row>
    <row r="2518" spans="1:5" x14ac:dyDescent="0.25">
      <c r="A2518" s="119" t="s">
        <v>3008</v>
      </c>
      <c r="B2518" s="119" t="s">
        <v>9674</v>
      </c>
      <c r="C2518" s="119" t="s">
        <v>66</v>
      </c>
      <c r="D2518" t="s">
        <v>51</v>
      </c>
      <c r="E2518" s="117">
        <v>22.16</v>
      </c>
    </row>
    <row r="2519" spans="1:5" x14ac:dyDescent="0.25">
      <c r="A2519" s="119" t="s">
        <v>3009</v>
      </c>
      <c r="B2519" s="119" t="s">
        <v>7486</v>
      </c>
      <c r="C2519" s="119" t="s">
        <v>66</v>
      </c>
      <c r="D2519" t="s">
        <v>51</v>
      </c>
      <c r="E2519" s="117">
        <v>110.57</v>
      </c>
    </row>
    <row r="2520" spans="1:5" x14ac:dyDescent="0.25">
      <c r="A2520" s="119" t="s">
        <v>3010</v>
      </c>
      <c r="B2520" s="119" t="s">
        <v>8957</v>
      </c>
      <c r="C2520" s="119" t="s">
        <v>66</v>
      </c>
      <c r="D2520" t="s">
        <v>45</v>
      </c>
      <c r="E2520" s="117">
        <v>21.4</v>
      </c>
    </row>
    <row r="2521" spans="1:5" x14ac:dyDescent="0.25">
      <c r="A2521" s="119" t="s">
        <v>3011</v>
      </c>
      <c r="B2521" s="119" t="s">
        <v>9675</v>
      </c>
      <c r="C2521" s="119" t="s">
        <v>66</v>
      </c>
      <c r="D2521" t="s">
        <v>51</v>
      </c>
      <c r="E2521" s="117">
        <v>3.15</v>
      </c>
    </row>
    <row r="2522" spans="1:5" x14ac:dyDescent="0.25">
      <c r="A2522" s="119" t="s">
        <v>3012</v>
      </c>
      <c r="B2522" s="119" t="s">
        <v>3013</v>
      </c>
      <c r="C2522" s="119" t="s">
        <v>66</v>
      </c>
      <c r="D2522" t="s">
        <v>51</v>
      </c>
      <c r="E2522" s="117">
        <v>3.36</v>
      </c>
    </row>
    <row r="2523" spans="1:5" x14ac:dyDescent="0.25">
      <c r="A2523" s="119" t="s">
        <v>3014</v>
      </c>
      <c r="B2523" s="119" t="s">
        <v>3015</v>
      </c>
      <c r="C2523" s="119" t="s">
        <v>66</v>
      </c>
      <c r="D2523" t="s">
        <v>45</v>
      </c>
      <c r="E2523" s="117">
        <v>3.36</v>
      </c>
    </row>
    <row r="2524" spans="1:5" x14ac:dyDescent="0.25">
      <c r="A2524" s="119" t="s">
        <v>3016</v>
      </c>
      <c r="B2524" s="119" t="s">
        <v>3017</v>
      </c>
      <c r="C2524" s="119" t="s">
        <v>66</v>
      </c>
      <c r="D2524" t="s">
        <v>51</v>
      </c>
      <c r="E2524" s="117">
        <v>3.78</v>
      </c>
    </row>
    <row r="2525" spans="1:5" x14ac:dyDescent="0.25">
      <c r="A2525" s="119" t="s">
        <v>3018</v>
      </c>
      <c r="B2525" s="119" t="s">
        <v>3019</v>
      </c>
      <c r="C2525" s="119" t="s">
        <v>66</v>
      </c>
      <c r="D2525" t="s">
        <v>51</v>
      </c>
      <c r="E2525" s="117">
        <v>4.0999999999999996</v>
      </c>
    </row>
    <row r="2526" spans="1:5" x14ac:dyDescent="0.25">
      <c r="A2526" s="119" t="s">
        <v>3020</v>
      </c>
      <c r="B2526" s="119" t="s">
        <v>9676</v>
      </c>
      <c r="C2526" s="119" t="s">
        <v>66</v>
      </c>
      <c r="D2526" t="s">
        <v>51</v>
      </c>
      <c r="E2526" s="117">
        <v>4.0999999999999996</v>
      </c>
    </row>
    <row r="2527" spans="1:5" x14ac:dyDescent="0.25">
      <c r="A2527" s="119" t="s">
        <v>3021</v>
      </c>
      <c r="B2527" s="119" t="s">
        <v>9677</v>
      </c>
      <c r="C2527" s="119" t="s">
        <v>66</v>
      </c>
      <c r="D2527" t="s">
        <v>51</v>
      </c>
      <c r="E2527" s="117">
        <v>4.0999999999999996</v>
      </c>
    </row>
    <row r="2528" spans="1:5" x14ac:dyDescent="0.25">
      <c r="A2528" s="119" t="s">
        <v>3022</v>
      </c>
      <c r="B2528" s="119" t="s">
        <v>3023</v>
      </c>
      <c r="C2528" s="119" t="s">
        <v>66</v>
      </c>
      <c r="D2528" t="s">
        <v>51</v>
      </c>
      <c r="E2528" s="117">
        <v>4.83</v>
      </c>
    </row>
    <row r="2529" spans="1:5" x14ac:dyDescent="0.25">
      <c r="A2529" s="119" t="s">
        <v>3024</v>
      </c>
      <c r="B2529" s="119" t="s">
        <v>9678</v>
      </c>
      <c r="C2529" s="119" t="s">
        <v>66</v>
      </c>
      <c r="D2529" t="s">
        <v>51</v>
      </c>
      <c r="E2529" s="117">
        <v>4.83</v>
      </c>
    </row>
    <row r="2530" spans="1:5" x14ac:dyDescent="0.25">
      <c r="A2530" s="119" t="s">
        <v>3025</v>
      </c>
      <c r="B2530" s="119" t="s">
        <v>9679</v>
      </c>
      <c r="C2530" s="119" t="s">
        <v>66</v>
      </c>
      <c r="D2530" t="s">
        <v>51</v>
      </c>
      <c r="E2530" s="117">
        <v>6.62</v>
      </c>
    </row>
    <row r="2531" spans="1:5" x14ac:dyDescent="0.25">
      <c r="A2531" s="119" t="s">
        <v>3026</v>
      </c>
      <c r="B2531" s="119" t="s">
        <v>3027</v>
      </c>
      <c r="C2531" s="119" t="s">
        <v>66</v>
      </c>
      <c r="D2531" t="s">
        <v>51</v>
      </c>
      <c r="E2531" s="117">
        <v>9.14</v>
      </c>
    </row>
    <row r="2532" spans="1:5" x14ac:dyDescent="0.25">
      <c r="A2532" s="119" t="s">
        <v>3028</v>
      </c>
      <c r="B2532" s="119" t="s">
        <v>9680</v>
      </c>
      <c r="C2532" s="119" t="s">
        <v>66</v>
      </c>
      <c r="D2532" t="s">
        <v>45</v>
      </c>
      <c r="E2532" s="117">
        <v>8.3000000000000007</v>
      </c>
    </row>
    <row r="2533" spans="1:5" x14ac:dyDescent="0.25">
      <c r="A2533" s="119" t="s">
        <v>3029</v>
      </c>
      <c r="B2533" s="119" t="s">
        <v>9681</v>
      </c>
      <c r="C2533" s="119" t="s">
        <v>66</v>
      </c>
      <c r="D2533" t="s">
        <v>51</v>
      </c>
      <c r="E2533" s="117">
        <v>9.14</v>
      </c>
    </row>
    <row r="2534" spans="1:5" x14ac:dyDescent="0.25">
      <c r="A2534" s="119" t="s">
        <v>3030</v>
      </c>
      <c r="B2534" s="119" t="s">
        <v>9682</v>
      </c>
      <c r="C2534" s="119" t="s">
        <v>66</v>
      </c>
      <c r="D2534" t="s">
        <v>51</v>
      </c>
      <c r="E2534" s="117">
        <v>9.98</v>
      </c>
    </row>
    <row r="2535" spans="1:5" x14ac:dyDescent="0.25">
      <c r="A2535" s="119" t="s">
        <v>3031</v>
      </c>
      <c r="B2535" s="119" t="s">
        <v>9683</v>
      </c>
      <c r="C2535" s="119" t="s">
        <v>66</v>
      </c>
      <c r="D2535" t="s">
        <v>51</v>
      </c>
      <c r="E2535" s="117">
        <v>10.5</v>
      </c>
    </row>
    <row r="2536" spans="1:5" x14ac:dyDescent="0.25">
      <c r="A2536" s="119" t="s">
        <v>3032</v>
      </c>
      <c r="B2536" s="119" t="s">
        <v>9684</v>
      </c>
      <c r="C2536" s="119" t="s">
        <v>66</v>
      </c>
      <c r="D2536" t="s">
        <v>51</v>
      </c>
      <c r="E2536" s="117">
        <v>11.55</v>
      </c>
    </row>
    <row r="2537" spans="1:5" x14ac:dyDescent="0.25">
      <c r="A2537" s="119" t="s">
        <v>3033</v>
      </c>
      <c r="B2537" s="119" t="s">
        <v>9685</v>
      </c>
      <c r="C2537" s="119" t="s">
        <v>66</v>
      </c>
      <c r="D2537" t="s">
        <v>6760</v>
      </c>
      <c r="E2537" s="117">
        <v>13.13</v>
      </c>
    </row>
    <row r="2538" spans="1:5" x14ac:dyDescent="0.25">
      <c r="A2538" s="119" t="s">
        <v>3034</v>
      </c>
      <c r="B2538" s="119" t="s">
        <v>9686</v>
      </c>
      <c r="C2538" s="119" t="s">
        <v>66</v>
      </c>
      <c r="D2538" t="s">
        <v>6760</v>
      </c>
      <c r="E2538" s="117">
        <v>19.11</v>
      </c>
    </row>
    <row r="2539" spans="1:5" x14ac:dyDescent="0.25">
      <c r="A2539" s="119" t="s">
        <v>3035</v>
      </c>
      <c r="B2539" s="119" t="s">
        <v>9687</v>
      </c>
      <c r="C2539" s="119" t="s">
        <v>66</v>
      </c>
      <c r="D2539" t="s">
        <v>6759</v>
      </c>
      <c r="E2539" s="117">
        <v>29.82</v>
      </c>
    </row>
    <row r="2540" spans="1:5" x14ac:dyDescent="0.25">
      <c r="A2540" s="119" t="s">
        <v>3036</v>
      </c>
      <c r="B2540" s="119" t="s">
        <v>9688</v>
      </c>
      <c r="C2540" s="119" t="s">
        <v>66</v>
      </c>
      <c r="D2540" t="s">
        <v>51</v>
      </c>
      <c r="E2540" s="117">
        <v>37.380000000000003</v>
      </c>
    </row>
    <row r="2541" spans="1:5" x14ac:dyDescent="0.25">
      <c r="A2541" s="119" t="s">
        <v>3037</v>
      </c>
      <c r="B2541" s="119" t="s">
        <v>9689</v>
      </c>
      <c r="C2541" s="119" t="s">
        <v>66</v>
      </c>
      <c r="D2541" t="s">
        <v>51</v>
      </c>
      <c r="E2541" s="117">
        <v>48.3</v>
      </c>
    </row>
    <row r="2542" spans="1:5" x14ac:dyDescent="0.25">
      <c r="A2542" s="119" t="s">
        <v>3038</v>
      </c>
      <c r="B2542" s="119" t="s">
        <v>9690</v>
      </c>
      <c r="C2542" s="119" t="s">
        <v>66</v>
      </c>
      <c r="D2542" t="s">
        <v>45</v>
      </c>
      <c r="E2542" s="117">
        <v>48.2</v>
      </c>
    </row>
    <row r="2543" spans="1:5" x14ac:dyDescent="0.25">
      <c r="A2543" s="119" t="s">
        <v>3039</v>
      </c>
      <c r="B2543" s="119" t="s">
        <v>9691</v>
      </c>
      <c r="C2543" s="119" t="s">
        <v>66</v>
      </c>
      <c r="D2543" t="s">
        <v>49</v>
      </c>
      <c r="E2543" s="117">
        <v>55.86</v>
      </c>
    </row>
    <row r="2544" spans="1:5" x14ac:dyDescent="0.25">
      <c r="A2544" s="119" t="s">
        <v>3040</v>
      </c>
      <c r="B2544" s="119" t="s">
        <v>9692</v>
      </c>
      <c r="C2544" s="119" t="s">
        <v>66</v>
      </c>
      <c r="D2544" t="s">
        <v>45</v>
      </c>
      <c r="E2544" s="117">
        <v>68.25</v>
      </c>
    </row>
    <row r="2545" spans="1:5" x14ac:dyDescent="0.25">
      <c r="A2545" s="119" t="s">
        <v>3041</v>
      </c>
      <c r="B2545" s="119" t="s">
        <v>9693</v>
      </c>
      <c r="C2545" s="119" t="s">
        <v>66</v>
      </c>
      <c r="D2545" t="s">
        <v>6760</v>
      </c>
      <c r="E2545" s="117">
        <v>74.55</v>
      </c>
    </row>
    <row r="2546" spans="1:5" x14ac:dyDescent="0.25">
      <c r="A2546" s="119" t="s">
        <v>3042</v>
      </c>
      <c r="B2546" s="119" t="s">
        <v>9694</v>
      </c>
      <c r="C2546" s="119" t="s">
        <v>66</v>
      </c>
      <c r="D2546" t="s">
        <v>45</v>
      </c>
      <c r="E2546" s="117">
        <v>86.94</v>
      </c>
    </row>
    <row r="2547" spans="1:5" x14ac:dyDescent="0.25">
      <c r="A2547" s="119" t="s">
        <v>3043</v>
      </c>
      <c r="B2547" s="119" t="s">
        <v>9695</v>
      </c>
      <c r="C2547" s="119" t="s">
        <v>66</v>
      </c>
      <c r="D2547" t="s">
        <v>49</v>
      </c>
      <c r="E2547" s="117">
        <v>98.28</v>
      </c>
    </row>
    <row r="2548" spans="1:5" x14ac:dyDescent="0.25">
      <c r="A2548" s="119" t="s">
        <v>3044</v>
      </c>
      <c r="B2548" s="119" t="s">
        <v>9696</v>
      </c>
      <c r="C2548" s="119" t="s">
        <v>66</v>
      </c>
      <c r="D2548" t="s">
        <v>49</v>
      </c>
      <c r="E2548" s="117">
        <v>102.06</v>
      </c>
    </row>
    <row r="2549" spans="1:5" x14ac:dyDescent="0.25">
      <c r="A2549" s="119" t="s">
        <v>3045</v>
      </c>
      <c r="B2549" s="119" t="s">
        <v>9697</v>
      </c>
      <c r="C2549" s="119" t="s">
        <v>66</v>
      </c>
      <c r="D2549" t="s">
        <v>49</v>
      </c>
      <c r="E2549" s="117">
        <v>105.53</v>
      </c>
    </row>
    <row r="2550" spans="1:5" x14ac:dyDescent="0.25">
      <c r="A2550" s="119" t="s">
        <v>3046</v>
      </c>
      <c r="B2550" s="119" t="s">
        <v>9698</v>
      </c>
      <c r="C2550" s="119" t="s">
        <v>66</v>
      </c>
      <c r="D2550" t="s">
        <v>6760</v>
      </c>
      <c r="E2550" s="117">
        <v>133.97999999999999</v>
      </c>
    </row>
    <row r="2551" spans="1:5" x14ac:dyDescent="0.25">
      <c r="A2551" s="119" t="s">
        <v>3047</v>
      </c>
      <c r="B2551" s="119" t="s">
        <v>9699</v>
      </c>
      <c r="C2551" s="119" t="s">
        <v>66</v>
      </c>
      <c r="D2551" t="s">
        <v>45</v>
      </c>
      <c r="E2551" s="117">
        <v>161.49</v>
      </c>
    </row>
    <row r="2552" spans="1:5" x14ac:dyDescent="0.25">
      <c r="A2552" s="119" t="s">
        <v>3048</v>
      </c>
      <c r="B2552" s="119" t="s">
        <v>9700</v>
      </c>
      <c r="C2552" s="119" t="s">
        <v>66</v>
      </c>
      <c r="D2552" t="s">
        <v>6760</v>
      </c>
      <c r="E2552" s="117">
        <v>124.22</v>
      </c>
    </row>
    <row r="2553" spans="1:5" x14ac:dyDescent="0.25">
      <c r="A2553" s="119" t="s">
        <v>3049</v>
      </c>
      <c r="B2553" s="119" t="s">
        <v>9701</v>
      </c>
      <c r="C2553" s="119" t="s">
        <v>66</v>
      </c>
      <c r="D2553" t="s">
        <v>45</v>
      </c>
      <c r="E2553" s="117">
        <v>149.1</v>
      </c>
    </row>
    <row r="2554" spans="1:5" x14ac:dyDescent="0.25">
      <c r="A2554" s="119" t="s">
        <v>3050</v>
      </c>
      <c r="B2554" s="119" t="s">
        <v>9702</v>
      </c>
      <c r="C2554" s="119" t="s">
        <v>66</v>
      </c>
      <c r="D2554" t="s">
        <v>49</v>
      </c>
      <c r="E2554" s="117">
        <v>155.30000000000001</v>
      </c>
    </row>
    <row r="2555" spans="1:5" x14ac:dyDescent="0.25">
      <c r="A2555" s="119" t="s">
        <v>3051</v>
      </c>
      <c r="B2555" s="119" t="s">
        <v>9703</v>
      </c>
      <c r="C2555" s="119" t="s">
        <v>66</v>
      </c>
      <c r="D2555" t="s">
        <v>45</v>
      </c>
      <c r="E2555" s="117">
        <v>167.75</v>
      </c>
    </row>
    <row r="2556" spans="1:5" x14ac:dyDescent="0.25">
      <c r="A2556" s="119" t="s">
        <v>3052</v>
      </c>
      <c r="B2556" s="119" t="s">
        <v>9704</v>
      </c>
      <c r="C2556" s="119" t="s">
        <v>66</v>
      </c>
      <c r="D2556" t="s">
        <v>51</v>
      </c>
      <c r="E2556" s="117">
        <v>109.24</v>
      </c>
    </row>
    <row r="2557" spans="1:5" x14ac:dyDescent="0.25">
      <c r="A2557" s="119" t="s">
        <v>3053</v>
      </c>
      <c r="B2557" s="119" t="s">
        <v>9705</v>
      </c>
      <c r="C2557" s="119" t="s">
        <v>66</v>
      </c>
      <c r="D2557" t="s">
        <v>6760</v>
      </c>
      <c r="E2557" s="117">
        <v>180.14</v>
      </c>
    </row>
    <row r="2558" spans="1:5" x14ac:dyDescent="0.25">
      <c r="A2558" s="119" t="s">
        <v>3054</v>
      </c>
      <c r="B2558" s="119" t="s">
        <v>9706</v>
      </c>
      <c r="C2558" s="119" t="s">
        <v>66</v>
      </c>
      <c r="D2558" t="s">
        <v>45</v>
      </c>
      <c r="E2558" s="117">
        <v>191.34</v>
      </c>
    </row>
    <row r="2559" spans="1:5" x14ac:dyDescent="0.25">
      <c r="A2559" s="119" t="s">
        <v>3055</v>
      </c>
      <c r="B2559" s="119" t="s">
        <v>9707</v>
      </c>
      <c r="C2559" s="119" t="s">
        <v>66</v>
      </c>
      <c r="D2559" t="s">
        <v>45</v>
      </c>
      <c r="E2559" s="117">
        <v>197.72</v>
      </c>
    </row>
    <row r="2560" spans="1:5" x14ac:dyDescent="0.25">
      <c r="A2560" s="119" t="s">
        <v>3056</v>
      </c>
      <c r="B2560" s="119" t="s">
        <v>9708</v>
      </c>
      <c r="C2560" s="119" t="s">
        <v>66</v>
      </c>
      <c r="D2560" t="s">
        <v>45</v>
      </c>
      <c r="E2560" s="117">
        <v>205.02</v>
      </c>
    </row>
    <row r="2561" spans="1:5" x14ac:dyDescent="0.25">
      <c r="A2561" s="119" t="s">
        <v>3057</v>
      </c>
      <c r="B2561" s="119" t="s">
        <v>9709</v>
      </c>
      <c r="C2561" s="119" t="s">
        <v>66</v>
      </c>
      <c r="D2561" t="s">
        <v>49</v>
      </c>
      <c r="E2561" s="117">
        <v>210.45</v>
      </c>
    </row>
    <row r="2562" spans="1:5" x14ac:dyDescent="0.25">
      <c r="A2562" s="119" t="s">
        <v>3058</v>
      </c>
      <c r="B2562" s="119" t="s">
        <v>9710</v>
      </c>
      <c r="C2562" s="119" t="s">
        <v>66</v>
      </c>
      <c r="D2562" t="s">
        <v>45</v>
      </c>
      <c r="E2562" s="117">
        <v>217.42</v>
      </c>
    </row>
    <row r="2563" spans="1:5" x14ac:dyDescent="0.25">
      <c r="A2563" s="119" t="s">
        <v>3059</v>
      </c>
      <c r="B2563" s="119" t="s">
        <v>3060</v>
      </c>
      <c r="C2563" s="119" t="s">
        <v>66</v>
      </c>
      <c r="D2563" t="s">
        <v>49</v>
      </c>
      <c r="E2563" s="117">
        <v>2.13</v>
      </c>
    </row>
    <row r="2564" spans="1:5" x14ac:dyDescent="0.25">
      <c r="A2564" s="119" t="s">
        <v>3061</v>
      </c>
      <c r="B2564" s="119" t="s">
        <v>3062</v>
      </c>
      <c r="C2564" s="119" t="s">
        <v>66</v>
      </c>
      <c r="D2564" t="s">
        <v>51</v>
      </c>
      <c r="E2564" s="117">
        <v>2.13</v>
      </c>
    </row>
    <row r="2565" spans="1:5" x14ac:dyDescent="0.25">
      <c r="A2565" s="119" t="s">
        <v>3063</v>
      </c>
      <c r="B2565" s="119" t="s">
        <v>3064</v>
      </c>
      <c r="C2565" s="119" t="s">
        <v>66</v>
      </c>
      <c r="D2565" t="s">
        <v>51</v>
      </c>
      <c r="E2565" s="117">
        <v>2.25</v>
      </c>
    </row>
    <row r="2566" spans="1:5" x14ac:dyDescent="0.25">
      <c r="A2566" s="119" t="s">
        <v>3065</v>
      </c>
      <c r="B2566" s="119" t="s">
        <v>3066</v>
      </c>
      <c r="C2566" s="119" t="s">
        <v>66</v>
      </c>
      <c r="D2566" t="s">
        <v>51</v>
      </c>
      <c r="E2566" s="117">
        <v>2.48</v>
      </c>
    </row>
    <row r="2567" spans="1:5" x14ac:dyDescent="0.25">
      <c r="A2567" s="119" t="s">
        <v>3067</v>
      </c>
      <c r="B2567" s="119" t="s">
        <v>3068</v>
      </c>
      <c r="C2567" s="119" t="s">
        <v>66</v>
      </c>
      <c r="D2567" t="s">
        <v>51</v>
      </c>
      <c r="E2567" s="117">
        <v>3.54</v>
      </c>
    </row>
    <row r="2568" spans="1:5" x14ac:dyDescent="0.25">
      <c r="A2568" s="119" t="s">
        <v>3069</v>
      </c>
      <c r="B2568" s="119" t="s">
        <v>3070</v>
      </c>
      <c r="C2568" s="119" t="s">
        <v>66</v>
      </c>
      <c r="D2568" t="s">
        <v>51</v>
      </c>
      <c r="E2568" s="117">
        <v>3.98</v>
      </c>
    </row>
    <row r="2569" spans="1:5" x14ac:dyDescent="0.25">
      <c r="A2569" s="119" t="s">
        <v>3071</v>
      </c>
      <c r="B2569" s="119" t="s">
        <v>9711</v>
      </c>
      <c r="C2569" s="119" t="s">
        <v>66</v>
      </c>
      <c r="D2569" t="s">
        <v>49</v>
      </c>
      <c r="E2569" s="117">
        <v>4.71</v>
      </c>
    </row>
    <row r="2570" spans="1:5" x14ac:dyDescent="0.25">
      <c r="A2570" s="119" t="s">
        <v>3072</v>
      </c>
      <c r="B2570" s="119" t="s">
        <v>3073</v>
      </c>
      <c r="C2570" s="119" t="s">
        <v>66</v>
      </c>
      <c r="D2570" t="s">
        <v>51</v>
      </c>
      <c r="E2570" s="117">
        <v>5.2</v>
      </c>
    </row>
    <row r="2571" spans="1:5" x14ac:dyDescent="0.25">
      <c r="A2571" s="119" t="s">
        <v>3074</v>
      </c>
      <c r="B2571" s="119" t="s">
        <v>3075</v>
      </c>
      <c r="C2571" s="119" t="s">
        <v>66</v>
      </c>
      <c r="D2571" t="s">
        <v>6760</v>
      </c>
      <c r="E2571" s="117">
        <v>7.32</v>
      </c>
    </row>
    <row r="2572" spans="1:5" x14ac:dyDescent="0.25">
      <c r="A2572" s="119" t="s">
        <v>3076</v>
      </c>
      <c r="B2572" s="119" t="s">
        <v>9712</v>
      </c>
      <c r="C2572" s="119" t="s">
        <v>66</v>
      </c>
      <c r="D2572" t="s">
        <v>51</v>
      </c>
      <c r="E2572" s="117">
        <v>8.77</v>
      </c>
    </row>
    <row r="2573" spans="1:5" x14ac:dyDescent="0.25">
      <c r="A2573" s="119" t="s">
        <v>3077</v>
      </c>
      <c r="B2573" s="119" t="s">
        <v>3078</v>
      </c>
      <c r="C2573" s="119" t="s">
        <v>66</v>
      </c>
      <c r="D2573" t="s">
        <v>45</v>
      </c>
      <c r="E2573" s="117">
        <v>10.5</v>
      </c>
    </row>
    <row r="2574" spans="1:5" x14ac:dyDescent="0.25">
      <c r="A2574" s="119" t="s">
        <v>3079</v>
      </c>
      <c r="B2574" s="119" t="s">
        <v>9713</v>
      </c>
      <c r="C2574" s="119" t="s">
        <v>66</v>
      </c>
      <c r="D2574" t="s">
        <v>45</v>
      </c>
      <c r="E2574" s="117">
        <v>0</v>
      </c>
    </row>
    <row r="2575" spans="1:5" x14ac:dyDescent="0.25">
      <c r="A2575" s="119" t="s">
        <v>3080</v>
      </c>
      <c r="B2575" s="119" t="s">
        <v>9714</v>
      </c>
      <c r="C2575" s="119" t="s">
        <v>66</v>
      </c>
      <c r="D2575" t="s">
        <v>45</v>
      </c>
      <c r="E2575" s="117">
        <v>0</v>
      </c>
    </row>
    <row r="2576" spans="1:5" x14ac:dyDescent="0.25">
      <c r="A2576" s="119" t="s">
        <v>3081</v>
      </c>
      <c r="B2576" s="119" t="s">
        <v>9715</v>
      </c>
      <c r="C2576" s="119" t="s">
        <v>66</v>
      </c>
      <c r="D2576" t="s">
        <v>49</v>
      </c>
      <c r="E2576" s="117">
        <v>11.21</v>
      </c>
    </row>
    <row r="2577" spans="1:5" x14ac:dyDescent="0.25">
      <c r="A2577" s="119" t="s">
        <v>3082</v>
      </c>
      <c r="B2577" s="119" t="s">
        <v>9716</v>
      </c>
      <c r="C2577" s="119" t="s">
        <v>66</v>
      </c>
      <c r="D2577" t="s">
        <v>45</v>
      </c>
      <c r="E2577" s="117">
        <v>13.1</v>
      </c>
    </row>
    <row r="2578" spans="1:5" x14ac:dyDescent="0.25">
      <c r="A2578" s="119" t="s">
        <v>3083</v>
      </c>
      <c r="B2578" s="119" t="s">
        <v>9717</v>
      </c>
      <c r="C2578" s="119" t="s">
        <v>66</v>
      </c>
      <c r="D2578" t="s">
        <v>6760</v>
      </c>
      <c r="E2578" s="117">
        <v>14.05</v>
      </c>
    </row>
    <row r="2579" spans="1:5" x14ac:dyDescent="0.25">
      <c r="A2579" s="119" t="s">
        <v>3084</v>
      </c>
      <c r="B2579" s="119" t="s">
        <v>9718</v>
      </c>
      <c r="C2579" s="119" t="s">
        <v>66</v>
      </c>
      <c r="D2579" t="s">
        <v>45</v>
      </c>
      <c r="E2579" s="117">
        <v>19.309999999999999</v>
      </c>
    </row>
    <row r="2580" spans="1:5" x14ac:dyDescent="0.25">
      <c r="A2580" s="119" t="s">
        <v>3085</v>
      </c>
      <c r="B2580" s="119" t="s">
        <v>9719</v>
      </c>
      <c r="C2580" s="119" t="s">
        <v>66</v>
      </c>
      <c r="D2580" t="s">
        <v>45</v>
      </c>
      <c r="E2580" s="117">
        <v>0</v>
      </c>
    </row>
    <row r="2581" spans="1:5" x14ac:dyDescent="0.25">
      <c r="A2581" s="119" t="s">
        <v>3086</v>
      </c>
      <c r="B2581" s="119" t="s">
        <v>9720</v>
      </c>
      <c r="C2581" s="119" t="s">
        <v>66</v>
      </c>
      <c r="D2581" t="s">
        <v>45</v>
      </c>
      <c r="E2581" s="117">
        <v>0</v>
      </c>
    </row>
    <row r="2582" spans="1:5" x14ac:dyDescent="0.25">
      <c r="A2582" s="119" t="s">
        <v>3087</v>
      </c>
      <c r="B2582" s="119" t="s">
        <v>9721</v>
      </c>
      <c r="C2582" s="119" t="s">
        <v>66</v>
      </c>
      <c r="D2582" t="s">
        <v>45</v>
      </c>
      <c r="E2582" s="117">
        <v>38.119999999999997</v>
      </c>
    </row>
    <row r="2583" spans="1:5" x14ac:dyDescent="0.25">
      <c r="A2583" s="119" t="s">
        <v>3088</v>
      </c>
      <c r="B2583" s="119" t="s">
        <v>9722</v>
      </c>
      <c r="C2583" s="119" t="s">
        <v>66</v>
      </c>
      <c r="D2583" t="s">
        <v>45</v>
      </c>
      <c r="E2583" s="117">
        <v>42.83</v>
      </c>
    </row>
    <row r="2584" spans="1:5" x14ac:dyDescent="0.25">
      <c r="A2584" s="119" t="s">
        <v>3089</v>
      </c>
      <c r="B2584" s="119" t="s">
        <v>9723</v>
      </c>
      <c r="C2584" s="119" t="s">
        <v>66</v>
      </c>
      <c r="D2584" t="s">
        <v>51</v>
      </c>
      <c r="E2584" s="117">
        <v>11.21</v>
      </c>
    </row>
    <row r="2585" spans="1:5" x14ac:dyDescent="0.25">
      <c r="A2585" s="119" t="s">
        <v>3090</v>
      </c>
      <c r="B2585" s="119" t="s">
        <v>9724</v>
      </c>
      <c r="C2585" s="119" t="s">
        <v>66</v>
      </c>
      <c r="D2585" t="s">
        <v>51</v>
      </c>
      <c r="E2585" s="117">
        <v>13.1</v>
      </c>
    </row>
    <row r="2586" spans="1:5" x14ac:dyDescent="0.25">
      <c r="A2586" s="119" t="s">
        <v>3091</v>
      </c>
      <c r="B2586" s="119" t="s">
        <v>9725</v>
      </c>
      <c r="C2586" s="119" t="s">
        <v>66</v>
      </c>
      <c r="D2586" t="s">
        <v>6760</v>
      </c>
      <c r="E2586" s="117">
        <v>17.46</v>
      </c>
    </row>
    <row r="2587" spans="1:5" x14ac:dyDescent="0.25">
      <c r="A2587" s="119" t="s">
        <v>3092</v>
      </c>
      <c r="B2587" s="119" t="s">
        <v>9726</v>
      </c>
      <c r="C2587" s="119" t="s">
        <v>66</v>
      </c>
      <c r="D2587" t="s">
        <v>6759</v>
      </c>
      <c r="E2587" s="117">
        <v>20.53</v>
      </c>
    </row>
    <row r="2588" spans="1:5" x14ac:dyDescent="0.25">
      <c r="A2588" s="119" t="s">
        <v>3093</v>
      </c>
      <c r="B2588" s="119" t="s">
        <v>9727</v>
      </c>
      <c r="C2588" s="119" t="s">
        <v>66</v>
      </c>
      <c r="D2588" t="s">
        <v>45</v>
      </c>
      <c r="E2588" s="117">
        <v>0</v>
      </c>
    </row>
    <row r="2589" spans="1:5" x14ac:dyDescent="0.25">
      <c r="A2589" s="119" t="s">
        <v>3094</v>
      </c>
      <c r="B2589" s="119" t="s">
        <v>9728</v>
      </c>
      <c r="C2589" s="119" t="s">
        <v>66</v>
      </c>
      <c r="D2589" t="s">
        <v>51</v>
      </c>
      <c r="E2589" s="117">
        <v>25.37</v>
      </c>
    </row>
    <row r="2590" spans="1:5" x14ac:dyDescent="0.25">
      <c r="A2590" s="119" t="s">
        <v>3095</v>
      </c>
      <c r="B2590" s="119" t="s">
        <v>9729</v>
      </c>
      <c r="C2590" s="119" t="s">
        <v>66</v>
      </c>
      <c r="D2590" t="s">
        <v>49</v>
      </c>
      <c r="E2590" s="117">
        <v>27.96</v>
      </c>
    </row>
    <row r="2591" spans="1:5" x14ac:dyDescent="0.25">
      <c r="A2591" s="119" t="s">
        <v>3096</v>
      </c>
      <c r="B2591" s="119" t="s">
        <v>9730</v>
      </c>
      <c r="C2591" s="119" t="s">
        <v>66</v>
      </c>
      <c r="D2591" t="s">
        <v>51</v>
      </c>
      <c r="E2591" s="117">
        <v>32.090000000000003</v>
      </c>
    </row>
    <row r="2592" spans="1:5" x14ac:dyDescent="0.25">
      <c r="A2592" s="119" t="s">
        <v>3097</v>
      </c>
      <c r="B2592" s="119" t="s">
        <v>9731</v>
      </c>
      <c r="C2592" s="119" t="s">
        <v>66</v>
      </c>
      <c r="D2592" t="s">
        <v>6760</v>
      </c>
      <c r="E2592" s="117">
        <v>37.67</v>
      </c>
    </row>
    <row r="2593" spans="1:5" x14ac:dyDescent="0.25">
      <c r="A2593" s="119" t="s">
        <v>3098</v>
      </c>
      <c r="B2593" s="119" t="s">
        <v>9732</v>
      </c>
      <c r="C2593" s="119" t="s">
        <v>66</v>
      </c>
      <c r="D2593" t="s">
        <v>49</v>
      </c>
      <c r="E2593" s="117">
        <v>29.49</v>
      </c>
    </row>
    <row r="2594" spans="1:5" x14ac:dyDescent="0.25">
      <c r="A2594" s="119" t="s">
        <v>3099</v>
      </c>
      <c r="B2594" s="119" t="s">
        <v>9733</v>
      </c>
      <c r="C2594" s="119" t="s">
        <v>66</v>
      </c>
      <c r="D2594" t="s">
        <v>51</v>
      </c>
      <c r="E2594" s="117">
        <v>31.5</v>
      </c>
    </row>
    <row r="2595" spans="1:5" x14ac:dyDescent="0.25">
      <c r="A2595" s="119" t="s">
        <v>3100</v>
      </c>
      <c r="B2595" s="119" t="s">
        <v>3101</v>
      </c>
      <c r="C2595" s="119" t="s">
        <v>66</v>
      </c>
      <c r="D2595" t="s">
        <v>51</v>
      </c>
      <c r="E2595" s="117">
        <v>37.46</v>
      </c>
    </row>
    <row r="2596" spans="1:5" x14ac:dyDescent="0.25">
      <c r="A2596" s="119" t="s">
        <v>3102</v>
      </c>
      <c r="B2596" s="119" t="s">
        <v>9734</v>
      </c>
      <c r="C2596" s="119" t="s">
        <v>66</v>
      </c>
      <c r="D2596" t="s">
        <v>6760</v>
      </c>
      <c r="E2596" s="117">
        <v>40.270000000000003</v>
      </c>
    </row>
    <row r="2597" spans="1:5" x14ac:dyDescent="0.25">
      <c r="A2597" s="119" t="s">
        <v>3103</v>
      </c>
      <c r="B2597" s="119" t="s">
        <v>9735</v>
      </c>
      <c r="C2597" s="119" t="s">
        <v>66</v>
      </c>
      <c r="D2597" t="s">
        <v>45</v>
      </c>
      <c r="E2597" s="117">
        <v>41.46</v>
      </c>
    </row>
    <row r="2598" spans="1:5" x14ac:dyDescent="0.25">
      <c r="A2598" s="119" t="s">
        <v>3104</v>
      </c>
      <c r="B2598" s="119" t="s">
        <v>9736</v>
      </c>
      <c r="C2598" s="119" t="s">
        <v>66</v>
      </c>
      <c r="D2598" t="s">
        <v>51</v>
      </c>
      <c r="E2598" s="117">
        <v>51.54</v>
      </c>
    </row>
    <row r="2599" spans="1:5" x14ac:dyDescent="0.25">
      <c r="A2599" s="119" t="s">
        <v>3105</v>
      </c>
      <c r="B2599" s="119" t="s">
        <v>9737</v>
      </c>
      <c r="C2599" s="119" t="s">
        <v>66</v>
      </c>
      <c r="D2599" t="s">
        <v>49</v>
      </c>
      <c r="E2599" s="117">
        <v>56.23</v>
      </c>
    </row>
    <row r="2600" spans="1:5" x14ac:dyDescent="0.25">
      <c r="A2600" s="119" t="s">
        <v>3106</v>
      </c>
      <c r="B2600" s="119" t="s">
        <v>9738</v>
      </c>
      <c r="C2600" s="119" t="s">
        <v>66</v>
      </c>
      <c r="D2600" t="s">
        <v>6760</v>
      </c>
      <c r="E2600" s="117">
        <v>60.28</v>
      </c>
    </row>
    <row r="2601" spans="1:5" x14ac:dyDescent="0.25">
      <c r="A2601" s="119" t="s">
        <v>3107</v>
      </c>
      <c r="B2601" s="119" t="s">
        <v>9739</v>
      </c>
      <c r="C2601" s="119" t="s">
        <v>66</v>
      </c>
      <c r="D2601" t="s">
        <v>45</v>
      </c>
      <c r="E2601" s="117">
        <v>63.81</v>
      </c>
    </row>
    <row r="2602" spans="1:5" x14ac:dyDescent="0.25">
      <c r="A2602" s="119" t="s">
        <v>3108</v>
      </c>
      <c r="B2602" s="119" t="s">
        <v>9740</v>
      </c>
      <c r="C2602" s="119" t="s">
        <v>66</v>
      </c>
      <c r="D2602" t="s">
        <v>45</v>
      </c>
      <c r="E2602" s="117">
        <v>0</v>
      </c>
    </row>
    <row r="2603" spans="1:5" x14ac:dyDescent="0.25">
      <c r="A2603" s="119" t="s">
        <v>3109</v>
      </c>
      <c r="B2603" s="119" t="s">
        <v>9741</v>
      </c>
      <c r="C2603" s="119" t="s">
        <v>66</v>
      </c>
      <c r="D2603" t="s">
        <v>45</v>
      </c>
      <c r="E2603" s="117">
        <v>87.06</v>
      </c>
    </row>
    <row r="2604" spans="1:5" x14ac:dyDescent="0.25">
      <c r="A2604" s="119" t="s">
        <v>3110</v>
      </c>
      <c r="B2604" s="119" t="s">
        <v>9742</v>
      </c>
      <c r="C2604" s="119" t="s">
        <v>66</v>
      </c>
      <c r="D2604" t="s">
        <v>49</v>
      </c>
      <c r="E2604" s="117">
        <v>100.51</v>
      </c>
    </row>
    <row r="2605" spans="1:5" x14ac:dyDescent="0.25">
      <c r="A2605" s="119" t="s">
        <v>3111</v>
      </c>
      <c r="B2605" s="119" t="s">
        <v>9743</v>
      </c>
      <c r="C2605" s="119" t="s">
        <v>66</v>
      </c>
      <c r="D2605" t="s">
        <v>51</v>
      </c>
      <c r="E2605" s="117">
        <v>5.6</v>
      </c>
    </row>
    <row r="2606" spans="1:5" x14ac:dyDescent="0.25">
      <c r="A2606" s="119" t="s">
        <v>3112</v>
      </c>
      <c r="B2606" s="119" t="s">
        <v>9744</v>
      </c>
      <c r="C2606" s="119" t="s">
        <v>66</v>
      </c>
      <c r="D2606" t="s">
        <v>6760</v>
      </c>
      <c r="E2606" s="117">
        <v>6.3</v>
      </c>
    </row>
    <row r="2607" spans="1:5" x14ac:dyDescent="0.25">
      <c r="A2607" s="119" t="s">
        <v>3113</v>
      </c>
      <c r="B2607" s="119" t="s">
        <v>9745</v>
      </c>
      <c r="C2607" s="119" t="s">
        <v>66</v>
      </c>
      <c r="D2607" t="s">
        <v>6760</v>
      </c>
      <c r="E2607" s="117">
        <v>6.85</v>
      </c>
    </row>
    <row r="2608" spans="1:5" x14ac:dyDescent="0.25">
      <c r="A2608" s="119" t="s">
        <v>3114</v>
      </c>
      <c r="B2608" s="119" t="s">
        <v>3115</v>
      </c>
      <c r="C2608" s="119" t="s">
        <v>66</v>
      </c>
      <c r="D2608" t="s">
        <v>51</v>
      </c>
      <c r="E2608" s="117">
        <v>7.46</v>
      </c>
    </row>
    <row r="2609" spans="1:5" x14ac:dyDescent="0.25">
      <c r="A2609" s="119" t="s">
        <v>3116</v>
      </c>
      <c r="B2609" s="119" t="s">
        <v>9746</v>
      </c>
      <c r="C2609" s="119" t="s">
        <v>66</v>
      </c>
      <c r="D2609" t="s">
        <v>51</v>
      </c>
      <c r="E2609" s="117">
        <v>8.68</v>
      </c>
    </row>
    <row r="2610" spans="1:5" x14ac:dyDescent="0.25">
      <c r="A2610" s="119" t="s">
        <v>3117</v>
      </c>
      <c r="B2610" s="119" t="s">
        <v>9747</v>
      </c>
      <c r="C2610" s="119" t="s">
        <v>66</v>
      </c>
      <c r="D2610" t="s">
        <v>6760</v>
      </c>
      <c r="E2610" s="117">
        <v>9.4499999999999993</v>
      </c>
    </row>
    <row r="2611" spans="1:5" x14ac:dyDescent="0.25">
      <c r="A2611" s="119" t="s">
        <v>3118</v>
      </c>
      <c r="B2611" s="119" t="s">
        <v>9748</v>
      </c>
      <c r="C2611" s="119" t="s">
        <v>66</v>
      </c>
      <c r="D2611" t="s">
        <v>45</v>
      </c>
      <c r="E2611" s="117">
        <v>0</v>
      </c>
    </row>
    <row r="2612" spans="1:5" x14ac:dyDescent="0.25">
      <c r="A2612" s="119" t="s">
        <v>3119</v>
      </c>
      <c r="B2612" s="119" t="s">
        <v>3120</v>
      </c>
      <c r="C2612" s="119" t="s">
        <v>66</v>
      </c>
      <c r="D2612" t="s">
        <v>51</v>
      </c>
      <c r="E2612" s="117">
        <v>7.88</v>
      </c>
    </row>
    <row r="2613" spans="1:5" x14ac:dyDescent="0.25">
      <c r="A2613" s="119" t="s">
        <v>3121</v>
      </c>
      <c r="B2613" s="119" t="s">
        <v>3122</v>
      </c>
      <c r="C2613" s="119" t="s">
        <v>66</v>
      </c>
      <c r="D2613" t="s">
        <v>49</v>
      </c>
      <c r="E2613" s="117">
        <v>12.39</v>
      </c>
    </row>
    <row r="2614" spans="1:5" x14ac:dyDescent="0.25">
      <c r="A2614" s="119" t="s">
        <v>3123</v>
      </c>
      <c r="B2614" s="119" t="s">
        <v>3124</v>
      </c>
      <c r="C2614" s="119" t="s">
        <v>66</v>
      </c>
      <c r="D2614" t="s">
        <v>6760</v>
      </c>
      <c r="E2614" s="117">
        <v>12.6</v>
      </c>
    </row>
    <row r="2615" spans="1:5" x14ac:dyDescent="0.25">
      <c r="A2615" s="119" t="s">
        <v>3125</v>
      </c>
      <c r="B2615" s="119" t="s">
        <v>9749</v>
      </c>
      <c r="C2615" s="119" t="s">
        <v>66</v>
      </c>
      <c r="D2615" t="s">
        <v>45</v>
      </c>
      <c r="E2615" s="117">
        <v>0</v>
      </c>
    </row>
    <row r="2616" spans="1:5" x14ac:dyDescent="0.25">
      <c r="A2616" s="119" t="s">
        <v>3126</v>
      </c>
      <c r="B2616" s="119" t="s">
        <v>9750</v>
      </c>
      <c r="C2616" s="119" t="s">
        <v>66</v>
      </c>
      <c r="D2616" t="s">
        <v>45</v>
      </c>
      <c r="E2616" s="117">
        <v>0</v>
      </c>
    </row>
    <row r="2617" spans="1:5" x14ac:dyDescent="0.25">
      <c r="A2617" s="119" t="s">
        <v>3127</v>
      </c>
      <c r="B2617" s="119" t="s">
        <v>9751</v>
      </c>
      <c r="C2617" s="119" t="s">
        <v>66</v>
      </c>
      <c r="D2617" t="s">
        <v>45</v>
      </c>
      <c r="E2617" s="117">
        <v>0</v>
      </c>
    </row>
    <row r="2618" spans="1:5" x14ac:dyDescent="0.25">
      <c r="A2618" s="119" t="s">
        <v>3128</v>
      </c>
      <c r="B2618" s="119" t="s">
        <v>3129</v>
      </c>
      <c r="C2618" s="119" t="s">
        <v>66</v>
      </c>
      <c r="D2618" t="s">
        <v>51</v>
      </c>
      <c r="E2618" s="117">
        <v>17.54</v>
      </c>
    </row>
    <row r="2619" spans="1:5" x14ac:dyDescent="0.25">
      <c r="A2619" s="119" t="s">
        <v>3130</v>
      </c>
      <c r="B2619" s="119" t="s">
        <v>9752</v>
      </c>
      <c r="C2619" s="119" t="s">
        <v>66</v>
      </c>
      <c r="D2619" t="s">
        <v>51</v>
      </c>
      <c r="E2619" s="117">
        <v>18.690000000000001</v>
      </c>
    </row>
    <row r="2620" spans="1:5" x14ac:dyDescent="0.25">
      <c r="A2620" s="119" t="s">
        <v>3131</v>
      </c>
      <c r="B2620" s="119" t="s">
        <v>3132</v>
      </c>
      <c r="C2620" s="119" t="s">
        <v>66</v>
      </c>
      <c r="D2620" t="s">
        <v>51</v>
      </c>
      <c r="E2620" s="117">
        <v>18.690000000000001</v>
      </c>
    </row>
    <row r="2621" spans="1:5" x14ac:dyDescent="0.25">
      <c r="A2621" s="119" t="s">
        <v>3133</v>
      </c>
      <c r="B2621" s="119" t="s">
        <v>9753</v>
      </c>
      <c r="C2621" s="119" t="s">
        <v>66</v>
      </c>
      <c r="D2621" t="s">
        <v>6760</v>
      </c>
      <c r="E2621" s="117">
        <v>21</v>
      </c>
    </row>
    <row r="2622" spans="1:5" x14ac:dyDescent="0.25">
      <c r="A2622" s="119" t="s">
        <v>3134</v>
      </c>
      <c r="B2622" s="119" t="s">
        <v>7487</v>
      </c>
      <c r="C2622" s="119" t="s">
        <v>66</v>
      </c>
      <c r="D2622" t="s">
        <v>49</v>
      </c>
      <c r="E2622" s="117">
        <v>61.43</v>
      </c>
    </row>
    <row r="2623" spans="1:5" x14ac:dyDescent="0.25">
      <c r="A2623" s="119" t="s">
        <v>3135</v>
      </c>
      <c r="B2623" s="119" t="s">
        <v>9754</v>
      </c>
      <c r="C2623" s="119" t="s">
        <v>66</v>
      </c>
      <c r="D2623" t="s">
        <v>45</v>
      </c>
      <c r="E2623" s="117">
        <v>0</v>
      </c>
    </row>
    <row r="2624" spans="1:5" x14ac:dyDescent="0.25">
      <c r="A2624" s="119" t="s">
        <v>3136</v>
      </c>
      <c r="B2624" s="119" t="s">
        <v>9755</v>
      </c>
      <c r="C2624" s="119" t="s">
        <v>66</v>
      </c>
      <c r="D2624" t="s">
        <v>51</v>
      </c>
      <c r="E2624" s="117">
        <v>37.799999999999997</v>
      </c>
    </row>
    <row r="2625" spans="1:5" x14ac:dyDescent="0.25">
      <c r="A2625" s="119" t="s">
        <v>3137</v>
      </c>
      <c r="B2625" s="119" t="s">
        <v>7488</v>
      </c>
      <c r="C2625" s="119" t="s">
        <v>66</v>
      </c>
      <c r="D2625" t="s">
        <v>45</v>
      </c>
      <c r="E2625" s="117">
        <v>70.25</v>
      </c>
    </row>
    <row r="2626" spans="1:5" x14ac:dyDescent="0.25">
      <c r="A2626" s="119" t="s">
        <v>3138</v>
      </c>
      <c r="B2626" s="119" t="s">
        <v>7489</v>
      </c>
      <c r="C2626" s="119" t="s">
        <v>66</v>
      </c>
      <c r="D2626" t="s">
        <v>51</v>
      </c>
      <c r="E2626" s="117">
        <v>33.08</v>
      </c>
    </row>
    <row r="2627" spans="1:5" x14ac:dyDescent="0.25">
      <c r="A2627" s="119" t="s">
        <v>3139</v>
      </c>
      <c r="B2627" s="119" t="s">
        <v>9756</v>
      </c>
      <c r="C2627" s="119" t="s">
        <v>66</v>
      </c>
      <c r="D2627" t="s">
        <v>45</v>
      </c>
      <c r="E2627" s="117">
        <v>39.380000000000003</v>
      </c>
    </row>
    <row r="2628" spans="1:5" x14ac:dyDescent="0.25">
      <c r="A2628" s="119" t="s">
        <v>3140</v>
      </c>
      <c r="B2628" s="119" t="s">
        <v>9757</v>
      </c>
      <c r="C2628" s="119" t="s">
        <v>66</v>
      </c>
      <c r="D2628" t="s">
        <v>51</v>
      </c>
      <c r="E2628" s="117">
        <v>16.07</v>
      </c>
    </row>
    <row r="2629" spans="1:5" x14ac:dyDescent="0.25">
      <c r="A2629" s="119" t="s">
        <v>3141</v>
      </c>
      <c r="B2629" s="119" t="s">
        <v>9758</v>
      </c>
      <c r="C2629" s="119" t="s">
        <v>66</v>
      </c>
      <c r="D2629" t="s">
        <v>6759</v>
      </c>
      <c r="E2629" s="117">
        <v>31.08</v>
      </c>
    </row>
    <row r="2630" spans="1:5" x14ac:dyDescent="0.25">
      <c r="A2630" s="119" t="s">
        <v>3142</v>
      </c>
      <c r="B2630" s="119" t="s">
        <v>7490</v>
      </c>
      <c r="C2630" s="119" t="s">
        <v>66</v>
      </c>
      <c r="D2630" t="s">
        <v>51</v>
      </c>
      <c r="E2630" s="117">
        <v>13.97</v>
      </c>
    </row>
    <row r="2631" spans="1:5" x14ac:dyDescent="0.25">
      <c r="A2631" s="119" t="s">
        <v>3143</v>
      </c>
      <c r="B2631" s="119" t="s">
        <v>3144</v>
      </c>
      <c r="C2631" s="119" t="s">
        <v>66</v>
      </c>
      <c r="D2631" t="s">
        <v>51</v>
      </c>
      <c r="E2631" s="117">
        <v>14.6</v>
      </c>
    </row>
    <row r="2632" spans="1:5" x14ac:dyDescent="0.25">
      <c r="A2632" s="119" t="s">
        <v>3145</v>
      </c>
      <c r="B2632" s="119" t="s">
        <v>7491</v>
      </c>
      <c r="C2632" s="119" t="s">
        <v>66</v>
      </c>
      <c r="D2632" t="s">
        <v>51</v>
      </c>
      <c r="E2632" s="117">
        <v>19.43</v>
      </c>
    </row>
    <row r="2633" spans="1:5" x14ac:dyDescent="0.25">
      <c r="A2633" s="119" t="s">
        <v>3146</v>
      </c>
      <c r="B2633" s="119" t="s">
        <v>9759</v>
      </c>
      <c r="C2633" s="119" t="s">
        <v>66</v>
      </c>
      <c r="D2633" t="s">
        <v>49</v>
      </c>
      <c r="E2633" s="117">
        <v>99.54</v>
      </c>
    </row>
    <row r="2634" spans="1:5" x14ac:dyDescent="0.25">
      <c r="A2634" s="119" t="s">
        <v>3147</v>
      </c>
      <c r="B2634" s="119" t="s">
        <v>9760</v>
      </c>
      <c r="C2634" s="119" t="s">
        <v>66</v>
      </c>
      <c r="D2634" t="s">
        <v>49</v>
      </c>
      <c r="E2634" s="117">
        <v>49.46</v>
      </c>
    </row>
    <row r="2635" spans="1:5" x14ac:dyDescent="0.25">
      <c r="A2635" s="119" t="s">
        <v>3148</v>
      </c>
      <c r="B2635" s="119" t="s">
        <v>9761</v>
      </c>
      <c r="C2635" s="119" t="s">
        <v>66</v>
      </c>
      <c r="D2635" t="s">
        <v>51</v>
      </c>
      <c r="E2635" s="117">
        <v>2.42</v>
      </c>
    </row>
    <row r="2636" spans="1:5" x14ac:dyDescent="0.25">
      <c r="A2636" s="119" t="s">
        <v>3149</v>
      </c>
      <c r="B2636" s="119" t="s">
        <v>9762</v>
      </c>
      <c r="C2636" s="119" t="s">
        <v>66</v>
      </c>
      <c r="D2636" t="s">
        <v>45</v>
      </c>
      <c r="E2636" s="117">
        <v>0</v>
      </c>
    </row>
    <row r="2637" spans="1:5" x14ac:dyDescent="0.25">
      <c r="A2637" s="119" t="s">
        <v>3150</v>
      </c>
      <c r="B2637" s="119" t="s">
        <v>9763</v>
      </c>
      <c r="C2637" s="119" t="s">
        <v>66</v>
      </c>
      <c r="D2637" t="s">
        <v>45</v>
      </c>
      <c r="E2637" s="117">
        <v>0</v>
      </c>
    </row>
    <row r="2638" spans="1:5" x14ac:dyDescent="0.25">
      <c r="A2638" s="119" t="s">
        <v>3151</v>
      </c>
      <c r="B2638" s="119" t="s">
        <v>9764</v>
      </c>
      <c r="C2638" s="119" t="s">
        <v>66</v>
      </c>
      <c r="D2638" t="s">
        <v>45</v>
      </c>
      <c r="E2638" s="117">
        <v>0</v>
      </c>
    </row>
    <row r="2639" spans="1:5" x14ac:dyDescent="0.25">
      <c r="A2639" s="119" t="s">
        <v>3152</v>
      </c>
      <c r="B2639" s="119" t="s">
        <v>9765</v>
      </c>
      <c r="C2639" s="119" t="s">
        <v>66</v>
      </c>
      <c r="D2639" t="s">
        <v>45</v>
      </c>
      <c r="E2639" s="117">
        <v>0</v>
      </c>
    </row>
    <row r="2640" spans="1:5" x14ac:dyDescent="0.25">
      <c r="A2640" s="119" t="s">
        <v>3153</v>
      </c>
      <c r="B2640" s="119" t="s">
        <v>9766</v>
      </c>
      <c r="C2640" s="119" t="s">
        <v>66</v>
      </c>
      <c r="D2640" t="s">
        <v>45</v>
      </c>
      <c r="E2640" s="117">
        <v>0</v>
      </c>
    </row>
    <row r="2641" spans="1:5" x14ac:dyDescent="0.25">
      <c r="A2641" s="119" t="s">
        <v>3154</v>
      </c>
      <c r="B2641" s="119" t="s">
        <v>9767</v>
      </c>
      <c r="C2641" s="119" t="s">
        <v>66</v>
      </c>
      <c r="D2641" t="s">
        <v>45</v>
      </c>
      <c r="E2641" s="117">
        <v>0</v>
      </c>
    </row>
    <row r="2642" spans="1:5" x14ac:dyDescent="0.25">
      <c r="A2642" s="119" t="s">
        <v>3155</v>
      </c>
      <c r="B2642" s="119" t="s">
        <v>9768</v>
      </c>
      <c r="C2642" s="119" t="s">
        <v>66</v>
      </c>
      <c r="D2642" t="s">
        <v>45</v>
      </c>
      <c r="E2642" s="117">
        <v>0</v>
      </c>
    </row>
    <row r="2643" spans="1:5" x14ac:dyDescent="0.25">
      <c r="A2643" s="119" t="s">
        <v>3156</v>
      </c>
      <c r="B2643" s="119" t="s">
        <v>9769</v>
      </c>
      <c r="C2643" s="119" t="s">
        <v>66</v>
      </c>
      <c r="D2643" t="s">
        <v>45</v>
      </c>
      <c r="E2643" s="117">
        <v>0</v>
      </c>
    </row>
    <row r="2644" spans="1:5" x14ac:dyDescent="0.25">
      <c r="A2644" s="119" t="s">
        <v>3157</v>
      </c>
      <c r="B2644" s="119" t="s">
        <v>9770</v>
      </c>
      <c r="C2644" s="119" t="s">
        <v>66</v>
      </c>
      <c r="D2644" t="s">
        <v>45</v>
      </c>
      <c r="E2644" s="117">
        <v>0</v>
      </c>
    </row>
    <row r="2645" spans="1:5" x14ac:dyDescent="0.25">
      <c r="A2645" s="119" t="s">
        <v>3158</v>
      </c>
      <c r="B2645" s="119" t="s">
        <v>9771</v>
      </c>
      <c r="C2645" s="119" t="s">
        <v>66</v>
      </c>
      <c r="D2645" t="s">
        <v>49</v>
      </c>
      <c r="E2645" s="117">
        <v>8.4</v>
      </c>
    </row>
    <row r="2646" spans="1:5" x14ac:dyDescent="0.25">
      <c r="A2646" s="119" t="s">
        <v>3159</v>
      </c>
      <c r="B2646" s="119" t="s">
        <v>9772</v>
      </c>
      <c r="C2646" s="119" t="s">
        <v>66</v>
      </c>
      <c r="D2646" t="s">
        <v>45</v>
      </c>
      <c r="E2646" s="117">
        <v>10.5</v>
      </c>
    </row>
    <row r="2647" spans="1:5" x14ac:dyDescent="0.25">
      <c r="A2647" s="119" t="s">
        <v>3160</v>
      </c>
      <c r="B2647" s="119" t="s">
        <v>9773</v>
      </c>
      <c r="C2647" s="119" t="s">
        <v>66</v>
      </c>
      <c r="D2647" t="s">
        <v>45</v>
      </c>
      <c r="E2647" s="117">
        <v>0</v>
      </c>
    </row>
    <row r="2648" spans="1:5" x14ac:dyDescent="0.25">
      <c r="A2648" s="119" t="s">
        <v>3161</v>
      </c>
      <c r="B2648" s="119" t="s">
        <v>9774</v>
      </c>
      <c r="C2648" s="119" t="s">
        <v>66</v>
      </c>
      <c r="D2648" t="s">
        <v>6760</v>
      </c>
      <c r="E2648" s="117">
        <v>15.12</v>
      </c>
    </row>
    <row r="2649" spans="1:5" x14ac:dyDescent="0.25">
      <c r="A2649" s="119" t="s">
        <v>3162</v>
      </c>
      <c r="B2649" s="119" t="s">
        <v>9775</v>
      </c>
      <c r="C2649" s="119" t="s">
        <v>66</v>
      </c>
      <c r="D2649" t="s">
        <v>45</v>
      </c>
      <c r="E2649" s="117">
        <v>0</v>
      </c>
    </row>
    <row r="2650" spans="1:5" x14ac:dyDescent="0.25">
      <c r="A2650" s="119" t="s">
        <v>3163</v>
      </c>
      <c r="B2650" s="119" t="s">
        <v>9776</v>
      </c>
      <c r="C2650" s="119" t="s">
        <v>66</v>
      </c>
      <c r="D2650" t="s">
        <v>45</v>
      </c>
      <c r="E2650" s="117">
        <v>0</v>
      </c>
    </row>
    <row r="2651" spans="1:5" x14ac:dyDescent="0.25">
      <c r="A2651" s="119" t="s">
        <v>3164</v>
      </c>
      <c r="B2651" s="119" t="s">
        <v>9777</v>
      </c>
      <c r="C2651" s="119" t="s">
        <v>66</v>
      </c>
      <c r="D2651" t="s">
        <v>45</v>
      </c>
      <c r="E2651" s="117">
        <v>0</v>
      </c>
    </row>
    <row r="2652" spans="1:5" x14ac:dyDescent="0.25">
      <c r="A2652" s="119" t="s">
        <v>3165</v>
      </c>
      <c r="B2652" s="119" t="s">
        <v>9778</v>
      </c>
      <c r="C2652" s="119" t="s">
        <v>66</v>
      </c>
      <c r="D2652" t="s">
        <v>45</v>
      </c>
      <c r="E2652" s="117">
        <v>0</v>
      </c>
    </row>
    <row r="2653" spans="1:5" x14ac:dyDescent="0.25">
      <c r="A2653" s="119" t="s">
        <v>3166</v>
      </c>
      <c r="B2653" s="119" t="s">
        <v>9779</v>
      </c>
      <c r="C2653" s="119" t="s">
        <v>66</v>
      </c>
      <c r="D2653" t="s">
        <v>45</v>
      </c>
      <c r="E2653" s="117">
        <v>0</v>
      </c>
    </row>
    <row r="2654" spans="1:5" x14ac:dyDescent="0.25">
      <c r="A2654" s="119" t="s">
        <v>3167</v>
      </c>
      <c r="B2654" s="119" t="s">
        <v>9780</v>
      </c>
      <c r="C2654" s="119" t="s">
        <v>66</v>
      </c>
      <c r="D2654" t="s">
        <v>45</v>
      </c>
      <c r="E2654" s="117">
        <v>0</v>
      </c>
    </row>
    <row r="2655" spans="1:5" x14ac:dyDescent="0.25">
      <c r="A2655" s="119" t="s">
        <v>3168</v>
      </c>
      <c r="B2655" s="119" t="s">
        <v>9781</v>
      </c>
      <c r="C2655" s="119" t="s">
        <v>66</v>
      </c>
      <c r="D2655" t="s">
        <v>45</v>
      </c>
      <c r="E2655" s="117">
        <v>0</v>
      </c>
    </row>
    <row r="2656" spans="1:5" x14ac:dyDescent="0.25">
      <c r="A2656" s="119" t="s">
        <v>3169</v>
      </c>
      <c r="B2656" s="119" t="s">
        <v>9782</v>
      </c>
      <c r="C2656" s="119" t="s">
        <v>66</v>
      </c>
      <c r="D2656" t="s">
        <v>45</v>
      </c>
      <c r="E2656" s="117">
        <v>0</v>
      </c>
    </row>
    <row r="2657" spans="1:5" x14ac:dyDescent="0.25">
      <c r="A2657" s="119" t="s">
        <v>3170</v>
      </c>
      <c r="B2657" s="119" t="s">
        <v>9783</v>
      </c>
      <c r="C2657" s="119" t="s">
        <v>66</v>
      </c>
      <c r="D2657" t="s">
        <v>45</v>
      </c>
      <c r="E2657" s="117">
        <v>0</v>
      </c>
    </row>
    <row r="2658" spans="1:5" x14ac:dyDescent="0.25">
      <c r="A2658" s="119" t="s">
        <v>3171</v>
      </c>
      <c r="B2658" s="119" t="s">
        <v>9784</v>
      </c>
      <c r="C2658" s="119" t="s">
        <v>66</v>
      </c>
      <c r="D2658" t="s">
        <v>45</v>
      </c>
      <c r="E2658" s="117">
        <v>0</v>
      </c>
    </row>
    <row r="2659" spans="1:5" x14ac:dyDescent="0.25">
      <c r="A2659" s="119" t="s">
        <v>3172</v>
      </c>
      <c r="B2659" s="119" t="s">
        <v>9785</v>
      </c>
      <c r="C2659" s="119" t="s">
        <v>66</v>
      </c>
      <c r="D2659" t="s">
        <v>6759</v>
      </c>
      <c r="E2659" s="117">
        <v>47.78</v>
      </c>
    </row>
    <row r="2660" spans="1:5" x14ac:dyDescent="0.25">
      <c r="A2660" s="119" t="s">
        <v>3173</v>
      </c>
      <c r="B2660" s="119" t="s">
        <v>9785</v>
      </c>
      <c r="C2660" s="119" t="s">
        <v>66</v>
      </c>
      <c r="D2660" t="s">
        <v>6759</v>
      </c>
      <c r="E2660" s="117">
        <v>54.5</v>
      </c>
    </row>
    <row r="2661" spans="1:5" x14ac:dyDescent="0.25">
      <c r="A2661" s="119" t="s">
        <v>3174</v>
      </c>
      <c r="B2661" s="119" t="s">
        <v>9786</v>
      </c>
      <c r="C2661" s="119" t="s">
        <v>66</v>
      </c>
      <c r="D2661" t="s">
        <v>51</v>
      </c>
      <c r="E2661" s="117">
        <v>8.51</v>
      </c>
    </row>
    <row r="2662" spans="1:5" x14ac:dyDescent="0.25">
      <c r="A2662" s="119" t="s">
        <v>3175</v>
      </c>
      <c r="B2662" s="119" t="s">
        <v>9787</v>
      </c>
      <c r="C2662" s="119" t="s">
        <v>66</v>
      </c>
      <c r="D2662" t="s">
        <v>45</v>
      </c>
      <c r="E2662" s="117">
        <v>0</v>
      </c>
    </row>
    <row r="2663" spans="1:5" x14ac:dyDescent="0.25">
      <c r="A2663" s="119" t="s">
        <v>3176</v>
      </c>
      <c r="B2663" s="119" t="s">
        <v>9788</v>
      </c>
      <c r="C2663" s="119" t="s">
        <v>66</v>
      </c>
      <c r="D2663" t="s">
        <v>6759</v>
      </c>
      <c r="E2663" s="117">
        <v>6.93</v>
      </c>
    </row>
    <row r="2664" spans="1:5" x14ac:dyDescent="0.25">
      <c r="A2664" s="119" t="s">
        <v>3177</v>
      </c>
      <c r="B2664" s="119" t="s">
        <v>9789</v>
      </c>
      <c r="C2664" s="119" t="s">
        <v>66</v>
      </c>
      <c r="D2664" t="s">
        <v>45</v>
      </c>
      <c r="E2664" s="117">
        <v>0</v>
      </c>
    </row>
    <row r="2665" spans="1:5" x14ac:dyDescent="0.25">
      <c r="A2665" s="119" t="s">
        <v>3178</v>
      </c>
      <c r="B2665" s="119" t="s">
        <v>9790</v>
      </c>
      <c r="C2665" s="119" t="s">
        <v>66</v>
      </c>
      <c r="D2665" t="s">
        <v>45</v>
      </c>
      <c r="E2665" s="117">
        <v>9.8699999999999992</v>
      </c>
    </row>
    <row r="2666" spans="1:5" x14ac:dyDescent="0.25">
      <c r="A2666" s="119" t="s">
        <v>3179</v>
      </c>
      <c r="B2666" s="119" t="s">
        <v>9791</v>
      </c>
      <c r="C2666" s="119" t="s">
        <v>66</v>
      </c>
      <c r="D2666" t="s">
        <v>45</v>
      </c>
      <c r="E2666" s="117">
        <v>0</v>
      </c>
    </row>
    <row r="2667" spans="1:5" x14ac:dyDescent="0.25">
      <c r="A2667" s="119" t="s">
        <v>3180</v>
      </c>
      <c r="B2667" s="119" t="s">
        <v>9792</v>
      </c>
      <c r="C2667" s="119" t="s">
        <v>66</v>
      </c>
      <c r="D2667" t="s">
        <v>51</v>
      </c>
      <c r="E2667" s="117">
        <v>80.430000000000007</v>
      </c>
    </row>
    <row r="2668" spans="1:5" x14ac:dyDescent="0.25">
      <c r="A2668" s="119" t="s">
        <v>3181</v>
      </c>
      <c r="B2668" s="119" t="s">
        <v>9793</v>
      </c>
      <c r="C2668" s="119" t="s">
        <v>66</v>
      </c>
      <c r="D2668" t="s">
        <v>49</v>
      </c>
      <c r="E2668" s="117">
        <v>101.64</v>
      </c>
    </row>
    <row r="2669" spans="1:5" x14ac:dyDescent="0.25">
      <c r="A2669" s="119" t="s">
        <v>3182</v>
      </c>
      <c r="B2669" s="119" t="s">
        <v>9794</v>
      </c>
      <c r="C2669" s="119" t="s">
        <v>66</v>
      </c>
      <c r="D2669" t="s">
        <v>51</v>
      </c>
      <c r="E2669" s="117">
        <v>60.87</v>
      </c>
    </row>
    <row r="2670" spans="1:5" x14ac:dyDescent="0.25">
      <c r="A2670" s="119" t="s">
        <v>3183</v>
      </c>
      <c r="B2670" s="119" t="s">
        <v>9795</v>
      </c>
      <c r="C2670" s="119" t="s">
        <v>66</v>
      </c>
      <c r="D2670" t="s">
        <v>6760</v>
      </c>
      <c r="E2670" s="117">
        <v>60.87</v>
      </c>
    </row>
    <row r="2671" spans="1:5" x14ac:dyDescent="0.25">
      <c r="A2671" s="119" t="s">
        <v>3184</v>
      </c>
      <c r="B2671" s="119" t="s">
        <v>9796</v>
      </c>
      <c r="C2671" s="119" t="s">
        <v>66</v>
      </c>
      <c r="D2671" t="s">
        <v>51</v>
      </c>
      <c r="E2671" s="117">
        <v>60.87</v>
      </c>
    </row>
    <row r="2672" spans="1:5" x14ac:dyDescent="0.25">
      <c r="A2672" s="119" t="s">
        <v>3185</v>
      </c>
      <c r="B2672" s="119" t="s">
        <v>9797</v>
      </c>
      <c r="C2672" s="119" t="s">
        <v>66</v>
      </c>
      <c r="D2672" t="s">
        <v>51</v>
      </c>
      <c r="E2672" s="117">
        <v>60.87</v>
      </c>
    </row>
    <row r="2673" spans="1:5" x14ac:dyDescent="0.25">
      <c r="A2673" s="119" t="s">
        <v>3186</v>
      </c>
      <c r="B2673" s="119" t="s">
        <v>9798</v>
      </c>
      <c r="C2673" s="119" t="s">
        <v>66</v>
      </c>
      <c r="D2673" t="s">
        <v>51</v>
      </c>
      <c r="E2673" s="117">
        <v>60.87</v>
      </c>
    </row>
    <row r="2674" spans="1:5" x14ac:dyDescent="0.25">
      <c r="A2674" s="119" t="s">
        <v>3187</v>
      </c>
      <c r="B2674" s="119" t="s">
        <v>9799</v>
      </c>
      <c r="C2674" s="119" t="s">
        <v>66</v>
      </c>
      <c r="D2674" t="s">
        <v>51</v>
      </c>
      <c r="E2674" s="117">
        <v>60.87</v>
      </c>
    </row>
    <row r="2675" spans="1:5" x14ac:dyDescent="0.25">
      <c r="A2675" s="119" t="s">
        <v>3188</v>
      </c>
      <c r="B2675" s="119" t="s">
        <v>9800</v>
      </c>
      <c r="C2675" s="119" t="s">
        <v>66</v>
      </c>
      <c r="D2675" t="s">
        <v>51</v>
      </c>
      <c r="E2675" s="117">
        <v>60.87</v>
      </c>
    </row>
    <row r="2676" spans="1:5" x14ac:dyDescent="0.25">
      <c r="A2676" s="119" t="s">
        <v>3189</v>
      </c>
      <c r="B2676" s="119" t="s">
        <v>9801</v>
      </c>
      <c r="C2676" s="119" t="s">
        <v>66</v>
      </c>
      <c r="D2676" t="s">
        <v>49</v>
      </c>
      <c r="E2676" s="117">
        <v>93.79</v>
      </c>
    </row>
    <row r="2677" spans="1:5" x14ac:dyDescent="0.25">
      <c r="A2677" s="119" t="s">
        <v>3190</v>
      </c>
      <c r="B2677" s="119" t="s">
        <v>3191</v>
      </c>
      <c r="C2677" s="119" t="s">
        <v>66</v>
      </c>
      <c r="D2677" t="s">
        <v>45</v>
      </c>
      <c r="E2677" s="117">
        <v>0</v>
      </c>
    </row>
    <row r="2678" spans="1:5" x14ac:dyDescent="0.25">
      <c r="A2678" s="119" t="s">
        <v>3192</v>
      </c>
      <c r="B2678" s="119" t="s">
        <v>3193</v>
      </c>
      <c r="C2678" s="119" t="s">
        <v>66</v>
      </c>
      <c r="D2678" t="s">
        <v>45</v>
      </c>
      <c r="E2678" s="117">
        <v>36.75</v>
      </c>
    </row>
    <row r="2679" spans="1:5" x14ac:dyDescent="0.25">
      <c r="A2679" s="119" t="s">
        <v>3194</v>
      </c>
      <c r="B2679" s="119" t="s">
        <v>7492</v>
      </c>
      <c r="C2679" s="119" t="s">
        <v>66</v>
      </c>
      <c r="D2679" t="s">
        <v>49</v>
      </c>
      <c r="E2679" s="117">
        <v>85.79</v>
      </c>
    </row>
    <row r="2680" spans="1:5" x14ac:dyDescent="0.25">
      <c r="A2680" s="119" t="s">
        <v>3195</v>
      </c>
      <c r="B2680" s="119" t="s">
        <v>9802</v>
      </c>
      <c r="C2680" s="119" t="s">
        <v>66</v>
      </c>
      <c r="D2680" t="s">
        <v>45</v>
      </c>
      <c r="E2680" s="117">
        <v>0</v>
      </c>
    </row>
    <row r="2681" spans="1:5" x14ac:dyDescent="0.25">
      <c r="A2681" s="119" t="s">
        <v>3196</v>
      </c>
      <c r="B2681" s="119" t="s">
        <v>9803</v>
      </c>
      <c r="C2681" s="119" t="s">
        <v>66</v>
      </c>
      <c r="D2681" t="s">
        <v>51</v>
      </c>
      <c r="E2681" s="117">
        <v>36.86</v>
      </c>
    </row>
    <row r="2682" spans="1:5" x14ac:dyDescent="0.25">
      <c r="A2682" s="119" t="s">
        <v>3197</v>
      </c>
      <c r="B2682" s="119" t="s">
        <v>9804</v>
      </c>
      <c r="C2682" s="119" t="s">
        <v>66</v>
      </c>
      <c r="D2682" t="s">
        <v>51</v>
      </c>
      <c r="E2682" s="117">
        <v>67.73</v>
      </c>
    </row>
    <row r="2683" spans="1:5" x14ac:dyDescent="0.25">
      <c r="A2683" s="119" t="s">
        <v>3198</v>
      </c>
      <c r="B2683" s="119" t="s">
        <v>9805</v>
      </c>
      <c r="C2683" s="119" t="s">
        <v>66</v>
      </c>
      <c r="D2683" t="s">
        <v>45</v>
      </c>
      <c r="E2683" s="117">
        <v>3.89</v>
      </c>
    </row>
    <row r="2684" spans="1:5" x14ac:dyDescent="0.25">
      <c r="A2684" s="119" t="s">
        <v>3199</v>
      </c>
      <c r="B2684" s="119" t="s">
        <v>9806</v>
      </c>
      <c r="C2684" s="119" t="s">
        <v>66</v>
      </c>
      <c r="D2684" t="s">
        <v>6759</v>
      </c>
      <c r="E2684" s="117">
        <v>5.04</v>
      </c>
    </row>
    <row r="2685" spans="1:5" x14ac:dyDescent="0.25">
      <c r="A2685" s="119" t="s">
        <v>3200</v>
      </c>
      <c r="B2685" s="119" t="s">
        <v>9807</v>
      </c>
      <c r="C2685" s="119" t="s">
        <v>66</v>
      </c>
      <c r="D2685" t="s">
        <v>45</v>
      </c>
      <c r="E2685" s="117">
        <v>4.7300000000000004</v>
      </c>
    </row>
    <row r="2686" spans="1:5" x14ac:dyDescent="0.25">
      <c r="A2686" s="119" t="s">
        <v>3201</v>
      </c>
      <c r="B2686" s="119" t="s">
        <v>9808</v>
      </c>
      <c r="C2686" s="119" t="s">
        <v>66</v>
      </c>
      <c r="D2686" t="s">
        <v>45</v>
      </c>
      <c r="E2686" s="117">
        <v>7.46</v>
      </c>
    </row>
    <row r="2687" spans="1:5" x14ac:dyDescent="0.25">
      <c r="A2687" s="119" t="s">
        <v>3202</v>
      </c>
      <c r="B2687" s="119" t="s">
        <v>9809</v>
      </c>
      <c r="C2687" s="119" t="s">
        <v>66</v>
      </c>
      <c r="D2687" t="s">
        <v>45</v>
      </c>
      <c r="E2687" s="117">
        <v>5.67</v>
      </c>
    </row>
    <row r="2688" spans="1:5" x14ac:dyDescent="0.25">
      <c r="A2688" s="119" t="s">
        <v>3203</v>
      </c>
      <c r="B2688" s="119" t="s">
        <v>9810</v>
      </c>
      <c r="C2688" s="119" t="s">
        <v>66</v>
      </c>
      <c r="D2688" t="s">
        <v>6760</v>
      </c>
      <c r="E2688" s="117">
        <v>9.66</v>
      </c>
    </row>
    <row r="2689" spans="1:5" x14ac:dyDescent="0.25">
      <c r="A2689" s="119" t="s">
        <v>3204</v>
      </c>
      <c r="B2689" s="119" t="s">
        <v>9811</v>
      </c>
      <c r="C2689" s="119" t="s">
        <v>66</v>
      </c>
      <c r="D2689" t="s">
        <v>45</v>
      </c>
      <c r="E2689" s="117">
        <v>12.08</v>
      </c>
    </row>
    <row r="2690" spans="1:5" x14ac:dyDescent="0.25">
      <c r="A2690" s="119" t="s">
        <v>3205</v>
      </c>
      <c r="B2690" s="119" t="s">
        <v>9812</v>
      </c>
      <c r="C2690" s="119" t="s">
        <v>66</v>
      </c>
      <c r="D2690" t="s">
        <v>51</v>
      </c>
      <c r="E2690" s="117">
        <v>14.18</v>
      </c>
    </row>
    <row r="2691" spans="1:5" x14ac:dyDescent="0.25">
      <c r="A2691" s="119" t="s">
        <v>3206</v>
      </c>
      <c r="B2691" s="119" t="s">
        <v>9813</v>
      </c>
      <c r="C2691" s="119" t="s">
        <v>66</v>
      </c>
      <c r="D2691" t="s">
        <v>45</v>
      </c>
      <c r="E2691" s="117">
        <v>0</v>
      </c>
    </row>
    <row r="2692" spans="1:5" x14ac:dyDescent="0.25">
      <c r="A2692" s="119" t="s">
        <v>3207</v>
      </c>
      <c r="B2692" s="119" t="s">
        <v>3208</v>
      </c>
      <c r="C2692" s="119" t="s">
        <v>66</v>
      </c>
      <c r="D2692" t="s">
        <v>6760</v>
      </c>
      <c r="E2692" s="117">
        <v>29.51</v>
      </c>
    </row>
    <row r="2693" spans="1:5" x14ac:dyDescent="0.25">
      <c r="A2693" s="119" t="s">
        <v>3209</v>
      </c>
      <c r="B2693" s="119" t="s">
        <v>9814</v>
      </c>
      <c r="C2693" s="119" t="s">
        <v>66</v>
      </c>
      <c r="D2693" t="s">
        <v>51</v>
      </c>
      <c r="E2693" s="117">
        <v>27.41</v>
      </c>
    </row>
    <row r="2694" spans="1:5" x14ac:dyDescent="0.25">
      <c r="A2694" s="119" t="s">
        <v>3210</v>
      </c>
      <c r="B2694" s="119" t="s">
        <v>9815</v>
      </c>
      <c r="C2694" s="119" t="s">
        <v>66</v>
      </c>
      <c r="D2694" t="s">
        <v>45</v>
      </c>
      <c r="E2694" s="117">
        <v>0</v>
      </c>
    </row>
    <row r="2695" spans="1:5" x14ac:dyDescent="0.25">
      <c r="A2695" s="119" t="s">
        <v>3211</v>
      </c>
      <c r="B2695" s="119" t="s">
        <v>9816</v>
      </c>
      <c r="C2695" s="119" t="s">
        <v>66</v>
      </c>
      <c r="D2695" t="s">
        <v>45</v>
      </c>
      <c r="E2695" s="117">
        <v>0</v>
      </c>
    </row>
    <row r="2696" spans="1:5" x14ac:dyDescent="0.25">
      <c r="A2696" s="119" t="s">
        <v>3212</v>
      </c>
      <c r="B2696" s="119" t="s">
        <v>7493</v>
      </c>
      <c r="C2696" s="119" t="s">
        <v>66</v>
      </c>
      <c r="D2696" t="s">
        <v>51</v>
      </c>
      <c r="E2696" s="117">
        <v>36.229999999999997</v>
      </c>
    </row>
    <row r="2697" spans="1:5" x14ac:dyDescent="0.25">
      <c r="A2697" s="119" t="s">
        <v>3213</v>
      </c>
      <c r="B2697" s="119" t="s">
        <v>9817</v>
      </c>
      <c r="C2697" s="119" t="s">
        <v>66</v>
      </c>
      <c r="D2697" t="s">
        <v>6760</v>
      </c>
      <c r="E2697" s="117">
        <v>13.86</v>
      </c>
    </row>
    <row r="2698" spans="1:5" x14ac:dyDescent="0.25">
      <c r="A2698" s="119" t="s">
        <v>3214</v>
      </c>
      <c r="B2698" s="119" t="s">
        <v>9818</v>
      </c>
      <c r="C2698" s="119" t="s">
        <v>66</v>
      </c>
      <c r="D2698" t="s">
        <v>45</v>
      </c>
      <c r="E2698" s="117">
        <v>36.229999999999997</v>
      </c>
    </row>
    <row r="2699" spans="1:5" x14ac:dyDescent="0.25">
      <c r="A2699" s="119" t="s">
        <v>3215</v>
      </c>
      <c r="B2699" s="119" t="s">
        <v>6467</v>
      </c>
      <c r="C2699" s="119" t="s">
        <v>66</v>
      </c>
      <c r="D2699" t="s">
        <v>45</v>
      </c>
      <c r="E2699" s="117">
        <v>43.58</v>
      </c>
    </row>
    <row r="2700" spans="1:5" x14ac:dyDescent="0.25">
      <c r="A2700" s="119" t="s">
        <v>3216</v>
      </c>
      <c r="B2700" s="119" t="s">
        <v>9819</v>
      </c>
      <c r="C2700" s="119" t="s">
        <v>66</v>
      </c>
      <c r="D2700" t="s">
        <v>51</v>
      </c>
      <c r="E2700" s="117">
        <v>22.79</v>
      </c>
    </row>
    <row r="2701" spans="1:5" x14ac:dyDescent="0.25">
      <c r="A2701" s="119" t="s">
        <v>3217</v>
      </c>
      <c r="B2701" s="119" t="s">
        <v>9820</v>
      </c>
      <c r="C2701" s="119" t="s">
        <v>66</v>
      </c>
      <c r="D2701" t="s">
        <v>45</v>
      </c>
      <c r="E2701" s="117">
        <v>95.34</v>
      </c>
    </row>
    <row r="2702" spans="1:5" x14ac:dyDescent="0.25">
      <c r="A2702" s="119" t="s">
        <v>3218</v>
      </c>
      <c r="B2702" s="119" t="s">
        <v>3219</v>
      </c>
      <c r="C2702" s="119" t="s">
        <v>66</v>
      </c>
      <c r="D2702" t="s">
        <v>49</v>
      </c>
      <c r="E2702" s="117">
        <v>315</v>
      </c>
    </row>
    <row r="2703" spans="1:5" x14ac:dyDescent="0.25">
      <c r="A2703" s="119" t="s">
        <v>3220</v>
      </c>
      <c r="B2703" s="119" t="s">
        <v>9821</v>
      </c>
      <c r="C2703" s="119" t="s">
        <v>66</v>
      </c>
      <c r="D2703" t="s">
        <v>6760</v>
      </c>
      <c r="E2703" s="117">
        <v>27.62</v>
      </c>
    </row>
    <row r="2704" spans="1:5" x14ac:dyDescent="0.25">
      <c r="A2704" s="119" t="s">
        <v>3221</v>
      </c>
      <c r="B2704" s="119" t="s">
        <v>9822</v>
      </c>
      <c r="C2704" s="119" t="s">
        <v>66</v>
      </c>
      <c r="D2704" t="s">
        <v>6760</v>
      </c>
      <c r="E2704" s="117">
        <v>31.08</v>
      </c>
    </row>
    <row r="2705" spans="1:5" x14ac:dyDescent="0.25">
      <c r="A2705" s="119" t="s">
        <v>3222</v>
      </c>
      <c r="B2705" s="119" t="s">
        <v>7494</v>
      </c>
      <c r="C2705" s="119" t="s">
        <v>66</v>
      </c>
      <c r="D2705" t="s">
        <v>6759</v>
      </c>
      <c r="E2705" s="117">
        <v>54.08</v>
      </c>
    </row>
    <row r="2706" spans="1:5" x14ac:dyDescent="0.25">
      <c r="A2706" s="119" t="s">
        <v>3223</v>
      </c>
      <c r="B2706" s="119" t="s">
        <v>3224</v>
      </c>
      <c r="C2706" s="119" t="s">
        <v>66</v>
      </c>
      <c r="D2706" t="s">
        <v>49</v>
      </c>
      <c r="E2706" s="117">
        <v>16.899999999999999</v>
      </c>
    </row>
    <row r="2707" spans="1:5" x14ac:dyDescent="0.25">
      <c r="A2707" s="119" t="s">
        <v>3225</v>
      </c>
      <c r="B2707" s="119" t="s">
        <v>9823</v>
      </c>
      <c r="C2707" s="119" t="s">
        <v>66</v>
      </c>
      <c r="D2707" t="s">
        <v>45</v>
      </c>
      <c r="E2707" s="117">
        <v>0</v>
      </c>
    </row>
    <row r="2708" spans="1:5" x14ac:dyDescent="0.25">
      <c r="A2708" s="119" t="s">
        <v>3226</v>
      </c>
      <c r="B2708" s="119" t="s">
        <v>3227</v>
      </c>
      <c r="C2708" s="119" t="s">
        <v>66</v>
      </c>
      <c r="D2708" t="s">
        <v>6759</v>
      </c>
      <c r="E2708" s="117">
        <v>15.9</v>
      </c>
    </row>
    <row r="2709" spans="1:5" x14ac:dyDescent="0.25">
      <c r="A2709" s="119" t="s">
        <v>3228</v>
      </c>
      <c r="B2709" s="119" t="s">
        <v>9824</v>
      </c>
      <c r="C2709" s="119" t="s">
        <v>66</v>
      </c>
      <c r="D2709" t="s">
        <v>45</v>
      </c>
      <c r="E2709" s="117">
        <v>0</v>
      </c>
    </row>
    <row r="2710" spans="1:5" x14ac:dyDescent="0.25">
      <c r="A2710" s="119" t="s">
        <v>3229</v>
      </c>
      <c r="B2710" s="119" t="s">
        <v>9825</v>
      </c>
      <c r="C2710" s="119" t="s">
        <v>66</v>
      </c>
      <c r="D2710" t="s">
        <v>45</v>
      </c>
      <c r="E2710" s="117">
        <v>16.28</v>
      </c>
    </row>
    <row r="2711" spans="1:5" x14ac:dyDescent="0.25">
      <c r="A2711" s="119" t="s">
        <v>3230</v>
      </c>
      <c r="B2711" s="119" t="s">
        <v>9826</v>
      </c>
      <c r="C2711" s="119" t="s">
        <v>66</v>
      </c>
      <c r="D2711" t="s">
        <v>6760</v>
      </c>
      <c r="E2711" s="117">
        <v>32.340000000000003</v>
      </c>
    </row>
    <row r="2712" spans="1:5" x14ac:dyDescent="0.25">
      <c r="A2712" s="119" t="s">
        <v>3231</v>
      </c>
      <c r="B2712" s="119" t="s">
        <v>9827</v>
      </c>
      <c r="C2712" s="119" t="s">
        <v>66</v>
      </c>
      <c r="D2712" t="s">
        <v>45</v>
      </c>
      <c r="E2712" s="117">
        <v>0</v>
      </c>
    </row>
    <row r="2713" spans="1:5" x14ac:dyDescent="0.25">
      <c r="A2713" s="119" t="s">
        <v>3232</v>
      </c>
      <c r="B2713" s="119" t="s">
        <v>3233</v>
      </c>
      <c r="C2713" s="119" t="s">
        <v>66</v>
      </c>
      <c r="D2713" t="s">
        <v>45</v>
      </c>
      <c r="E2713" s="117">
        <v>30.88</v>
      </c>
    </row>
    <row r="2714" spans="1:5" x14ac:dyDescent="0.25">
      <c r="A2714" s="119" t="s">
        <v>3234</v>
      </c>
      <c r="B2714" s="119" t="s">
        <v>9828</v>
      </c>
      <c r="C2714" s="119" t="s">
        <v>66</v>
      </c>
      <c r="D2714" t="s">
        <v>45</v>
      </c>
      <c r="E2714" s="117">
        <v>0</v>
      </c>
    </row>
    <row r="2715" spans="1:5" x14ac:dyDescent="0.25">
      <c r="A2715" s="119" t="s">
        <v>3235</v>
      </c>
      <c r="B2715" s="119" t="s">
        <v>9829</v>
      </c>
      <c r="C2715" s="119" t="s">
        <v>66</v>
      </c>
      <c r="D2715" t="s">
        <v>51</v>
      </c>
      <c r="E2715" s="117">
        <v>43.58</v>
      </c>
    </row>
    <row r="2716" spans="1:5" x14ac:dyDescent="0.25">
      <c r="A2716" s="119" t="s">
        <v>3236</v>
      </c>
      <c r="B2716" s="119" t="s">
        <v>9830</v>
      </c>
      <c r="C2716" s="119" t="s">
        <v>66</v>
      </c>
      <c r="D2716" t="s">
        <v>6760</v>
      </c>
      <c r="E2716" s="117">
        <v>49.77</v>
      </c>
    </row>
    <row r="2717" spans="1:5" x14ac:dyDescent="0.25">
      <c r="A2717" s="119" t="s">
        <v>3237</v>
      </c>
      <c r="B2717" s="119" t="s">
        <v>9831</v>
      </c>
      <c r="C2717" s="119" t="s">
        <v>66</v>
      </c>
      <c r="D2717" t="s">
        <v>45</v>
      </c>
      <c r="E2717" s="117">
        <v>57.12</v>
      </c>
    </row>
    <row r="2718" spans="1:5" x14ac:dyDescent="0.25">
      <c r="A2718" s="119" t="s">
        <v>3238</v>
      </c>
      <c r="B2718" s="119" t="s">
        <v>9832</v>
      </c>
      <c r="C2718" s="119" t="s">
        <v>66</v>
      </c>
      <c r="D2718" t="s">
        <v>49</v>
      </c>
      <c r="E2718" s="117">
        <v>60.9</v>
      </c>
    </row>
    <row r="2719" spans="1:5" x14ac:dyDescent="0.25">
      <c r="A2719" s="119" t="s">
        <v>3239</v>
      </c>
      <c r="B2719" s="119" t="s">
        <v>9833</v>
      </c>
      <c r="C2719" s="119" t="s">
        <v>66</v>
      </c>
      <c r="D2719" t="s">
        <v>45</v>
      </c>
      <c r="E2719" s="117">
        <v>0</v>
      </c>
    </row>
    <row r="2720" spans="1:5" x14ac:dyDescent="0.25">
      <c r="A2720" s="119" t="s">
        <v>3240</v>
      </c>
      <c r="B2720" s="119" t="s">
        <v>9834</v>
      </c>
      <c r="C2720" s="119" t="s">
        <v>66</v>
      </c>
      <c r="D2720" t="s">
        <v>49</v>
      </c>
      <c r="E2720" s="117">
        <v>72.14</v>
      </c>
    </row>
    <row r="2721" spans="1:5" x14ac:dyDescent="0.25">
      <c r="A2721" s="119" t="s">
        <v>3241</v>
      </c>
      <c r="B2721" s="119" t="s">
        <v>9835</v>
      </c>
      <c r="C2721" s="119" t="s">
        <v>66</v>
      </c>
      <c r="D2721" t="s">
        <v>45</v>
      </c>
      <c r="E2721" s="117">
        <v>0</v>
      </c>
    </row>
    <row r="2722" spans="1:5" x14ac:dyDescent="0.25">
      <c r="A2722" s="119" t="s">
        <v>3242</v>
      </c>
      <c r="B2722" s="119" t="s">
        <v>9836</v>
      </c>
      <c r="C2722" s="119" t="s">
        <v>66</v>
      </c>
      <c r="D2722" t="s">
        <v>49</v>
      </c>
      <c r="E2722" s="117">
        <v>109.41</v>
      </c>
    </row>
    <row r="2723" spans="1:5" x14ac:dyDescent="0.25">
      <c r="A2723" s="119" t="s">
        <v>3243</v>
      </c>
      <c r="B2723" s="119" t="s">
        <v>9837</v>
      </c>
      <c r="C2723" s="119" t="s">
        <v>66</v>
      </c>
      <c r="D2723" t="s">
        <v>49</v>
      </c>
      <c r="E2723" s="117">
        <v>124.32</v>
      </c>
    </row>
    <row r="2724" spans="1:5" x14ac:dyDescent="0.25">
      <c r="A2724" s="119" t="s">
        <v>3244</v>
      </c>
      <c r="B2724" s="119" t="s">
        <v>9838</v>
      </c>
      <c r="C2724" s="119" t="s">
        <v>66</v>
      </c>
      <c r="D2724" t="s">
        <v>45</v>
      </c>
      <c r="E2724" s="117">
        <v>0</v>
      </c>
    </row>
    <row r="2725" spans="1:5" x14ac:dyDescent="0.25">
      <c r="A2725" s="119" t="s">
        <v>3245</v>
      </c>
      <c r="B2725" s="119" t="s">
        <v>9839</v>
      </c>
      <c r="C2725" s="119" t="s">
        <v>66</v>
      </c>
      <c r="D2725" t="s">
        <v>45</v>
      </c>
      <c r="E2725" s="117">
        <v>25.2</v>
      </c>
    </row>
    <row r="2726" spans="1:5" x14ac:dyDescent="0.25">
      <c r="A2726" s="119" t="s">
        <v>3246</v>
      </c>
      <c r="B2726" s="119" t="s">
        <v>9840</v>
      </c>
      <c r="C2726" s="119" t="s">
        <v>66</v>
      </c>
      <c r="D2726" t="s">
        <v>45</v>
      </c>
      <c r="E2726" s="117">
        <v>32.659999999999997</v>
      </c>
    </row>
    <row r="2727" spans="1:5" x14ac:dyDescent="0.25">
      <c r="A2727" s="119" t="s">
        <v>3247</v>
      </c>
      <c r="B2727" s="119" t="s">
        <v>9841</v>
      </c>
      <c r="C2727" s="119" t="s">
        <v>66</v>
      </c>
      <c r="D2727" t="s">
        <v>45</v>
      </c>
      <c r="E2727" s="117">
        <v>0</v>
      </c>
    </row>
    <row r="2728" spans="1:5" x14ac:dyDescent="0.25">
      <c r="A2728" s="119" t="s">
        <v>3248</v>
      </c>
      <c r="B2728" s="119" t="s">
        <v>9842</v>
      </c>
      <c r="C2728" s="119" t="s">
        <v>66</v>
      </c>
      <c r="D2728" t="s">
        <v>45</v>
      </c>
      <c r="E2728" s="117">
        <v>0</v>
      </c>
    </row>
    <row r="2729" spans="1:5" x14ac:dyDescent="0.25">
      <c r="A2729" s="119" t="s">
        <v>3249</v>
      </c>
      <c r="B2729" s="119" t="s">
        <v>9843</v>
      </c>
      <c r="C2729" s="119" t="s">
        <v>66</v>
      </c>
      <c r="D2729" t="s">
        <v>6760</v>
      </c>
      <c r="E2729" s="117">
        <v>37.380000000000003</v>
      </c>
    </row>
    <row r="2730" spans="1:5" x14ac:dyDescent="0.25">
      <c r="A2730" s="119" t="s">
        <v>3250</v>
      </c>
      <c r="B2730" s="119" t="s">
        <v>3251</v>
      </c>
      <c r="C2730" s="119" t="s">
        <v>66</v>
      </c>
      <c r="D2730" t="s">
        <v>51</v>
      </c>
      <c r="E2730" s="117">
        <v>3.47</v>
      </c>
    </row>
    <row r="2731" spans="1:5" x14ac:dyDescent="0.25">
      <c r="A2731" s="119" t="s">
        <v>3252</v>
      </c>
      <c r="B2731" s="119" t="s">
        <v>3253</v>
      </c>
      <c r="C2731" s="119" t="s">
        <v>66</v>
      </c>
      <c r="D2731" t="s">
        <v>6760</v>
      </c>
      <c r="E2731" s="117">
        <v>3.94</v>
      </c>
    </row>
    <row r="2732" spans="1:5" x14ac:dyDescent="0.25">
      <c r="A2732" s="119" t="s">
        <v>3254</v>
      </c>
      <c r="B2732" s="119" t="s">
        <v>7495</v>
      </c>
      <c r="C2732" s="119" t="s">
        <v>66</v>
      </c>
      <c r="D2732" t="s">
        <v>6760</v>
      </c>
      <c r="E2732" s="117">
        <v>4</v>
      </c>
    </row>
    <row r="2733" spans="1:5" x14ac:dyDescent="0.25">
      <c r="A2733" s="119" t="s">
        <v>3255</v>
      </c>
      <c r="B2733" s="119" t="s">
        <v>3256</v>
      </c>
      <c r="C2733" s="119" t="s">
        <v>66</v>
      </c>
      <c r="D2733" t="s">
        <v>51</v>
      </c>
      <c r="E2733" s="117">
        <v>10.29</v>
      </c>
    </row>
    <row r="2734" spans="1:5" x14ac:dyDescent="0.25">
      <c r="A2734" s="119" t="s">
        <v>3257</v>
      </c>
      <c r="B2734" s="119" t="s">
        <v>9844</v>
      </c>
      <c r="C2734" s="119" t="s">
        <v>66</v>
      </c>
      <c r="D2734" t="s">
        <v>45</v>
      </c>
      <c r="E2734" s="117">
        <v>0</v>
      </c>
    </row>
    <row r="2735" spans="1:5" x14ac:dyDescent="0.25">
      <c r="A2735" s="119" t="s">
        <v>3258</v>
      </c>
      <c r="B2735" s="119" t="s">
        <v>3259</v>
      </c>
      <c r="C2735" s="119" t="s">
        <v>66</v>
      </c>
      <c r="D2735" t="s">
        <v>45</v>
      </c>
      <c r="E2735" s="117">
        <v>10.49</v>
      </c>
    </row>
    <row r="2736" spans="1:5" x14ac:dyDescent="0.25">
      <c r="A2736" s="119" t="s">
        <v>3260</v>
      </c>
      <c r="B2736" s="119" t="s">
        <v>3261</v>
      </c>
      <c r="C2736" s="119" t="s">
        <v>66</v>
      </c>
      <c r="D2736" t="s">
        <v>45</v>
      </c>
      <c r="E2736" s="117">
        <v>10.92</v>
      </c>
    </row>
    <row r="2737" spans="1:5" x14ac:dyDescent="0.25">
      <c r="A2737" s="119" t="s">
        <v>3262</v>
      </c>
      <c r="B2737" s="119" t="s">
        <v>9845</v>
      </c>
      <c r="C2737" s="119" t="s">
        <v>66</v>
      </c>
      <c r="D2737" t="s">
        <v>6759</v>
      </c>
      <c r="E2737" s="117">
        <v>10.92</v>
      </c>
    </row>
    <row r="2738" spans="1:5" x14ac:dyDescent="0.25">
      <c r="A2738" s="119" t="s">
        <v>3263</v>
      </c>
      <c r="B2738" s="119" t="s">
        <v>3264</v>
      </c>
      <c r="C2738" s="119" t="s">
        <v>66</v>
      </c>
      <c r="D2738" t="s">
        <v>51</v>
      </c>
      <c r="E2738" s="117">
        <v>13.23</v>
      </c>
    </row>
    <row r="2739" spans="1:5" x14ac:dyDescent="0.25">
      <c r="A2739" s="119" t="s">
        <v>3265</v>
      </c>
      <c r="B2739" s="119" t="s">
        <v>9846</v>
      </c>
      <c r="C2739" s="119" t="s">
        <v>66</v>
      </c>
      <c r="D2739" t="s">
        <v>45</v>
      </c>
      <c r="E2739" s="117">
        <v>0</v>
      </c>
    </row>
    <row r="2740" spans="1:5" x14ac:dyDescent="0.25">
      <c r="A2740" s="119" t="s">
        <v>3266</v>
      </c>
      <c r="B2740" s="119" t="s">
        <v>3267</v>
      </c>
      <c r="C2740" s="119" t="s">
        <v>66</v>
      </c>
      <c r="D2740" t="s">
        <v>6760</v>
      </c>
      <c r="E2740" s="117">
        <v>18.170000000000002</v>
      </c>
    </row>
    <row r="2741" spans="1:5" x14ac:dyDescent="0.25">
      <c r="A2741" s="119" t="s">
        <v>3268</v>
      </c>
      <c r="B2741" s="119" t="s">
        <v>3269</v>
      </c>
      <c r="C2741" s="119" t="s">
        <v>66</v>
      </c>
      <c r="D2741" t="s">
        <v>45</v>
      </c>
      <c r="E2741" s="117">
        <v>19.43</v>
      </c>
    </row>
    <row r="2742" spans="1:5" x14ac:dyDescent="0.25">
      <c r="A2742" s="119" t="s">
        <v>3270</v>
      </c>
      <c r="B2742" s="119" t="s">
        <v>9847</v>
      </c>
      <c r="C2742" s="119" t="s">
        <v>66</v>
      </c>
      <c r="D2742" t="s">
        <v>45</v>
      </c>
      <c r="E2742" s="117">
        <v>14.7</v>
      </c>
    </row>
    <row r="2743" spans="1:5" x14ac:dyDescent="0.25">
      <c r="A2743" s="119" t="s">
        <v>3271</v>
      </c>
      <c r="B2743" s="119" t="s">
        <v>9848</v>
      </c>
      <c r="C2743" s="119" t="s">
        <v>66</v>
      </c>
      <c r="D2743" t="s">
        <v>45</v>
      </c>
      <c r="E2743" s="117">
        <v>0</v>
      </c>
    </row>
    <row r="2744" spans="1:5" x14ac:dyDescent="0.25">
      <c r="A2744" s="119" t="s">
        <v>3272</v>
      </c>
      <c r="B2744" s="119" t="s">
        <v>3273</v>
      </c>
      <c r="C2744" s="119" t="s">
        <v>66</v>
      </c>
      <c r="D2744" t="s">
        <v>51</v>
      </c>
      <c r="E2744" s="117">
        <v>32.549999999999997</v>
      </c>
    </row>
    <row r="2745" spans="1:5" x14ac:dyDescent="0.25">
      <c r="A2745" s="119" t="s">
        <v>3274</v>
      </c>
      <c r="B2745" s="119" t="s">
        <v>9849</v>
      </c>
      <c r="C2745" s="119" t="s">
        <v>66</v>
      </c>
      <c r="D2745" t="s">
        <v>45</v>
      </c>
      <c r="E2745" s="117">
        <v>0</v>
      </c>
    </row>
    <row r="2746" spans="1:5" x14ac:dyDescent="0.25">
      <c r="A2746" s="119" t="s">
        <v>3275</v>
      </c>
      <c r="B2746" s="119" t="s">
        <v>9850</v>
      </c>
      <c r="C2746" s="119" t="s">
        <v>66</v>
      </c>
      <c r="D2746" t="s">
        <v>45</v>
      </c>
      <c r="E2746" s="117">
        <v>0</v>
      </c>
    </row>
    <row r="2747" spans="1:5" x14ac:dyDescent="0.25">
      <c r="A2747" s="119" t="s">
        <v>3276</v>
      </c>
      <c r="B2747" s="119" t="s">
        <v>9851</v>
      </c>
      <c r="C2747" s="119" t="s">
        <v>66</v>
      </c>
      <c r="D2747" t="s">
        <v>45</v>
      </c>
      <c r="E2747" s="117">
        <v>0</v>
      </c>
    </row>
    <row r="2748" spans="1:5" x14ac:dyDescent="0.25">
      <c r="A2748" s="119" t="s">
        <v>3277</v>
      </c>
      <c r="B2748" s="119" t="s">
        <v>3278</v>
      </c>
      <c r="C2748" s="119" t="s">
        <v>66</v>
      </c>
      <c r="D2748" t="s">
        <v>51</v>
      </c>
      <c r="E2748" s="117">
        <v>38.39</v>
      </c>
    </row>
    <row r="2749" spans="1:5" x14ac:dyDescent="0.25">
      <c r="A2749" s="119" t="s">
        <v>3279</v>
      </c>
      <c r="B2749" s="119" t="s">
        <v>3280</v>
      </c>
      <c r="C2749" s="119" t="s">
        <v>66</v>
      </c>
      <c r="D2749" t="s">
        <v>51</v>
      </c>
      <c r="E2749" s="117">
        <v>40.950000000000003</v>
      </c>
    </row>
    <row r="2750" spans="1:5" x14ac:dyDescent="0.25">
      <c r="A2750" s="119" t="s">
        <v>3281</v>
      </c>
      <c r="B2750" s="119" t="s">
        <v>9852</v>
      </c>
      <c r="C2750" s="119" t="s">
        <v>66</v>
      </c>
      <c r="D2750" t="s">
        <v>45</v>
      </c>
      <c r="E2750" s="117">
        <v>0</v>
      </c>
    </row>
    <row r="2751" spans="1:5" x14ac:dyDescent="0.25">
      <c r="A2751" s="119" t="s">
        <v>3282</v>
      </c>
      <c r="B2751" s="119" t="s">
        <v>9853</v>
      </c>
      <c r="C2751" s="119" t="s">
        <v>66</v>
      </c>
      <c r="D2751" t="s">
        <v>45</v>
      </c>
      <c r="E2751" s="117">
        <v>0</v>
      </c>
    </row>
    <row r="2752" spans="1:5" x14ac:dyDescent="0.25">
      <c r="A2752" s="119" t="s">
        <v>3283</v>
      </c>
      <c r="B2752" s="119" t="s">
        <v>9854</v>
      </c>
      <c r="C2752" s="119" t="s">
        <v>66</v>
      </c>
      <c r="D2752" t="s">
        <v>45</v>
      </c>
      <c r="E2752" s="117">
        <v>0</v>
      </c>
    </row>
    <row r="2753" spans="1:5" x14ac:dyDescent="0.25">
      <c r="A2753" s="119" t="s">
        <v>3284</v>
      </c>
      <c r="B2753" s="119" t="s">
        <v>9855</v>
      </c>
      <c r="C2753" s="119" t="s">
        <v>66</v>
      </c>
      <c r="D2753" t="s">
        <v>45</v>
      </c>
      <c r="E2753" s="117">
        <v>0</v>
      </c>
    </row>
    <row r="2754" spans="1:5" x14ac:dyDescent="0.25">
      <c r="A2754" s="119" t="s">
        <v>3285</v>
      </c>
      <c r="B2754" s="119" t="s">
        <v>3286</v>
      </c>
      <c r="C2754" s="119" t="s">
        <v>66</v>
      </c>
      <c r="D2754" t="s">
        <v>51</v>
      </c>
      <c r="E2754" s="117">
        <v>65.099999999999994</v>
      </c>
    </row>
    <row r="2755" spans="1:5" x14ac:dyDescent="0.25">
      <c r="A2755" s="119" t="s">
        <v>3287</v>
      </c>
      <c r="B2755" s="119" t="s">
        <v>9856</v>
      </c>
      <c r="C2755" s="119" t="s">
        <v>66</v>
      </c>
      <c r="D2755" t="s">
        <v>45</v>
      </c>
      <c r="E2755" s="117">
        <v>0</v>
      </c>
    </row>
    <row r="2756" spans="1:5" x14ac:dyDescent="0.25">
      <c r="A2756" s="119" t="s">
        <v>3288</v>
      </c>
      <c r="B2756" s="119" t="s">
        <v>9857</v>
      </c>
      <c r="C2756" s="119" t="s">
        <v>66</v>
      </c>
      <c r="D2756" t="s">
        <v>45</v>
      </c>
      <c r="E2756" s="117">
        <v>0</v>
      </c>
    </row>
    <row r="2757" spans="1:5" x14ac:dyDescent="0.25">
      <c r="A2757" s="119" t="s">
        <v>3289</v>
      </c>
      <c r="B2757" s="119" t="s">
        <v>9858</v>
      </c>
      <c r="C2757" s="119" t="s">
        <v>66</v>
      </c>
      <c r="D2757" t="s">
        <v>45</v>
      </c>
      <c r="E2757" s="117">
        <v>43.58</v>
      </c>
    </row>
    <row r="2758" spans="1:5" x14ac:dyDescent="0.25">
      <c r="A2758" s="119" t="s">
        <v>3290</v>
      </c>
      <c r="B2758" s="119" t="s">
        <v>9859</v>
      </c>
      <c r="C2758" s="119" t="s">
        <v>66</v>
      </c>
      <c r="D2758" t="s">
        <v>6760</v>
      </c>
      <c r="E2758" s="117">
        <v>18.690000000000001</v>
      </c>
    </row>
    <row r="2759" spans="1:5" x14ac:dyDescent="0.25">
      <c r="A2759" s="119" t="s">
        <v>3291</v>
      </c>
      <c r="B2759" s="119" t="s">
        <v>9860</v>
      </c>
      <c r="C2759" s="119" t="s">
        <v>66</v>
      </c>
      <c r="D2759" t="s">
        <v>6760</v>
      </c>
      <c r="E2759" s="117">
        <v>78.75</v>
      </c>
    </row>
    <row r="2760" spans="1:5" x14ac:dyDescent="0.25">
      <c r="A2760" s="119" t="s">
        <v>3292</v>
      </c>
      <c r="B2760" s="119" t="s">
        <v>9861</v>
      </c>
      <c r="C2760" s="119" t="s">
        <v>66</v>
      </c>
      <c r="D2760" t="s">
        <v>49</v>
      </c>
      <c r="E2760" s="117">
        <v>85.79</v>
      </c>
    </row>
    <row r="2761" spans="1:5" x14ac:dyDescent="0.25">
      <c r="A2761" s="119" t="s">
        <v>3293</v>
      </c>
      <c r="B2761" s="119" t="s">
        <v>7496</v>
      </c>
      <c r="C2761" s="119" t="s">
        <v>66</v>
      </c>
      <c r="D2761" t="s">
        <v>6760</v>
      </c>
      <c r="E2761" s="117">
        <v>98.18</v>
      </c>
    </row>
    <row r="2762" spans="1:5" x14ac:dyDescent="0.25">
      <c r="A2762" s="119" t="s">
        <v>3294</v>
      </c>
      <c r="B2762" s="119" t="s">
        <v>9862</v>
      </c>
      <c r="C2762" s="119" t="s">
        <v>66</v>
      </c>
      <c r="D2762" t="s">
        <v>45</v>
      </c>
      <c r="E2762" s="117">
        <v>98.18</v>
      </c>
    </row>
    <row r="2763" spans="1:5" x14ac:dyDescent="0.25">
      <c r="A2763" s="119" t="s">
        <v>3295</v>
      </c>
      <c r="B2763" s="119" t="s">
        <v>9863</v>
      </c>
      <c r="C2763" s="119" t="s">
        <v>66</v>
      </c>
      <c r="D2763" t="s">
        <v>49</v>
      </c>
      <c r="E2763" s="117">
        <v>22.05</v>
      </c>
    </row>
    <row r="2764" spans="1:5" x14ac:dyDescent="0.25">
      <c r="A2764" s="119" t="s">
        <v>3296</v>
      </c>
      <c r="B2764" s="119" t="s">
        <v>9864</v>
      </c>
      <c r="C2764" s="119" t="s">
        <v>66</v>
      </c>
      <c r="D2764" t="s">
        <v>49</v>
      </c>
      <c r="E2764" s="117">
        <v>36.020000000000003</v>
      </c>
    </row>
    <row r="2765" spans="1:5" x14ac:dyDescent="0.25">
      <c r="A2765" s="119" t="s">
        <v>7497</v>
      </c>
      <c r="B2765" s="119" t="s">
        <v>11798</v>
      </c>
      <c r="C2765" s="119" t="s">
        <v>66</v>
      </c>
      <c r="D2765" t="s">
        <v>6760</v>
      </c>
      <c r="E2765" s="117">
        <v>92.82</v>
      </c>
    </row>
    <row r="2766" spans="1:5" x14ac:dyDescent="0.25">
      <c r="A2766" s="119" t="s">
        <v>3297</v>
      </c>
      <c r="B2766" s="119" t="s">
        <v>9865</v>
      </c>
      <c r="C2766" s="119" t="s">
        <v>66</v>
      </c>
      <c r="D2766" t="s">
        <v>45</v>
      </c>
      <c r="E2766" s="117">
        <v>7.42</v>
      </c>
    </row>
    <row r="2767" spans="1:5" x14ac:dyDescent="0.25">
      <c r="A2767" s="119" t="s">
        <v>3298</v>
      </c>
      <c r="B2767" s="119" t="s">
        <v>9866</v>
      </c>
      <c r="C2767" s="119" t="s">
        <v>66</v>
      </c>
      <c r="D2767" t="s">
        <v>51</v>
      </c>
      <c r="E2767" s="117">
        <v>4.2699999999999996</v>
      </c>
    </row>
    <row r="2768" spans="1:5" x14ac:dyDescent="0.25">
      <c r="A2768" s="119" t="s">
        <v>3299</v>
      </c>
      <c r="B2768" s="119" t="s">
        <v>9867</v>
      </c>
      <c r="C2768" s="119" t="s">
        <v>66</v>
      </c>
      <c r="D2768" t="s">
        <v>51</v>
      </c>
      <c r="E2768" s="117">
        <v>81.900000000000006</v>
      </c>
    </row>
    <row r="2769" spans="1:5" x14ac:dyDescent="0.25">
      <c r="A2769" s="119" t="s">
        <v>3300</v>
      </c>
      <c r="B2769" s="119" t="s">
        <v>9868</v>
      </c>
      <c r="C2769" s="119" t="s">
        <v>66</v>
      </c>
      <c r="D2769" t="s">
        <v>51</v>
      </c>
      <c r="E2769" s="117">
        <v>9.4499999999999993</v>
      </c>
    </row>
    <row r="2770" spans="1:5" x14ac:dyDescent="0.25">
      <c r="A2770" s="119" t="s">
        <v>3301</v>
      </c>
      <c r="B2770" s="119" t="s">
        <v>9869</v>
      </c>
      <c r="C2770" s="119" t="s">
        <v>66</v>
      </c>
      <c r="D2770" t="s">
        <v>51</v>
      </c>
      <c r="E2770" s="117">
        <v>12.36</v>
      </c>
    </row>
    <row r="2771" spans="1:5" x14ac:dyDescent="0.25">
      <c r="A2771" s="119" t="s">
        <v>3302</v>
      </c>
      <c r="B2771" s="119" t="s">
        <v>9870</v>
      </c>
      <c r="C2771" s="119" t="s">
        <v>66</v>
      </c>
      <c r="D2771" t="s">
        <v>51</v>
      </c>
      <c r="E2771" s="117">
        <v>4.01</v>
      </c>
    </row>
    <row r="2772" spans="1:5" x14ac:dyDescent="0.25">
      <c r="A2772" s="119" t="s">
        <v>3303</v>
      </c>
      <c r="B2772" s="119" t="s">
        <v>9871</v>
      </c>
      <c r="C2772" s="119" t="s">
        <v>66</v>
      </c>
      <c r="D2772" t="s">
        <v>51</v>
      </c>
      <c r="E2772" s="117">
        <v>2.95</v>
      </c>
    </row>
    <row r="2773" spans="1:5" x14ac:dyDescent="0.25">
      <c r="A2773" s="119" t="s">
        <v>3304</v>
      </c>
      <c r="B2773" s="119" t="s">
        <v>9872</v>
      </c>
      <c r="C2773" s="119" t="s">
        <v>66</v>
      </c>
      <c r="D2773" t="s">
        <v>45</v>
      </c>
      <c r="E2773" s="117">
        <v>4.04</v>
      </c>
    </row>
    <row r="2774" spans="1:5" x14ac:dyDescent="0.25">
      <c r="A2774" s="119" t="s">
        <v>3305</v>
      </c>
      <c r="B2774" s="119" t="s">
        <v>9873</v>
      </c>
      <c r="C2774" s="119" t="s">
        <v>66</v>
      </c>
      <c r="D2774" t="s">
        <v>51</v>
      </c>
      <c r="E2774" s="117">
        <v>2.71</v>
      </c>
    </row>
    <row r="2775" spans="1:5" x14ac:dyDescent="0.25">
      <c r="A2775" s="119" t="s">
        <v>3306</v>
      </c>
      <c r="B2775" s="119" t="s">
        <v>9874</v>
      </c>
      <c r="C2775" s="119" t="s">
        <v>66</v>
      </c>
      <c r="D2775" t="s">
        <v>51</v>
      </c>
      <c r="E2775" s="117">
        <v>6.37</v>
      </c>
    </row>
    <row r="2776" spans="1:5" x14ac:dyDescent="0.25">
      <c r="A2776" s="119" t="s">
        <v>3307</v>
      </c>
      <c r="B2776" s="119" t="s">
        <v>9875</v>
      </c>
      <c r="C2776" s="119" t="s">
        <v>66</v>
      </c>
      <c r="D2776" t="s">
        <v>51</v>
      </c>
      <c r="E2776" s="117">
        <v>7.79</v>
      </c>
    </row>
    <row r="2777" spans="1:5" x14ac:dyDescent="0.25">
      <c r="A2777" s="119" t="s">
        <v>3308</v>
      </c>
      <c r="B2777" s="119" t="s">
        <v>9876</v>
      </c>
      <c r="C2777" s="119" t="s">
        <v>66</v>
      </c>
      <c r="D2777" t="s">
        <v>51</v>
      </c>
      <c r="E2777" s="117">
        <v>3.54</v>
      </c>
    </row>
    <row r="2778" spans="1:5" x14ac:dyDescent="0.25">
      <c r="A2778" s="119" t="s">
        <v>3309</v>
      </c>
      <c r="B2778" s="119" t="s">
        <v>9877</v>
      </c>
      <c r="C2778" s="119" t="s">
        <v>66</v>
      </c>
      <c r="D2778" t="s">
        <v>45</v>
      </c>
      <c r="E2778" s="117">
        <v>37.08</v>
      </c>
    </row>
    <row r="2779" spans="1:5" x14ac:dyDescent="0.25">
      <c r="A2779" s="119" t="s">
        <v>3310</v>
      </c>
      <c r="B2779" s="119" t="s">
        <v>3311</v>
      </c>
      <c r="C2779" s="119" t="s">
        <v>66</v>
      </c>
      <c r="D2779" t="s">
        <v>51</v>
      </c>
      <c r="E2779" s="117">
        <v>139.87</v>
      </c>
    </row>
    <row r="2780" spans="1:5" x14ac:dyDescent="0.25">
      <c r="A2780" s="119" t="s">
        <v>3312</v>
      </c>
      <c r="B2780" s="119" t="s">
        <v>9878</v>
      </c>
      <c r="C2780" s="119" t="s">
        <v>66</v>
      </c>
      <c r="D2780" t="s">
        <v>51</v>
      </c>
      <c r="E2780" s="117">
        <v>7.2</v>
      </c>
    </row>
    <row r="2781" spans="1:5" x14ac:dyDescent="0.25">
      <c r="A2781" s="119" t="s">
        <v>3313</v>
      </c>
      <c r="B2781" s="119" t="s">
        <v>9879</v>
      </c>
      <c r="C2781" s="119" t="s">
        <v>66</v>
      </c>
      <c r="D2781" t="s">
        <v>45</v>
      </c>
      <c r="E2781" s="117">
        <v>10.27</v>
      </c>
    </row>
    <row r="2782" spans="1:5" x14ac:dyDescent="0.25">
      <c r="A2782" s="119" t="s">
        <v>3314</v>
      </c>
      <c r="B2782" s="119" t="s">
        <v>7498</v>
      </c>
      <c r="C2782" s="119" t="s">
        <v>66</v>
      </c>
      <c r="D2782" t="s">
        <v>51</v>
      </c>
      <c r="E2782" s="117">
        <v>16.59</v>
      </c>
    </row>
    <row r="2783" spans="1:5" x14ac:dyDescent="0.25">
      <c r="A2783" s="119" t="s">
        <v>3315</v>
      </c>
      <c r="B2783" s="119" t="s">
        <v>9880</v>
      </c>
      <c r="C2783" s="119" t="s">
        <v>66</v>
      </c>
      <c r="D2783" t="s">
        <v>51</v>
      </c>
      <c r="E2783" s="117">
        <v>16.59</v>
      </c>
    </row>
    <row r="2784" spans="1:5" x14ac:dyDescent="0.25">
      <c r="A2784" s="119" t="s">
        <v>3316</v>
      </c>
      <c r="B2784" s="119" t="s">
        <v>7499</v>
      </c>
      <c r="C2784" s="119" t="s">
        <v>66</v>
      </c>
      <c r="D2784" t="s">
        <v>45</v>
      </c>
      <c r="E2784" s="117">
        <v>235.94</v>
      </c>
    </row>
    <row r="2785" spans="1:5" x14ac:dyDescent="0.25">
      <c r="A2785" s="119" t="s">
        <v>7500</v>
      </c>
      <c r="B2785" s="119" t="s">
        <v>7501</v>
      </c>
      <c r="C2785" s="119" t="s">
        <v>66</v>
      </c>
      <c r="D2785" t="s">
        <v>45</v>
      </c>
      <c r="E2785" s="117">
        <v>9999</v>
      </c>
    </row>
    <row r="2786" spans="1:5" x14ac:dyDescent="0.25">
      <c r="A2786" s="119" t="s">
        <v>7502</v>
      </c>
      <c r="B2786" s="119" t="s">
        <v>3782</v>
      </c>
      <c r="C2786" s="119" t="s">
        <v>66</v>
      </c>
      <c r="D2786" t="s">
        <v>45</v>
      </c>
      <c r="E2786" s="117">
        <v>9999</v>
      </c>
    </row>
    <row r="2787" spans="1:5" x14ac:dyDescent="0.25">
      <c r="A2787" s="119" t="s">
        <v>3317</v>
      </c>
      <c r="B2787" s="119" t="s">
        <v>7503</v>
      </c>
      <c r="C2787" s="119" t="s">
        <v>66</v>
      </c>
      <c r="D2787" t="s">
        <v>51</v>
      </c>
      <c r="E2787" s="117">
        <v>8.3000000000000007</v>
      </c>
    </row>
    <row r="2788" spans="1:5" x14ac:dyDescent="0.25">
      <c r="A2788" s="119" t="s">
        <v>3318</v>
      </c>
      <c r="B2788" s="119" t="s">
        <v>9881</v>
      </c>
      <c r="C2788" s="119" t="s">
        <v>66</v>
      </c>
      <c r="D2788" t="s">
        <v>51</v>
      </c>
      <c r="E2788" s="117">
        <v>9.77</v>
      </c>
    </row>
    <row r="2789" spans="1:5" x14ac:dyDescent="0.25">
      <c r="A2789" s="119" t="s">
        <v>3319</v>
      </c>
      <c r="B2789" s="119" t="s">
        <v>9882</v>
      </c>
      <c r="C2789" s="119" t="s">
        <v>66</v>
      </c>
      <c r="D2789" t="s">
        <v>6760</v>
      </c>
      <c r="E2789" s="117">
        <v>197.61</v>
      </c>
    </row>
    <row r="2790" spans="1:5" x14ac:dyDescent="0.25">
      <c r="A2790" s="119" t="s">
        <v>3320</v>
      </c>
      <c r="B2790" s="119" t="s">
        <v>7504</v>
      </c>
      <c r="C2790" s="119" t="s">
        <v>66</v>
      </c>
      <c r="D2790" t="s">
        <v>51</v>
      </c>
      <c r="E2790" s="117">
        <v>197.61</v>
      </c>
    </row>
    <row r="2791" spans="1:5" x14ac:dyDescent="0.25">
      <c r="A2791" s="119" t="s">
        <v>3321</v>
      </c>
      <c r="B2791" s="119" t="s">
        <v>9883</v>
      </c>
      <c r="C2791" s="119" t="s">
        <v>66</v>
      </c>
      <c r="D2791" t="s">
        <v>49</v>
      </c>
      <c r="E2791" s="117">
        <v>40.950000000000003</v>
      </c>
    </row>
    <row r="2792" spans="1:5" x14ac:dyDescent="0.25">
      <c r="A2792" s="119" t="s">
        <v>3322</v>
      </c>
      <c r="B2792" s="119" t="s">
        <v>9884</v>
      </c>
      <c r="C2792" s="119" t="s">
        <v>66</v>
      </c>
      <c r="D2792" t="s">
        <v>49</v>
      </c>
      <c r="E2792" s="117">
        <v>33.71</v>
      </c>
    </row>
    <row r="2793" spans="1:5" x14ac:dyDescent="0.25">
      <c r="A2793" s="119" t="s">
        <v>3323</v>
      </c>
      <c r="B2793" s="119" t="s">
        <v>9885</v>
      </c>
      <c r="C2793" s="119" t="s">
        <v>66</v>
      </c>
      <c r="D2793" t="s">
        <v>6759</v>
      </c>
      <c r="E2793" s="117">
        <v>33.71</v>
      </c>
    </row>
    <row r="2794" spans="1:5" x14ac:dyDescent="0.25">
      <c r="A2794" s="119" t="s">
        <v>3324</v>
      </c>
      <c r="B2794" s="119" t="s">
        <v>7505</v>
      </c>
      <c r="C2794" s="119" t="s">
        <v>66</v>
      </c>
      <c r="D2794" t="s">
        <v>51</v>
      </c>
      <c r="E2794" s="117">
        <v>59.22</v>
      </c>
    </row>
    <row r="2795" spans="1:5" x14ac:dyDescent="0.25">
      <c r="A2795" s="119" t="s">
        <v>3325</v>
      </c>
      <c r="B2795" s="119" t="s">
        <v>9886</v>
      </c>
      <c r="C2795" s="119" t="s">
        <v>66</v>
      </c>
      <c r="D2795" t="s">
        <v>49</v>
      </c>
      <c r="E2795" s="117">
        <v>26.88</v>
      </c>
    </row>
    <row r="2796" spans="1:5" x14ac:dyDescent="0.25">
      <c r="A2796" s="119" t="s">
        <v>3326</v>
      </c>
      <c r="B2796" s="119" t="s">
        <v>9887</v>
      </c>
      <c r="C2796" s="119" t="s">
        <v>66</v>
      </c>
      <c r="D2796" t="s">
        <v>51</v>
      </c>
      <c r="E2796" s="117">
        <v>18.899999999999999</v>
      </c>
    </row>
    <row r="2797" spans="1:5" x14ac:dyDescent="0.25">
      <c r="A2797" s="119" t="s">
        <v>6346</v>
      </c>
      <c r="B2797" s="119" t="s">
        <v>9871</v>
      </c>
      <c r="C2797" s="119" t="s">
        <v>66</v>
      </c>
      <c r="D2797" t="s">
        <v>51</v>
      </c>
      <c r="E2797" s="117">
        <v>2.95</v>
      </c>
    </row>
    <row r="2798" spans="1:5" x14ac:dyDescent="0.25">
      <c r="A2798" s="119" t="s">
        <v>3327</v>
      </c>
      <c r="B2798" s="119" t="s">
        <v>9878</v>
      </c>
      <c r="C2798" s="119" t="s">
        <v>66</v>
      </c>
      <c r="D2798" t="s">
        <v>45</v>
      </c>
      <c r="E2798" s="117">
        <v>7.2</v>
      </c>
    </row>
    <row r="2799" spans="1:5" x14ac:dyDescent="0.25">
      <c r="A2799" s="119" t="s">
        <v>3328</v>
      </c>
      <c r="B2799" s="119" t="s">
        <v>3329</v>
      </c>
      <c r="C2799" s="119" t="s">
        <v>66</v>
      </c>
      <c r="D2799" t="s">
        <v>51</v>
      </c>
      <c r="E2799" s="117">
        <v>85</v>
      </c>
    </row>
    <row r="2800" spans="1:5" x14ac:dyDescent="0.25">
      <c r="A2800" s="119" t="s">
        <v>3330</v>
      </c>
      <c r="B2800" s="119" t="s">
        <v>9888</v>
      </c>
      <c r="C2800" s="119" t="s">
        <v>66</v>
      </c>
      <c r="D2800" t="s">
        <v>45</v>
      </c>
      <c r="E2800" s="117">
        <v>422.31</v>
      </c>
    </row>
    <row r="2801" spans="1:5" x14ac:dyDescent="0.25">
      <c r="A2801" s="119" t="s">
        <v>3331</v>
      </c>
      <c r="B2801" s="119" t="s">
        <v>9889</v>
      </c>
      <c r="C2801" s="119" t="s">
        <v>66</v>
      </c>
      <c r="D2801" t="s">
        <v>49</v>
      </c>
      <c r="E2801" s="117">
        <v>86.42</v>
      </c>
    </row>
    <row r="2802" spans="1:5" x14ac:dyDescent="0.25">
      <c r="A2802" s="119" t="s">
        <v>3332</v>
      </c>
      <c r="B2802" s="119" t="s">
        <v>9890</v>
      </c>
      <c r="C2802" s="119" t="s">
        <v>66</v>
      </c>
      <c r="D2802" t="s">
        <v>51</v>
      </c>
      <c r="E2802" s="117">
        <v>8.09</v>
      </c>
    </row>
    <row r="2803" spans="1:5" x14ac:dyDescent="0.25">
      <c r="A2803" s="119" t="s">
        <v>3333</v>
      </c>
      <c r="B2803" s="119" t="s">
        <v>9891</v>
      </c>
      <c r="C2803" s="119" t="s">
        <v>66</v>
      </c>
      <c r="D2803" t="s">
        <v>51</v>
      </c>
      <c r="E2803" s="117">
        <v>9.35</v>
      </c>
    </row>
    <row r="2804" spans="1:5" x14ac:dyDescent="0.25">
      <c r="A2804" s="119" t="s">
        <v>3334</v>
      </c>
      <c r="B2804" s="119" t="s">
        <v>9892</v>
      </c>
      <c r="C2804" s="119" t="s">
        <v>66</v>
      </c>
      <c r="D2804" t="s">
        <v>51</v>
      </c>
      <c r="E2804" s="117">
        <v>11.34</v>
      </c>
    </row>
    <row r="2805" spans="1:5" x14ac:dyDescent="0.25">
      <c r="A2805" s="119" t="s">
        <v>3335</v>
      </c>
      <c r="B2805" s="119" t="s">
        <v>9893</v>
      </c>
      <c r="C2805" s="119" t="s">
        <v>66</v>
      </c>
      <c r="D2805" t="s">
        <v>6760</v>
      </c>
      <c r="E2805" s="117">
        <v>37.380000000000003</v>
      </c>
    </row>
    <row r="2806" spans="1:5" x14ac:dyDescent="0.25">
      <c r="A2806" s="119" t="s">
        <v>3336</v>
      </c>
      <c r="B2806" s="119" t="s">
        <v>6468</v>
      </c>
      <c r="C2806" s="119" t="s">
        <v>66</v>
      </c>
      <c r="D2806" t="s">
        <v>51</v>
      </c>
      <c r="E2806" s="117">
        <v>5.99</v>
      </c>
    </row>
    <row r="2807" spans="1:5" x14ac:dyDescent="0.25">
      <c r="A2807" s="119" t="s">
        <v>3337</v>
      </c>
      <c r="B2807" s="119" t="s">
        <v>6469</v>
      </c>
      <c r="C2807" s="119" t="s">
        <v>66</v>
      </c>
      <c r="D2807" t="s">
        <v>49</v>
      </c>
      <c r="E2807" s="117">
        <v>6.3</v>
      </c>
    </row>
    <row r="2808" spans="1:5" x14ac:dyDescent="0.25">
      <c r="A2808" s="119" t="s">
        <v>3338</v>
      </c>
      <c r="B2808" s="119" t="s">
        <v>6470</v>
      </c>
      <c r="C2808" s="119" t="s">
        <v>66</v>
      </c>
      <c r="D2808" t="s">
        <v>6759</v>
      </c>
      <c r="E2808" s="117">
        <v>6.51</v>
      </c>
    </row>
    <row r="2809" spans="1:5" x14ac:dyDescent="0.25">
      <c r="A2809" s="119" t="s">
        <v>3339</v>
      </c>
      <c r="B2809" s="119" t="s">
        <v>9894</v>
      </c>
      <c r="C2809" s="119" t="s">
        <v>66</v>
      </c>
      <c r="D2809" t="s">
        <v>51</v>
      </c>
      <c r="E2809" s="117">
        <v>15.86</v>
      </c>
    </row>
    <row r="2810" spans="1:5" x14ac:dyDescent="0.25">
      <c r="A2810" s="119" t="s">
        <v>3340</v>
      </c>
      <c r="B2810" s="119" t="s">
        <v>9895</v>
      </c>
      <c r="C2810" s="119" t="s">
        <v>66</v>
      </c>
      <c r="D2810" t="s">
        <v>51</v>
      </c>
      <c r="E2810" s="117">
        <v>23.63</v>
      </c>
    </row>
    <row r="2811" spans="1:5" x14ac:dyDescent="0.25">
      <c r="A2811" s="119" t="s">
        <v>3341</v>
      </c>
      <c r="B2811" s="119" t="s">
        <v>9896</v>
      </c>
      <c r="C2811" s="119" t="s">
        <v>66</v>
      </c>
      <c r="D2811" t="s">
        <v>51</v>
      </c>
      <c r="E2811" s="117">
        <v>23.63</v>
      </c>
    </row>
    <row r="2812" spans="1:5" x14ac:dyDescent="0.25">
      <c r="A2812" s="119" t="s">
        <v>3342</v>
      </c>
      <c r="B2812" s="119" t="s">
        <v>9897</v>
      </c>
      <c r="C2812" s="119" t="s">
        <v>66</v>
      </c>
      <c r="D2812" t="s">
        <v>6759</v>
      </c>
      <c r="E2812" s="117">
        <v>4.9400000000000004</v>
      </c>
    </row>
    <row r="2813" spans="1:5" x14ac:dyDescent="0.25">
      <c r="A2813" s="119" t="s">
        <v>3343</v>
      </c>
      <c r="B2813" s="119" t="s">
        <v>9898</v>
      </c>
      <c r="C2813" s="119" t="s">
        <v>66</v>
      </c>
      <c r="D2813" t="s">
        <v>6760</v>
      </c>
      <c r="E2813" s="117">
        <v>5.57</v>
      </c>
    </row>
    <row r="2814" spans="1:5" x14ac:dyDescent="0.25">
      <c r="A2814" s="119" t="s">
        <v>3344</v>
      </c>
      <c r="B2814" s="119" t="s">
        <v>9899</v>
      </c>
      <c r="C2814" s="119" t="s">
        <v>66</v>
      </c>
      <c r="D2814" t="s">
        <v>51</v>
      </c>
      <c r="E2814" s="117">
        <v>6.09</v>
      </c>
    </row>
    <row r="2815" spans="1:5" x14ac:dyDescent="0.25">
      <c r="A2815" s="119" t="s">
        <v>3345</v>
      </c>
      <c r="B2815" s="119" t="s">
        <v>9900</v>
      </c>
      <c r="C2815" s="119" t="s">
        <v>66</v>
      </c>
      <c r="D2815" t="s">
        <v>51</v>
      </c>
      <c r="E2815" s="117">
        <v>6.93</v>
      </c>
    </row>
    <row r="2816" spans="1:5" x14ac:dyDescent="0.25">
      <c r="A2816" s="119" t="s">
        <v>3346</v>
      </c>
      <c r="B2816" s="119" t="s">
        <v>9901</v>
      </c>
      <c r="C2816" s="119" t="s">
        <v>66</v>
      </c>
      <c r="D2816" t="s">
        <v>49</v>
      </c>
      <c r="E2816" s="117">
        <v>5.88</v>
      </c>
    </row>
    <row r="2817" spans="1:5" x14ac:dyDescent="0.25">
      <c r="A2817" s="119" t="s">
        <v>3347</v>
      </c>
      <c r="B2817" s="119" t="s">
        <v>9902</v>
      </c>
      <c r="C2817" s="119" t="s">
        <v>66</v>
      </c>
      <c r="D2817" t="s">
        <v>45</v>
      </c>
      <c r="E2817" s="117">
        <v>7.14</v>
      </c>
    </row>
    <row r="2818" spans="1:5" x14ac:dyDescent="0.25">
      <c r="A2818" s="119" t="s">
        <v>3348</v>
      </c>
      <c r="B2818" s="119" t="s">
        <v>9903</v>
      </c>
      <c r="C2818" s="119" t="s">
        <v>66</v>
      </c>
      <c r="D2818" t="s">
        <v>51</v>
      </c>
      <c r="E2818" s="117">
        <v>10.5</v>
      </c>
    </row>
    <row r="2819" spans="1:5" x14ac:dyDescent="0.25">
      <c r="A2819" s="119" t="s">
        <v>3349</v>
      </c>
      <c r="B2819" s="119" t="s">
        <v>9904</v>
      </c>
      <c r="C2819" s="119" t="s">
        <v>66</v>
      </c>
      <c r="D2819" t="s">
        <v>49</v>
      </c>
      <c r="E2819" s="117">
        <v>12.39</v>
      </c>
    </row>
    <row r="2820" spans="1:5" x14ac:dyDescent="0.25">
      <c r="A2820" s="119" t="s">
        <v>3350</v>
      </c>
      <c r="B2820" s="119" t="s">
        <v>9905</v>
      </c>
      <c r="C2820" s="119" t="s">
        <v>66</v>
      </c>
      <c r="D2820" t="s">
        <v>45</v>
      </c>
      <c r="E2820" s="117">
        <v>0</v>
      </c>
    </row>
    <row r="2821" spans="1:5" x14ac:dyDescent="0.25">
      <c r="A2821" s="119" t="s">
        <v>3351</v>
      </c>
      <c r="B2821" s="119" t="s">
        <v>9906</v>
      </c>
      <c r="C2821" s="119" t="s">
        <v>66</v>
      </c>
      <c r="D2821" t="s">
        <v>45</v>
      </c>
      <c r="E2821" s="117">
        <v>0</v>
      </c>
    </row>
    <row r="2822" spans="1:5" x14ac:dyDescent="0.25">
      <c r="A2822" s="119" t="s">
        <v>3352</v>
      </c>
      <c r="B2822" s="119" t="s">
        <v>9907</v>
      </c>
      <c r="C2822" s="119" t="s">
        <v>66</v>
      </c>
      <c r="D2822" t="s">
        <v>51</v>
      </c>
      <c r="E2822" s="117">
        <v>17.43</v>
      </c>
    </row>
    <row r="2823" spans="1:5" x14ac:dyDescent="0.25">
      <c r="A2823" s="119" t="s">
        <v>3353</v>
      </c>
      <c r="B2823" s="119" t="s">
        <v>9908</v>
      </c>
      <c r="C2823" s="119" t="s">
        <v>66</v>
      </c>
      <c r="D2823" t="s">
        <v>45</v>
      </c>
      <c r="E2823" s="117">
        <v>0</v>
      </c>
    </row>
    <row r="2824" spans="1:5" x14ac:dyDescent="0.25">
      <c r="A2824" s="119" t="s">
        <v>3354</v>
      </c>
      <c r="B2824" s="119" t="s">
        <v>9909</v>
      </c>
      <c r="C2824" s="119" t="s">
        <v>66</v>
      </c>
      <c r="D2824" t="s">
        <v>51</v>
      </c>
      <c r="E2824" s="117">
        <v>15.23</v>
      </c>
    </row>
    <row r="2825" spans="1:5" x14ac:dyDescent="0.25">
      <c r="A2825" s="119" t="s">
        <v>3355</v>
      </c>
      <c r="B2825" s="119" t="s">
        <v>9910</v>
      </c>
      <c r="C2825" s="119" t="s">
        <v>66</v>
      </c>
      <c r="D2825" t="s">
        <v>45</v>
      </c>
      <c r="E2825" s="117">
        <v>0</v>
      </c>
    </row>
    <row r="2826" spans="1:5" x14ac:dyDescent="0.25">
      <c r="A2826" s="119" t="s">
        <v>3356</v>
      </c>
      <c r="B2826" s="119" t="s">
        <v>9911</v>
      </c>
      <c r="C2826" s="119" t="s">
        <v>66</v>
      </c>
      <c r="D2826" t="s">
        <v>49</v>
      </c>
      <c r="E2826" s="117">
        <v>53.45</v>
      </c>
    </row>
    <row r="2827" spans="1:5" x14ac:dyDescent="0.25">
      <c r="A2827" s="119" t="s">
        <v>3357</v>
      </c>
      <c r="B2827" s="119" t="s">
        <v>9912</v>
      </c>
      <c r="C2827" s="119" t="s">
        <v>66</v>
      </c>
      <c r="D2827" t="s">
        <v>6760</v>
      </c>
      <c r="E2827" s="117">
        <v>9.98</v>
      </c>
    </row>
    <row r="2828" spans="1:5" x14ac:dyDescent="0.25">
      <c r="A2828" s="119" t="s">
        <v>3358</v>
      </c>
      <c r="B2828" s="119" t="s">
        <v>9913</v>
      </c>
      <c r="C2828" s="119" t="s">
        <v>66</v>
      </c>
      <c r="D2828" t="s">
        <v>6760</v>
      </c>
      <c r="E2828" s="117">
        <v>9.35</v>
      </c>
    </row>
    <row r="2829" spans="1:5" x14ac:dyDescent="0.25">
      <c r="A2829" s="119" t="s">
        <v>3359</v>
      </c>
      <c r="B2829" s="119" t="s">
        <v>9914</v>
      </c>
      <c r="C2829" s="119" t="s">
        <v>66</v>
      </c>
      <c r="D2829" t="s">
        <v>51</v>
      </c>
      <c r="E2829" s="117">
        <v>12.39</v>
      </c>
    </row>
    <row r="2830" spans="1:5" x14ac:dyDescent="0.25">
      <c r="A2830" s="119" t="s">
        <v>3360</v>
      </c>
      <c r="B2830" s="119" t="s">
        <v>9915</v>
      </c>
      <c r="C2830" s="119" t="s">
        <v>66</v>
      </c>
      <c r="D2830" t="s">
        <v>51</v>
      </c>
      <c r="E2830" s="117">
        <v>17.43</v>
      </c>
    </row>
    <row r="2831" spans="1:5" x14ac:dyDescent="0.25">
      <c r="A2831" s="119" t="s">
        <v>3361</v>
      </c>
      <c r="B2831" s="119" t="s">
        <v>9916</v>
      </c>
      <c r="C2831" s="119" t="s">
        <v>66</v>
      </c>
      <c r="D2831" t="s">
        <v>6760</v>
      </c>
      <c r="E2831" s="117">
        <v>22.47</v>
      </c>
    </row>
    <row r="2832" spans="1:5" x14ac:dyDescent="0.25">
      <c r="A2832" s="119" t="s">
        <v>3362</v>
      </c>
      <c r="B2832" s="119" t="s">
        <v>9917</v>
      </c>
      <c r="C2832" s="119" t="s">
        <v>66</v>
      </c>
      <c r="D2832" t="s">
        <v>51</v>
      </c>
      <c r="E2832" s="117">
        <v>24.99</v>
      </c>
    </row>
    <row r="2833" spans="1:5" x14ac:dyDescent="0.25">
      <c r="A2833" s="119" t="s">
        <v>3363</v>
      </c>
      <c r="B2833" s="119" t="s">
        <v>9918</v>
      </c>
      <c r="C2833" s="119" t="s">
        <v>66</v>
      </c>
      <c r="D2833" t="s">
        <v>45</v>
      </c>
      <c r="E2833" s="117">
        <v>0</v>
      </c>
    </row>
    <row r="2834" spans="1:5" x14ac:dyDescent="0.25">
      <c r="A2834" s="119" t="s">
        <v>3364</v>
      </c>
      <c r="B2834" s="119" t="s">
        <v>9919</v>
      </c>
      <c r="C2834" s="119" t="s">
        <v>66</v>
      </c>
      <c r="D2834" t="s">
        <v>49</v>
      </c>
      <c r="E2834" s="117">
        <v>118.02</v>
      </c>
    </row>
    <row r="2835" spans="1:5" x14ac:dyDescent="0.25">
      <c r="A2835" s="119" t="s">
        <v>3365</v>
      </c>
      <c r="B2835" s="119" t="s">
        <v>9920</v>
      </c>
      <c r="C2835" s="119" t="s">
        <v>66</v>
      </c>
      <c r="D2835" t="s">
        <v>51</v>
      </c>
      <c r="E2835" s="117">
        <v>49.04</v>
      </c>
    </row>
    <row r="2836" spans="1:5" x14ac:dyDescent="0.25">
      <c r="A2836" s="119" t="s">
        <v>3366</v>
      </c>
      <c r="B2836" s="119" t="s">
        <v>9921</v>
      </c>
      <c r="C2836" s="119" t="s">
        <v>66</v>
      </c>
      <c r="D2836" t="s">
        <v>49</v>
      </c>
      <c r="E2836" s="117">
        <v>57.86</v>
      </c>
    </row>
    <row r="2837" spans="1:5" x14ac:dyDescent="0.25">
      <c r="A2837" s="119" t="s">
        <v>3367</v>
      </c>
      <c r="B2837" s="119" t="s">
        <v>9922</v>
      </c>
      <c r="C2837" s="119" t="s">
        <v>66</v>
      </c>
      <c r="D2837" t="s">
        <v>45</v>
      </c>
      <c r="E2837" s="117">
        <v>8.09</v>
      </c>
    </row>
    <row r="2838" spans="1:5" x14ac:dyDescent="0.25">
      <c r="A2838" s="119" t="s">
        <v>3368</v>
      </c>
      <c r="B2838" s="119" t="s">
        <v>9923</v>
      </c>
      <c r="C2838" s="119" t="s">
        <v>66</v>
      </c>
      <c r="D2838" t="s">
        <v>45</v>
      </c>
      <c r="E2838" s="117">
        <v>0</v>
      </c>
    </row>
    <row r="2839" spans="1:5" x14ac:dyDescent="0.25">
      <c r="A2839" s="119" t="s">
        <v>3369</v>
      </c>
      <c r="B2839" s="119" t="s">
        <v>9924</v>
      </c>
      <c r="C2839" s="119" t="s">
        <v>66</v>
      </c>
      <c r="D2839" t="s">
        <v>6760</v>
      </c>
      <c r="E2839" s="117">
        <v>13.86</v>
      </c>
    </row>
    <row r="2840" spans="1:5" x14ac:dyDescent="0.25">
      <c r="A2840" s="119" t="s">
        <v>3370</v>
      </c>
      <c r="B2840" s="119" t="s">
        <v>9925</v>
      </c>
      <c r="C2840" s="119" t="s">
        <v>66</v>
      </c>
      <c r="D2840" t="s">
        <v>45</v>
      </c>
      <c r="E2840" s="117">
        <v>18.64</v>
      </c>
    </row>
    <row r="2841" spans="1:5" x14ac:dyDescent="0.25">
      <c r="A2841" s="119" t="s">
        <v>3371</v>
      </c>
      <c r="B2841" s="119" t="s">
        <v>9926</v>
      </c>
      <c r="C2841" s="119" t="s">
        <v>66</v>
      </c>
      <c r="D2841" t="s">
        <v>45</v>
      </c>
      <c r="E2841" s="117">
        <v>0</v>
      </c>
    </row>
    <row r="2842" spans="1:5" x14ac:dyDescent="0.25">
      <c r="A2842" s="119" t="s">
        <v>3372</v>
      </c>
      <c r="B2842" s="119" t="s">
        <v>9927</v>
      </c>
      <c r="C2842" s="119" t="s">
        <v>66</v>
      </c>
      <c r="D2842" t="s">
        <v>45</v>
      </c>
      <c r="E2842" s="117">
        <v>0</v>
      </c>
    </row>
    <row r="2843" spans="1:5" x14ac:dyDescent="0.25">
      <c r="A2843" s="119" t="s">
        <v>3373</v>
      </c>
      <c r="B2843" s="119" t="s">
        <v>9928</v>
      </c>
      <c r="C2843" s="119" t="s">
        <v>66</v>
      </c>
      <c r="D2843" t="s">
        <v>51</v>
      </c>
      <c r="E2843" s="117">
        <v>18.170000000000002</v>
      </c>
    </row>
    <row r="2844" spans="1:5" x14ac:dyDescent="0.25">
      <c r="A2844" s="119" t="s">
        <v>3374</v>
      </c>
      <c r="B2844" s="119" t="s">
        <v>9929</v>
      </c>
      <c r="C2844" s="119" t="s">
        <v>66</v>
      </c>
      <c r="D2844" t="s">
        <v>45</v>
      </c>
      <c r="E2844" s="117">
        <v>0</v>
      </c>
    </row>
    <row r="2845" spans="1:5" x14ac:dyDescent="0.25">
      <c r="A2845" s="119" t="s">
        <v>3375</v>
      </c>
      <c r="B2845" s="119" t="s">
        <v>9930</v>
      </c>
      <c r="C2845" s="119" t="s">
        <v>66</v>
      </c>
      <c r="D2845" t="s">
        <v>51</v>
      </c>
      <c r="E2845" s="117">
        <v>33.51</v>
      </c>
    </row>
    <row r="2846" spans="1:5" x14ac:dyDescent="0.25">
      <c r="A2846" s="119" t="s">
        <v>3376</v>
      </c>
      <c r="B2846" s="119" t="s">
        <v>9931</v>
      </c>
      <c r="C2846" s="119" t="s">
        <v>66</v>
      </c>
      <c r="D2846" t="s">
        <v>45</v>
      </c>
      <c r="E2846" s="117">
        <v>0</v>
      </c>
    </row>
    <row r="2847" spans="1:5" x14ac:dyDescent="0.25">
      <c r="A2847" s="119" t="s">
        <v>3377</v>
      </c>
      <c r="B2847" s="119" t="s">
        <v>9932</v>
      </c>
      <c r="C2847" s="119" t="s">
        <v>66</v>
      </c>
      <c r="D2847" t="s">
        <v>6759</v>
      </c>
      <c r="E2847" s="117">
        <v>16.04</v>
      </c>
    </row>
    <row r="2848" spans="1:5" x14ac:dyDescent="0.25">
      <c r="A2848" s="119" t="s">
        <v>3378</v>
      </c>
      <c r="B2848" s="119" t="s">
        <v>9933</v>
      </c>
      <c r="C2848" s="119" t="s">
        <v>66</v>
      </c>
      <c r="D2848" t="s">
        <v>51</v>
      </c>
      <c r="E2848" s="117">
        <v>37.17</v>
      </c>
    </row>
    <row r="2849" spans="1:5" x14ac:dyDescent="0.25">
      <c r="A2849" s="119" t="s">
        <v>3379</v>
      </c>
      <c r="B2849" s="119" t="s">
        <v>9934</v>
      </c>
      <c r="C2849" s="119" t="s">
        <v>66</v>
      </c>
      <c r="D2849" t="s">
        <v>6760</v>
      </c>
      <c r="E2849" s="117">
        <v>31.46</v>
      </c>
    </row>
    <row r="2850" spans="1:5" x14ac:dyDescent="0.25">
      <c r="A2850" s="119" t="s">
        <v>3380</v>
      </c>
      <c r="B2850" s="119" t="s">
        <v>9935</v>
      </c>
      <c r="C2850" s="119" t="s">
        <v>66</v>
      </c>
      <c r="D2850" t="s">
        <v>51</v>
      </c>
      <c r="E2850" s="117">
        <v>16.52</v>
      </c>
    </row>
    <row r="2851" spans="1:5" x14ac:dyDescent="0.25">
      <c r="A2851" s="119" t="s">
        <v>8124</v>
      </c>
      <c r="B2851" s="119" t="s">
        <v>11799</v>
      </c>
      <c r="C2851" s="119" t="s">
        <v>66</v>
      </c>
      <c r="D2851" t="s">
        <v>51</v>
      </c>
      <c r="E2851" s="117">
        <v>21.35</v>
      </c>
    </row>
    <row r="2852" spans="1:5" x14ac:dyDescent="0.25">
      <c r="A2852" s="119" t="s">
        <v>3381</v>
      </c>
      <c r="B2852" s="119" t="s">
        <v>9936</v>
      </c>
      <c r="C2852" s="119" t="s">
        <v>66</v>
      </c>
      <c r="D2852" t="s">
        <v>6759</v>
      </c>
      <c r="E2852" s="117">
        <v>21.35</v>
      </c>
    </row>
    <row r="2853" spans="1:5" x14ac:dyDescent="0.25">
      <c r="A2853" s="119" t="s">
        <v>3382</v>
      </c>
      <c r="B2853" s="119" t="s">
        <v>9937</v>
      </c>
      <c r="C2853" s="119" t="s">
        <v>66</v>
      </c>
      <c r="D2853" t="s">
        <v>45</v>
      </c>
      <c r="E2853" s="117">
        <v>24.54</v>
      </c>
    </row>
    <row r="2854" spans="1:5" x14ac:dyDescent="0.25">
      <c r="A2854" s="119" t="s">
        <v>3383</v>
      </c>
      <c r="B2854" s="119" t="s">
        <v>9938</v>
      </c>
      <c r="C2854" s="119" t="s">
        <v>66</v>
      </c>
      <c r="D2854" t="s">
        <v>45</v>
      </c>
      <c r="E2854" s="117">
        <v>21.35</v>
      </c>
    </row>
    <row r="2855" spans="1:5" x14ac:dyDescent="0.25">
      <c r="A2855" s="119" t="s">
        <v>3384</v>
      </c>
      <c r="B2855" s="119" t="s">
        <v>9939</v>
      </c>
      <c r="C2855" s="119" t="s">
        <v>66</v>
      </c>
      <c r="D2855" t="s">
        <v>51</v>
      </c>
      <c r="E2855" s="117">
        <v>22.77</v>
      </c>
    </row>
    <row r="2856" spans="1:5" x14ac:dyDescent="0.25">
      <c r="A2856" s="119" t="s">
        <v>3385</v>
      </c>
      <c r="B2856" s="119" t="s">
        <v>9940</v>
      </c>
      <c r="C2856" s="119" t="s">
        <v>66</v>
      </c>
      <c r="D2856" t="s">
        <v>49</v>
      </c>
      <c r="E2856" s="117">
        <v>100.28</v>
      </c>
    </row>
    <row r="2857" spans="1:5" x14ac:dyDescent="0.25">
      <c r="A2857" s="119" t="s">
        <v>6743</v>
      </c>
      <c r="B2857" s="119" t="s">
        <v>9941</v>
      </c>
      <c r="C2857" s="119" t="s">
        <v>66</v>
      </c>
      <c r="D2857" t="s">
        <v>51</v>
      </c>
      <c r="E2857" s="117">
        <v>20.56</v>
      </c>
    </row>
    <row r="2858" spans="1:5" x14ac:dyDescent="0.25">
      <c r="A2858" s="119" t="s">
        <v>7506</v>
      </c>
      <c r="B2858" s="119" t="s">
        <v>7507</v>
      </c>
      <c r="C2858" s="119" t="s">
        <v>66</v>
      </c>
      <c r="D2858" t="s">
        <v>6760</v>
      </c>
      <c r="E2858" s="117">
        <v>46</v>
      </c>
    </row>
    <row r="2859" spans="1:5" x14ac:dyDescent="0.25">
      <c r="A2859" s="119" t="s">
        <v>3386</v>
      </c>
      <c r="B2859" s="119" t="s">
        <v>9942</v>
      </c>
      <c r="C2859" s="119" t="s">
        <v>66</v>
      </c>
      <c r="D2859" t="s">
        <v>51</v>
      </c>
      <c r="E2859" s="117">
        <v>21.84</v>
      </c>
    </row>
    <row r="2860" spans="1:5" x14ac:dyDescent="0.25">
      <c r="A2860" s="119" t="s">
        <v>3387</v>
      </c>
      <c r="B2860" s="119" t="s">
        <v>9943</v>
      </c>
      <c r="C2860" s="119" t="s">
        <v>66</v>
      </c>
      <c r="D2860" t="s">
        <v>51</v>
      </c>
      <c r="E2860" s="117">
        <v>26.04</v>
      </c>
    </row>
    <row r="2861" spans="1:5" x14ac:dyDescent="0.25">
      <c r="A2861" s="119" t="s">
        <v>3388</v>
      </c>
      <c r="B2861" s="119" t="s">
        <v>9944</v>
      </c>
      <c r="C2861" s="119" t="s">
        <v>66</v>
      </c>
      <c r="D2861" t="s">
        <v>51</v>
      </c>
      <c r="E2861" s="117">
        <v>33.08</v>
      </c>
    </row>
    <row r="2862" spans="1:5" x14ac:dyDescent="0.25">
      <c r="A2862" s="119" t="s">
        <v>3389</v>
      </c>
      <c r="B2862" s="119" t="s">
        <v>9945</v>
      </c>
      <c r="C2862" s="119" t="s">
        <v>66</v>
      </c>
      <c r="D2862" t="s">
        <v>45</v>
      </c>
      <c r="E2862" s="117">
        <v>41.3</v>
      </c>
    </row>
    <row r="2863" spans="1:5" x14ac:dyDescent="0.25">
      <c r="A2863" s="119" t="s">
        <v>3390</v>
      </c>
      <c r="B2863" s="119" t="s">
        <v>9946</v>
      </c>
      <c r="C2863" s="119" t="s">
        <v>66</v>
      </c>
      <c r="D2863" t="s">
        <v>51</v>
      </c>
      <c r="E2863" s="117">
        <v>38.33</v>
      </c>
    </row>
    <row r="2864" spans="1:5" x14ac:dyDescent="0.25">
      <c r="A2864" s="119" t="s">
        <v>3391</v>
      </c>
      <c r="B2864" s="119" t="s">
        <v>6471</v>
      </c>
      <c r="C2864" s="119" t="s">
        <v>66</v>
      </c>
      <c r="D2864" t="s">
        <v>49</v>
      </c>
      <c r="E2864" s="117">
        <v>39.380000000000003</v>
      </c>
    </row>
    <row r="2865" spans="1:5" x14ac:dyDescent="0.25">
      <c r="A2865" s="119" t="s">
        <v>3392</v>
      </c>
      <c r="B2865" s="119" t="s">
        <v>3393</v>
      </c>
      <c r="C2865" s="119" t="s">
        <v>66</v>
      </c>
      <c r="D2865" t="s">
        <v>45</v>
      </c>
      <c r="E2865" s="117">
        <v>59.12</v>
      </c>
    </row>
    <row r="2866" spans="1:5" x14ac:dyDescent="0.25">
      <c r="A2866" s="119" t="s">
        <v>3394</v>
      </c>
      <c r="B2866" s="119" t="s">
        <v>9947</v>
      </c>
      <c r="C2866" s="119" t="s">
        <v>66</v>
      </c>
      <c r="D2866" t="s">
        <v>49</v>
      </c>
      <c r="E2866" s="117">
        <v>52.19</v>
      </c>
    </row>
    <row r="2867" spans="1:5" x14ac:dyDescent="0.25">
      <c r="A2867" s="119" t="s">
        <v>3395</v>
      </c>
      <c r="B2867" s="119" t="s">
        <v>9948</v>
      </c>
      <c r="C2867" s="119" t="s">
        <v>66</v>
      </c>
      <c r="D2867" t="s">
        <v>51</v>
      </c>
      <c r="E2867" s="117">
        <v>3.57</v>
      </c>
    </row>
    <row r="2868" spans="1:5" x14ac:dyDescent="0.25">
      <c r="A2868" s="119" t="s">
        <v>3396</v>
      </c>
      <c r="B2868" s="119" t="s">
        <v>9949</v>
      </c>
      <c r="C2868" s="119" t="s">
        <v>66</v>
      </c>
      <c r="D2868" t="s">
        <v>51</v>
      </c>
      <c r="E2868" s="117">
        <v>3.99</v>
      </c>
    </row>
    <row r="2869" spans="1:5" x14ac:dyDescent="0.25">
      <c r="A2869" s="119" t="s">
        <v>3397</v>
      </c>
      <c r="B2869" s="119" t="s">
        <v>9950</v>
      </c>
      <c r="C2869" s="119" t="s">
        <v>66</v>
      </c>
      <c r="D2869" t="s">
        <v>51</v>
      </c>
      <c r="E2869" s="117">
        <v>4.2</v>
      </c>
    </row>
    <row r="2870" spans="1:5" x14ac:dyDescent="0.25">
      <c r="A2870" s="119" t="s">
        <v>3398</v>
      </c>
      <c r="B2870" s="119" t="s">
        <v>9951</v>
      </c>
      <c r="C2870" s="119" t="s">
        <v>66</v>
      </c>
      <c r="D2870" t="s">
        <v>51</v>
      </c>
      <c r="E2870" s="117">
        <v>4.41</v>
      </c>
    </row>
    <row r="2871" spans="1:5" x14ac:dyDescent="0.25">
      <c r="A2871" s="119" t="s">
        <v>3399</v>
      </c>
      <c r="B2871" s="119" t="s">
        <v>9952</v>
      </c>
      <c r="C2871" s="119" t="s">
        <v>66</v>
      </c>
      <c r="D2871" t="s">
        <v>51</v>
      </c>
      <c r="E2871" s="117">
        <v>6.4</v>
      </c>
    </row>
    <row r="2872" spans="1:5" x14ac:dyDescent="0.25">
      <c r="A2872" s="119" t="s">
        <v>3400</v>
      </c>
      <c r="B2872" s="119" t="s">
        <v>9953</v>
      </c>
      <c r="C2872" s="119" t="s">
        <v>66</v>
      </c>
      <c r="D2872" t="s">
        <v>51</v>
      </c>
      <c r="E2872" s="117">
        <v>5.99</v>
      </c>
    </row>
    <row r="2873" spans="1:5" x14ac:dyDescent="0.25">
      <c r="A2873" s="119" t="s">
        <v>3401</v>
      </c>
      <c r="B2873" s="119" t="s">
        <v>9954</v>
      </c>
      <c r="C2873" s="119" t="s">
        <v>66</v>
      </c>
      <c r="D2873" t="s">
        <v>6760</v>
      </c>
      <c r="E2873" s="117">
        <v>18.899999999999999</v>
      </c>
    </row>
    <row r="2874" spans="1:5" x14ac:dyDescent="0.25">
      <c r="A2874" s="119" t="s">
        <v>3402</v>
      </c>
      <c r="B2874" s="119" t="s">
        <v>9955</v>
      </c>
      <c r="C2874" s="119" t="s">
        <v>66</v>
      </c>
      <c r="D2874" t="s">
        <v>51</v>
      </c>
      <c r="E2874" s="117">
        <v>9.4499999999999993</v>
      </c>
    </row>
    <row r="2875" spans="1:5" x14ac:dyDescent="0.25">
      <c r="A2875" s="119" t="s">
        <v>3403</v>
      </c>
      <c r="B2875" s="119" t="s">
        <v>9956</v>
      </c>
      <c r="C2875" s="119" t="s">
        <v>66</v>
      </c>
      <c r="D2875" t="s">
        <v>6760</v>
      </c>
      <c r="E2875" s="117">
        <v>55.23</v>
      </c>
    </row>
    <row r="2876" spans="1:5" x14ac:dyDescent="0.25">
      <c r="A2876" s="119" t="s">
        <v>3404</v>
      </c>
      <c r="B2876" s="119" t="s">
        <v>9957</v>
      </c>
      <c r="C2876" s="119" t="s">
        <v>66</v>
      </c>
      <c r="D2876" t="s">
        <v>45</v>
      </c>
      <c r="E2876" s="117">
        <v>0</v>
      </c>
    </row>
    <row r="2877" spans="1:5" x14ac:dyDescent="0.25">
      <c r="A2877" s="119" t="s">
        <v>3405</v>
      </c>
      <c r="B2877" s="119" t="s">
        <v>3406</v>
      </c>
      <c r="C2877" s="119" t="s">
        <v>66</v>
      </c>
      <c r="D2877" t="s">
        <v>45</v>
      </c>
      <c r="E2877" s="117">
        <v>48.5</v>
      </c>
    </row>
    <row r="2878" spans="1:5" x14ac:dyDescent="0.25">
      <c r="A2878" s="119" t="s">
        <v>3407</v>
      </c>
      <c r="B2878" s="119" t="s">
        <v>9958</v>
      </c>
      <c r="C2878" s="119" t="s">
        <v>66</v>
      </c>
      <c r="D2878" t="s">
        <v>45</v>
      </c>
      <c r="E2878" s="117">
        <v>35.5</v>
      </c>
    </row>
    <row r="2879" spans="1:5" x14ac:dyDescent="0.25">
      <c r="A2879" s="119" t="s">
        <v>3408</v>
      </c>
      <c r="B2879" s="119" t="s">
        <v>9959</v>
      </c>
      <c r="C2879" s="119" t="s">
        <v>66</v>
      </c>
      <c r="D2879" t="s">
        <v>51</v>
      </c>
      <c r="E2879" s="117">
        <v>134.82</v>
      </c>
    </row>
    <row r="2880" spans="1:5" x14ac:dyDescent="0.25">
      <c r="A2880" s="119" t="s">
        <v>3409</v>
      </c>
      <c r="B2880" s="119" t="s">
        <v>9960</v>
      </c>
      <c r="C2880" s="119" t="s">
        <v>66</v>
      </c>
      <c r="D2880" t="s">
        <v>45</v>
      </c>
      <c r="E2880" s="117">
        <v>0</v>
      </c>
    </row>
    <row r="2881" spans="1:5" x14ac:dyDescent="0.25">
      <c r="A2881" s="119" t="s">
        <v>3410</v>
      </c>
      <c r="B2881" s="119" t="s">
        <v>7508</v>
      </c>
      <c r="C2881" s="119" t="s">
        <v>66</v>
      </c>
      <c r="D2881" t="s">
        <v>51</v>
      </c>
      <c r="E2881" s="117">
        <v>41.69</v>
      </c>
    </row>
    <row r="2882" spans="1:5" x14ac:dyDescent="0.25">
      <c r="A2882" s="119" t="s">
        <v>3411</v>
      </c>
      <c r="B2882" s="119" t="s">
        <v>7509</v>
      </c>
      <c r="C2882" s="119" t="s">
        <v>66</v>
      </c>
      <c r="D2882" t="s">
        <v>51</v>
      </c>
      <c r="E2882" s="117">
        <v>61.43</v>
      </c>
    </row>
    <row r="2883" spans="1:5" x14ac:dyDescent="0.25">
      <c r="A2883" s="119" t="s">
        <v>3412</v>
      </c>
      <c r="B2883" s="119" t="s">
        <v>7510</v>
      </c>
      <c r="C2883" s="119" t="s">
        <v>66</v>
      </c>
      <c r="D2883" t="s">
        <v>51</v>
      </c>
      <c r="E2883" s="117">
        <v>48.65</v>
      </c>
    </row>
    <row r="2884" spans="1:5" x14ac:dyDescent="0.25">
      <c r="A2884" s="119" t="s">
        <v>3413</v>
      </c>
      <c r="B2884" s="119" t="s">
        <v>7511</v>
      </c>
      <c r="C2884" s="119" t="s">
        <v>66</v>
      </c>
      <c r="D2884" t="s">
        <v>51</v>
      </c>
      <c r="E2884" s="117">
        <v>68.36</v>
      </c>
    </row>
    <row r="2885" spans="1:5" x14ac:dyDescent="0.25">
      <c r="A2885" s="119" t="s">
        <v>3414</v>
      </c>
      <c r="B2885" s="119" t="s">
        <v>7512</v>
      </c>
      <c r="C2885" s="119" t="s">
        <v>66</v>
      </c>
      <c r="D2885" t="s">
        <v>6760</v>
      </c>
      <c r="E2885" s="117">
        <v>49.9</v>
      </c>
    </row>
    <row r="2886" spans="1:5" x14ac:dyDescent="0.25">
      <c r="A2886" s="119" t="s">
        <v>3415</v>
      </c>
      <c r="B2886" s="119" t="s">
        <v>7513</v>
      </c>
      <c r="C2886" s="119" t="s">
        <v>66</v>
      </c>
      <c r="D2886" t="s">
        <v>45</v>
      </c>
      <c r="E2886" s="117">
        <v>0</v>
      </c>
    </row>
    <row r="2887" spans="1:5" x14ac:dyDescent="0.25">
      <c r="A2887" s="119" t="s">
        <v>3416</v>
      </c>
      <c r="B2887" s="119" t="s">
        <v>7514</v>
      </c>
      <c r="C2887" s="119" t="s">
        <v>66</v>
      </c>
      <c r="D2887" t="s">
        <v>51</v>
      </c>
      <c r="E2887" s="117">
        <v>53.13</v>
      </c>
    </row>
    <row r="2888" spans="1:5" x14ac:dyDescent="0.25">
      <c r="A2888" s="119" t="s">
        <v>3417</v>
      </c>
      <c r="B2888" s="119" t="s">
        <v>7515</v>
      </c>
      <c r="C2888" s="119" t="s">
        <v>66</v>
      </c>
      <c r="D2888" t="s">
        <v>51</v>
      </c>
      <c r="E2888" s="117">
        <v>80.849999999999994</v>
      </c>
    </row>
    <row r="2889" spans="1:5" x14ac:dyDescent="0.25">
      <c r="A2889" s="119" t="s">
        <v>3418</v>
      </c>
      <c r="B2889" s="119" t="s">
        <v>7516</v>
      </c>
      <c r="C2889" s="119" t="s">
        <v>66</v>
      </c>
      <c r="D2889" t="s">
        <v>51</v>
      </c>
      <c r="E2889" s="117">
        <v>61.85</v>
      </c>
    </row>
    <row r="2890" spans="1:5" x14ac:dyDescent="0.25">
      <c r="A2890" s="119" t="s">
        <v>3419</v>
      </c>
      <c r="B2890" s="119" t="s">
        <v>7517</v>
      </c>
      <c r="C2890" s="119" t="s">
        <v>66</v>
      </c>
      <c r="D2890" t="s">
        <v>6760</v>
      </c>
      <c r="E2890" s="117">
        <v>76.760000000000005</v>
      </c>
    </row>
    <row r="2891" spans="1:5" x14ac:dyDescent="0.25">
      <c r="A2891" s="119" t="s">
        <v>3420</v>
      </c>
      <c r="B2891" s="119" t="s">
        <v>7518</v>
      </c>
      <c r="C2891" s="119" t="s">
        <v>66</v>
      </c>
      <c r="D2891" t="s">
        <v>51</v>
      </c>
      <c r="E2891" s="117">
        <v>57.75</v>
      </c>
    </row>
    <row r="2892" spans="1:5" x14ac:dyDescent="0.25">
      <c r="A2892" s="119" t="s">
        <v>3421</v>
      </c>
      <c r="B2892" s="119" t="s">
        <v>7519</v>
      </c>
      <c r="C2892" s="119" t="s">
        <v>66</v>
      </c>
      <c r="D2892" t="s">
        <v>51</v>
      </c>
      <c r="E2892" s="117">
        <v>80.33</v>
      </c>
    </row>
    <row r="2893" spans="1:5" x14ac:dyDescent="0.25">
      <c r="A2893" s="119" t="s">
        <v>3422</v>
      </c>
      <c r="B2893" s="119" t="s">
        <v>7520</v>
      </c>
      <c r="C2893" s="119" t="s">
        <v>66</v>
      </c>
      <c r="D2893" t="s">
        <v>6760</v>
      </c>
      <c r="E2893" s="117">
        <v>80.849999999999994</v>
      </c>
    </row>
    <row r="2894" spans="1:5" x14ac:dyDescent="0.25">
      <c r="A2894" s="119" t="s">
        <v>3423</v>
      </c>
      <c r="B2894" s="119" t="s">
        <v>7521</v>
      </c>
      <c r="C2894" s="119" t="s">
        <v>66</v>
      </c>
      <c r="D2894" t="s">
        <v>6760</v>
      </c>
      <c r="E2894" s="117">
        <v>80.849999999999994</v>
      </c>
    </row>
    <row r="2895" spans="1:5" x14ac:dyDescent="0.25">
      <c r="A2895" s="119" t="s">
        <v>3424</v>
      </c>
      <c r="B2895" s="119" t="s">
        <v>3425</v>
      </c>
      <c r="C2895" s="119" t="s">
        <v>66</v>
      </c>
      <c r="D2895" t="s">
        <v>49</v>
      </c>
      <c r="E2895" s="117">
        <v>78.75</v>
      </c>
    </row>
    <row r="2896" spans="1:5" x14ac:dyDescent="0.25">
      <c r="A2896" s="119" t="s">
        <v>3426</v>
      </c>
      <c r="B2896" s="119" t="s">
        <v>3427</v>
      </c>
      <c r="C2896" s="119" t="s">
        <v>66</v>
      </c>
      <c r="D2896" t="s">
        <v>6760</v>
      </c>
      <c r="E2896" s="117">
        <v>73.5</v>
      </c>
    </row>
    <row r="2897" spans="1:5" x14ac:dyDescent="0.25">
      <c r="A2897" s="119" t="s">
        <v>3428</v>
      </c>
      <c r="B2897" s="119" t="s">
        <v>9961</v>
      </c>
      <c r="C2897" s="119" t="s">
        <v>66</v>
      </c>
      <c r="D2897" t="s">
        <v>6760</v>
      </c>
      <c r="E2897" s="117">
        <v>99.5</v>
      </c>
    </row>
    <row r="2898" spans="1:5" x14ac:dyDescent="0.25">
      <c r="A2898" s="119" t="s">
        <v>3429</v>
      </c>
      <c r="B2898" s="119" t="s">
        <v>9962</v>
      </c>
      <c r="C2898" s="119" t="s">
        <v>66</v>
      </c>
      <c r="D2898" t="s">
        <v>6759</v>
      </c>
      <c r="E2898" s="117">
        <v>178.5</v>
      </c>
    </row>
    <row r="2899" spans="1:5" x14ac:dyDescent="0.25">
      <c r="A2899" s="119" t="s">
        <v>3430</v>
      </c>
      <c r="B2899" s="119" t="s">
        <v>9963</v>
      </c>
      <c r="C2899" s="119" t="s">
        <v>66</v>
      </c>
      <c r="D2899" t="s">
        <v>6760</v>
      </c>
      <c r="E2899" s="117">
        <v>210</v>
      </c>
    </row>
    <row r="2900" spans="1:5" x14ac:dyDescent="0.25">
      <c r="A2900" s="119" t="s">
        <v>3431</v>
      </c>
      <c r="B2900" s="119" t="s">
        <v>3432</v>
      </c>
      <c r="C2900" s="119" t="s">
        <v>66</v>
      </c>
      <c r="D2900" t="s">
        <v>6759</v>
      </c>
      <c r="E2900" s="117">
        <v>219</v>
      </c>
    </row>
    <row r="2901" spans="1:5" x14ac:dyDescent="0.25">
      <c r="A2901" s="119" t="s">
        <v>3433</v>
      </c>
      <c r="B2901" s="119" t="s">
        <v>3434</v>
      </c>
      <c r="C2901" s="119" t="s">
        <v>66</v>
      </c>
      <c r="D2901" t="s">
        <v>49</v>
      </c>
      <c r="E2901" s="117">
        <v>24.9</v>
      </c>
    </row>
    <row r="2902" spans="1:5" x14ac:dyDescent="0.25">
      <c r="A2902" s="119" t="s">
        <v>3435</v>
      </c>
      <c r="B2902" s="119" t="s">
        <v>3436</v>
      </c>
      <c r="C2902" s="119" t="s">
        <v>66</v>
      </c>
      <c r="D2902" t="s">
        <v>51</v>
      </c>
      <c r="E2902" s="117">
        <v>27.62</v>
      </c>
    </row>
    <row r="2903" spans="1:5" x14ac:dyDescent="0.25">
      <c r="A2903" s="119" t="s">
        <v>3437</v>
      </c>
      <c r="B2903" s="119" t="s">
        <v>7522</v>
      </c>
      <c r="C2903" s="119" t="s">
        <v>66</v>
      </c>
      <c r="D2903" t="s">
        <v>51</v>
      </c>
      <c r="E2903" s="117">
        <v>269.12</v>
      </c>
    </row>
    <row r="2904" spans="1:5" x14ac:dyDescent="0.25">
      <c r="A2904" s="119" t="s">
        <v>3438</v>
      </c>
      <c r="B2904" s="119" t="s">
        <v>3439</v>
      </c>
      <c r="C2904" s="119" t="s">
        <v>66</v>
      </c>
      <c r="D2904" t="s">
        <v>51</v>
      </c>
      <c r="E2904" s="117">
        <v>42.21</v>
      </c>
    </row>
    <row r="2905" spans="1:5" x14ac:dyDescent="0.25">
      <c r="A2905" s="119" t="s">
        <v>3440</v>
      </c>
      <c r="B2905" s="119" t="s">
        <v>9964</v>
      </c>
      <c r="C2905" s="119" t="s">
        <v>66</v>
      </c>
      <c r="D2905" t="s">
        <v>51</v>
      </c>
      <c r="E2905" s="117">
        <v>26.25</v>
      </c>
    </row>
    <row r="2906" spans="1:5" x14ac:dyDescent="0.25">
      <c r="A2906" s="119" t="s">
        <v>3441</v>
      </c>
      <c r="B2906" s="119" t="s">
        <v>3442</v>
      </c>
      <c r="C2906" s="119" t="s">
        <v>66</v>
      </c>
      <c r="D2906" t="s">
        <v>51</v>
      </c>
      <c r="E2906" s="117">
        <v>29.4</v>
      </c>
    </row>
    <row r="2907" spans="1:5" x14ac:dyDescent="0.25">
      <c r="A2907" s="119" t="s">
        <v>3443</v>
      </c>
      <c r="B2907" s="119" t="s">
        <v>7523</v>
      </c>
      <c r="C2907" s="119" t="s">
        <v>66</v>
      </c>
      <c r="D2907" t="s">
        <v>51</v>
      </c>
      <c r="E2907" s="117">
        <v>43.16</v>
      </c>
    </row>
    <row r="2908" spans="1:5" x14ac:dyDescent="0.25">
      <c r="A2908" s="119" t="s">
        <v>3444</v>
      </c>
      <c r="B2908" s="119" t="s">
        <v>9965</v>
      </c>
      <c r="C2908" s="119" t="s">
        <v>66</v>
      </c>
      <c r="D2908" t="s">
        <v>51</v>
      </c>
      <c r="E2908" s="117">
        <v>33.92</v>
      </c>
    </row>
    <row r="2909" spans="1:5" x14ac:dyDescent="0.25">
      <c r="A2909" s="119" t="s">
        <v>3445</v>
      </c>
      <c r="B2909" s="119" t="s">
        <v>7524</v>
      </c>
      <c r="C2909" s="119" t="s">
        <v>66</v>
      </c>
      <c r="D2909" t="s">
        <v>51</v>
      </c>
      <c r="E2909" s="117">
        <v>57.75</v>
      </c>
    </row>
    <row r="2910" spans="1:5" x14ac:dyDescent="0.25">
      <c r="A2910" s="119" t="s">
        <v>3446</v>
      </c>
      <c r="B2910" s="119" t="s">
        <v>9966</v>
      </c>
      <c r="C2910" s="119" t="s">
        <v>66</v>
      </c>
      <c r="D2910" t="s">
        <v>45</v>
      </c>
      <c r="E2910" s="117">
        <v>21.42</v>
      </c>
    </row>
    <row r="2911" spans="1:5" x14ac:dyDescent="0.25">
      <c r="A2911" s="119" t="s">
        <v>3447</v>
      </c>
      <c r="B2911" s="119" t="s">
        <v>9967</v>
      </c>
      <c r="C2911" s="119" t="s">
        <v>66</v>
      </c>
      <c r="D2911" t="s">
        <v>45</v>
      </c>
      <c r="E2911" s="117">
        <v>26.3</v>
      </c>
    </row>
    <row r="2912" spans="1:5" x14ac:dyDescent="0.25">
      <c r="A2912" s="119" t="s">
        <v>3448</v>
      </c>
      <c r="B2912" s="119" t="s">
        <v>9968</v>
      </c>
      <c r="C2912" s="119" t="s">
        <v>66</v>
      </c>
      <c r="D2912" t="s">
        <v>6759</v>
      </c>
      <c r="E2912" s="117">
        <v>269.12</v>
      </c>
    </row>
    <row r="2913" spans="1:5" x14ac:dyDescent="0.25">
      <c r="A2913" s="119" t="s">
        <v>3449</v>
      </c>
      <c r="B2913" s="119" t="s">
        <v>3439</v>
      </c>
      <c r="C2913" s="119" t="s">
        <v>66</v>
      </c>
      <c r="D2913" t="s">
        <v>45</v>
      </c>
      <c r="E2913" s="117">
        <v>42.21</v>
      </c>
    </row>
    <row r="2914" spans="1:5" x14ac:dyDescent="0.25">
      <c r="A2914" s="119" t="s">
        <v>3450</v>
      </c>
      <c r="B2914" s="119" t="s">
        <v>9969</v>
      </c>
      <c r="C2914" s="119" t="s">
        <v>66</v>
      </c>
      <c r="D2914" t="s">
        <v>51</v>
      </c>
      <c r="E2914" s="117">
        <v>22.79</v>
      </c>
    </row>
    <row r="2915" spans="1:5" x14ac:dyDescent="0.25">
      <c r="A2915" s="119" t="s">
        <v>3451</v>
      </c>
      <c r="B2915" s="119" t="s">
        <v>9970</v>
      </c>
      <c r="C2915" s="119" t="s">
        <v>66</v>
      </c>
      <c r="D2915" t="s">
        <v>45</v>
      </c>
      <c r="E2915" s="117">
        <v>26.3</v>
      </c>
    </row>
    <row r="2916" spans="1:5" x14ac:dyDescent="0.25">
      <c r="A2916" s="119" t="s">
        <v>3452</v>
      </c>
      <c r="B2916" s="119" t="s">
        <v>3453</v>
      </c>
      <c r="C2916" s="119" t="s">
        <v>66</v>
      </c>
      <c r="D2916" t="s">
        <v>45</v>
      </c>
      <c r="E2916" s="117">
        <v>41.1</v>
      </c>
    </row>
    <row r="2917" spans="1:5" x14ac:dyDescent="0.25">
      <c r="A2917" s="119" t="s">
        <v>3454</v>
      </c>
      <c r="B2917" s="119" t="s">
        <v>9971</v>
      </c>
      <c r="C2917" s="119" t="s">
        <v>66</v>
      </c>
      <c r="D2917" t="s">
        <v>45</v>
      </c>
      <c r="E2917" s="117">
        <v>33.92</v>
      </c>
    </row>
    <row r="2918" spans="1:5" x14ac:dyDescent="0.25">
      <c r="A2918" s="119" t="s">
        <v>3455</v>
      </c>
      <c r="B2918" s="119" t="s">
        <v>9972</v>
      </c>
      <c r="C2918" s="119" t="s">
        <v>66</v>
      </c>
      <c r="D2918" t="s">
        <v>45</v>
      </c>
      <c r="E2918" s="117">
        <v>55.23</v>
      </c>
    </row>
    <row r="2919" spans="1:5" x14ac:dyDescent="0.25">
      <c r="A2919" s="119" t="s">
        <v>3456</v>
      </c>
      <c r="B2919" s="119" t="s">
        <v>9973</v>
      </c>
      <c r="C2919" s="119" t="s">
        <v>66</v>
      </c>
      <c r="D2919" t="s">
        <v>45</v>
      </c>
      <c r="E2919" s="117">
        <v>39.700000000000003</v>
      </c>
    </row>
    <row r="2920" spans="1:5" x14ac:dyDescent="0.25">
      <c r="A2920" s="119" t="s">
        <v>3457</v>
      </c>
      <c r="B2920" s="119" t="s">
        <v>9974</v>
      </c>
      <c r="C2920" s="119" t="s">
        <v>66</v>
      </c>
      <c r="D2920" t="s">
        <v>45</v>
      </c>
      <c r="E2920" s="117">
        <v>49.77</v>
      </c>
    </row>
    <row r="2921" spans="1:5" x14ac:dyDescent="0.25">
      <c r="A2921" s="119" t="s">
        <v>3458</v>
      </c>
      <c r="B2921" s="119" t="s">
        <v>9975</v>
      </c>
      <c r="C2921" s="119" t="s">
        <v>66</v>
      </c>
      <c r="D2921" t="s">
        <v>45</v>
      </c>
      <c r="E2921" s="117">
        <v>68.36</v>
      </c>
    </row>
    <row r="2922" spans="1:5" x14ac:dyDescent="0.25">
      <c r="A2922" s="119" t="s">
        <v>3459</v>
      </c>
      <c r="B2922" s="119" t="s">
        <v>9976</v>
      </c>
      <c r="C2922" s="119" t="s">
        <v>66</v>
      </c>
      <c r="D2922" t="s">
        <v>45</v>
      </c>
      <c r="E2922" s="117">
        <v>55.97</v>
      </c>
    </row>
    <row r="2923" spans="1:5" x14ac:dyDescent="0.25">
      <c r="A2923" s="119" t="s">
        <v>3460</v>
      </c>
      <c r="B2923" s="119" t="s">
        <v>9977</v>
      </c>
      <c r="C2923" s="119" t="s">
        <v>66</v>
      </c>
      <c r="D2923" t="s">
        <v>45</v>
      </c>
      <c r="E2923" s="117">
        <v>0</v>
      </c>
    </row>
    <row r="2924" spans="1:5" x14ac:dyDescent="0.25">
      <c r="A2924" s="119" t="s">
        <v>3461</v>
      </c>
      <c r="B2924" s="119" t="s">
        <v>9978</v>
      </c>
      <c r="C2924" s="119" t="s">
        <v>66</v>
      </c>
      <c r="D2924" t="s">
        <v>45</v>
      </c>
      <c r="E2924" s="117">
        <v>53.13</v>
      </c>
    </row>
    <row r="2925" spans="1:5" x14ac:dyDescent="0.25">
      <c r="A2925" s="119" t="s">
        <v>3462</v>
      </c>
      <c r="B2925" s="119" t="s">
        <v>9979</v>
      </c>
      <c r="C2925" s="119" t="s">
        <v>66</v>
      </c>
      <c r="D2925" t="s">
        <v>45</v>
      </c>
      <c r="E2925" s="117">
        <v>80.849999999999994</v>
      </c>
    </row>
    <row r="2926" spans="1:5" x14ac:dyDescent="0.25">
      <c r="A2926" s="119" t="s">
        <v>3463</v>
      </c>
      <c r="B2926" s="119" t="s">
        <v>9980</v>
      </c>
      <c r="C2926" s="119" t="s">
        <v>66</v>
      </c>
      <c r="D2926" t="s">
        <v>6759</v>
      </c>
      <c r="E2926" s="117">
        <v>61.85</v>
      </c>
    </row>
    <row r="2927" spans="1:5" x14ac:dyDescent="0.25">
      <c r="A2927" s="119" t="s">
        <v>3464</v>
      </c>
      <c r="B2927" s="119" t="s">
        <v>9981</v>
      </c>
      <c r="C2927" s="119" t="s">
        <v>66</v>
      </c>
      <c r="D2927" t="s">
        <v>45</v>
      </c>
      <c r="E2927" s="117">
        <v>76.760000000000005</v>
      </c>
    </row>
    <row r="2928" spans="1:5" x14ac:dyDescent="0.25">
      <c r="A2928" s="119" t="s">
        <v>3465</v>
      </c>
      <c r="B2928" s="119" t="s">
        <v>9982</v>
      </c>
      <c r="C2928" s="119" t="s">
        <v>66</v>
      </c>
      <c r="D2928" t="s">
        <v>45</v>
      </c>
      <c r="E2928" s="117">
        <v>68.36</v>
      </c>
    </row>
    <row r="2929" spans="1:5" x14ac:dyDescent="0.25">
      <c r="A2929" s="119" t="s">
        <v>3466</v>
      </c>
      <c r="B2929" s="119" t="s">
        <v>9983</v>
      </c>
      <c r="C2929" s="119" t="s">
        <v>66</v>
      </c>
      <c r="D2929" t="s">
        <v>45</v>
      </c>
      <c r="E2929" s="117">
        <v>80.33</v>
      </c>
    </row>
    <row r="2930" spans="1:5" x14ac:dyDescent="0.25">
      <c r="A2930" s="119" t="s">
        <v>3467</v>
      </c>
      <c r="B2930" s="119" t="s">
        <v>9984</v>
      </c>
      <c r="C2930" s="119" t="s">
        <v>66</v>
      </c>
      <c r="D2930" t="s">
        <v>45</v>
      </c>
      <c r="E2930" s="117">
        <v>80.849999999999994</v>
      </c>
    </row>
    <row r="2931" spans="1:5" x14ac:dyDescent="0.25">
      <c r="A2931" s="119" t="s">
        <v>3468</v>
      </c>
      <c r="B2931" s="119" t="s">
        <v>9985</v>
      </c>
      <c r="C2931" s="119" t="s">
        <v>66</v>
      </c>
      <c r="D2931" t="s">
        <v>45</v>
      </c>
      <c r="E2931" s="117">
        <v>85.1</v>
      </c>
    </row>
    <row r="2932" spans="1:5" x14ac:dyDescent="0.25">
      <c r="A2932" s="119" t="s">
        <v>3469</v>
      </c>
      <c r="B2932" s="119" t="s">
        <v>9986</v>
      </c>
      <c r="C2932" s="119" t="s">
        <v>66</v>
      </c>
      <c r="D2932" t="s">
        <v>6760</v>
      </c>
      <c r="E2932" s="117">
        <v>84.32</v>
      </c>
    </row>
    <row r="2933" spans="1:5" x14ac:dyDescent="0.25">
      <c r="A2933" s="119" t="s">
        <v>3470</v>
      </c>
      <c r="B2933" s="119" t="s">
        <v>9987</v>
      </c>
      <c r="C2933" s="119" t="s">
        <v>66</v>
      </c>
      <c r="D2933" t="s">
        <v>45</v>
      </c>
      <c r="E2933" s="117">
        <v>70.88</v>
      </c>
    </row>
    <row r="2934" spans="1:5" x14ac:dyDescent="0.25">
      <c r="A2934" s="119" t="s">
        <v>3471</v>
      </c>
      <c r="B2934" s="119" t="s">
        <v>9961</v>
      </c>
      <c r="C2934" s="119" t="s">
        <v>66</v>
      </c>
      <c r="D2934" t="s">
        <v>45</v>
      </c>
      <c r="E2934" s="117">
        <v>99.44</v>
      </c>
    </row>
    <row r="2935" spans="1:5" x14ac:dyDescent="0.25">
      <c r="A2935" s="119" t="s">
        <v>3472</v>
      </c>
      <c r="B2935" s="119" t="s">
        <v>9988</v>
      </c>
      <c r="C2935" s="119" t="s">
        <v>66</v>
      </c>
      <c r="D2935" t="s">
        <v>45</v>
      </c>
      <c r="E2935" s="117">
        <v>165.63</v>
      </c>
    </row>
    <row r="2936" spans="1:5" x14ac:dyDescent="0.25">
      <c r="A2936" s="119" t="s">
        <v>3473</v>
      </c>
      <c r="B2936" s="119" t="s">
        <v>9989</v>
      </c>
      <c r="C2936" s="119" t="s">
        <v>66</v>
      </c>
      <c r="D2936" t="s">
        <v>49</v>
      </c>
      <c r="E2936" s="117">
        <v>179.87</v>
      </c>
    </row>
    <row r="2937" spans="1:5" x14ac:dyDescent="0.25">
      <c r="A2937" s="119" t="s">
        <v>3474</v>
      </c>
      <c r="B2937" s="119" t="s">
        <v>9990</v>
      </c>
      <c r="C2937" s="119" t="s">
        <v>66</v>
      </c>
      <c r="D2937" t="s">
        <v>45</v>
      </c>
      <c r="E2937" s="117">
        <v>195.8</v>
      </c>
    </row>
    <row r="2938" spans="1:5" x14ac:dyDescent="0.25">
      <c r="A2938" s="119" t="s">
        <v>3475</v>
      </c>
      <c r="B2938" s="119" t="s">
        <v>7525</v>
      </c>
      <c r="C2938" s="119" t="s">
        <v>66</v>
      </c>
      <c r="D2938" t="s">
        <v>49</v>
      </c>
      <c r="E2938" s="117">
        <v>7.56</v>
      </c>
    </row>
    <row r="2939" spans="1:5" x14ac:dyDescent="0.25">
      <c r="A2939" s="119" t="s">
        <v>3476</v>
      </c>
      <c r="B2939" s="119" t="s">
        <v>7526</v>
      </c>
      <c r="C2939" s="119" t="s">
        <v>66</v>
      </c>
      <c r="D2939" t="s">
        <v>49</v>
      </c>
      <c r="E2939" s="117">
        <v>9.98</v>
      </c>
    </row>
    <row r="2940" spans="1:5" x14ac:dyDescent="0.25">
      <c r="A2940" s="119" t="s">
        <v>3477</v>
      </c>
      <c r="B2940" s="119" t="s">
        <v>7527</v>
      </c>
      <c r="C2940" s="119" t="s">
        <v>66</v>
      </c>
      <c r="D2940" t="s">
        <v>51</v>
      </c>
      <c r="E2940" s="117">
        <v>9.98</v>
      </c>
    </row>
    <row r="2941" spans="1:5" x14ac:dyDescent="0.25">
      <c r="A2941" s="119" t="s">
        <v>3478</v>
      </c>
      <c r="B2941" s="119" t="s">
        <v>7528</v>
      </c>
      <c r="C2941" s="119" t="s">
        <v>66</v>
      </c>
      <c r="D2941" t="s">
        <v>45</v>
      </c>
      <c r="E2941" s="117">
        <v>16.170000000000002</v>
      </c>
    </row>
    <row r="2942" spans="1:5" x14ac:dyDescent="0.25">
      <c r="A2942" s="119" t="s">
        <v>3479</v>
      </c>
      <c r="B2942" s="119" t="s">
        <v>9991</v>
      </c>
      <c r="C2942" s="119" t="s">
        <v>66</v>
      </c>
      <c r="D2942" t="s">
        <v>6759</v>
      </c>
      <c r="E2942" s="117">
        <v>609</v>
      </c>
    </row>
    <row r="2943" spans="1:5" x14ac:dyDescent="0.25">
      <c r="A2943" s="119" t="s">
        <v>3480</v>
      </c>
      <c r="B2943" s="119" t="s">
        <v>3481</v>
      </c>
      <c r="C2943" s="119" t="s">
        <v>66</v>
      </c>
      <c r="D2943" t="s">
        <v>6760</v>
      </c>
      <c r="E2943" s="117">
        <v>102</v>
      </c>
    </row>
    <row r="2944" spans="1:5" x14ac:dyDescent="0.25">
      <c r="A2944" s="119" t="s">
        <v>3482</v>
      </c>
      <c r="B2944" s="119" t="s">
        <v>9991</v>
      </c>
      <c r="C2944" s="119" t="s">
        <v>66</v>
      </c>
      <c r="D2944" t="s">
        <v>45</v>
      </c>
      <c r="E2944" s="117">
        <v>704.13</v>
      </c>
    </row>
    <row r="2945" spans="1:5" x14ac:dyDescent="0.25">
      <c r="A2945" s="119" t="s">
        <v>3483</v>
      </c>
      <c r="B2945" s="119" t="s">
        <v>9992</v>
      </c>
      <c r="C2945" s="119" t="s">
        <v>66</v>
      </c>
      <c r="D2945" t="s">
        <v>6760</v>
      </c>
      <c r="E2945" s="117">
        <v>141.22999999999999</v>
      </c>
    </row>
    <row r="2946" spans="1:5" x14ac:dyDescent="0.25">
      <c r="A2946" s="119" t="s">
        <v>3484</v>
      </c>
      <c r="B2946" s="119" t="s">
        <v>9993</v>
      </c>
      <c r="C2946" s="119" t="s">
        <v>66</v>
      </c>
      <c r="D2946" t="s">
        <v>49</v>
      </c>
      <c r="E2946" s="117">
        <v>135.24</v>
      </c>
    </row>
    <row r="2947" spans="1:5" x14ac:dyDescent="0.25">
      <c r="A2947" s="119" t="s">
        <v>3485</v>
      </c>
      <c r="B2947" s="119" t="s">
        <v>9994</v>
      </c>
      <c r="C2947" s="119" t="s">
        <v>66</v>
      </c>
      <c r="D2947" t="s">
        <v>45</v>
      </c>
      <c r="E2947" s="117">
        <v>30</v>
      </c>
    </row>
    <row r="2948" spans="1:5" x14ac:dyDescent="0.25">
      <c r="A2948" s="119" t="s">
        <v>3486</v>
      </c>
      <c r="B2948" s="119" t="s">
        <v>9995</v>
      </c>
      <c r="C2948" s="119" t="s">
        <v>66</v>
      </c>
      <c r="D2948" t="s">
        <v>45</v>
      </c>
      <c r="E2948" s="117">
        <v>0</v>
      </c>
    </row>
    <row r="2949" spans="1:5" x14ac:dyDescent="0.25">
      <c r="A2949" s="119" t="s">
        <v>3487</v>
      </c>
      <c r="B2949" s="119" t="s">
        <v>9996</v>
      </c>
      <c r="C2949" s="119" t="s">
        <v>66</v>
      </c>
      <c r="D2949" t="s">
        <v>45</v>
      </c>
      <c r="E2949" s="117">
        <v>3.4</v>
      </c>
    </row>
    <row r="2950" spans="1:5" x14ac:dyDescent="0.25">
      <c r="A2950" s="119" t="s">
        <v>3488</v>
      </c>
      <c r="B2950" s="119" t="s">
        <v>3489</v>
      </c>
      <c r="C2950" s="119" t="s">
        <v>66</v>
      </c>
      <c r="D2950" t="s">
        <v>45</v>
      </c>
      <c r="E2950" s="117">
        <v>3.57</v>
      </c>
    </row>
    <row r="2951" spans="1:5" x14ac:dyDescent="0.25">
      <c r="A2951" s="119" t="s">
        <v>3490</v>
      </c>
      <c r="B2951" s="119" t="s">
        <v>9997</v>
      </c>
      <c r="C2951" s="119" t="s">
        <v>66</v>
      </c>
      <c r="D2951" t="s">
        <v>51</v>
      </c>
      <c r="E2951" s="117">
        <v>3.57</v>
      </c>
    </row>
    <row r="2952" spans="1:5" x14ac:dyDescent="0.25">
      <c r="A2952" s="119" t="s">
        <v>3491</v>
      </c>
      <c r="B2952" s="119" t="s">
        <v>9998</v>
      </c>
      <c r="C2952" s="119" t="s">
        <v>66</v>
      </c>
      <c r="D2952" t="s">
        <v>45</v>
      </c>
      <c r="E2952" s="117">
        <v>3.57</v>
      </c>
    </row>
    <row r="2953" spans="1:5" x14ac:dyDescent="0.25">
      <c r="A2953" s="119" t="s">
        <v>3492</v>
      </c>
      <c r="B2953" s="119" t="s">
        <v>9999</v>
      </c>
      <c r="C2953" s="119" t="s">
        <v>66</v>
      </c>
      <c r="D2953" t="s">
        <v>45</v>
      </c>
      <c r="E2953" s="117">
        <v>4</v>
      </c>
    </row>
    <row r="2954" spans="1:5" x14ac:dyDescent="0.25">
      <c r="A2954" s="119" t="s">
        <v>3493</v>
      </c>
      <c r="B2954" s="119" t="s">
        <v>10000</v>
      </c>
      <c r="C2954" s="119" t="s">
        <v>66</v>
      </c>
      <c r="D2954" t="s">
        <v>45</v>
      </c>
      <c r="E2954" s="117">
        <v>4</v>
      </c>
    </row>
    <row r="2955" spans="1:5" x14ac:dyDescent="0.25">
      <c r="A2955" s="119" t="s">
        <v>3494</v>
      </c>
      <c r="B2955" s="119" t="s">
        <v>10001</v>
      </c>
      <c r="C2955" s="119" t="s">
        <v>66</v>
      </c>
      <c r="D2955" t="s">
        <v>45</v>
      </c>
      <c r="E2955" s="117">
        <v>4.5</v>
      </c>
    </row>
    <row r="2956" spans="1:5" x14ac:dyDescent="0.25">
      <c r="A2956" s="119" t="s">
        <v>3495</v>
      </c>
      <c r="B2956" s="119" t="s">
        <v>10002</v>
      </c>
      <c r="C2956" s="119" t="s">
        <v>66</v>
      </c>
      <c r="D2956" t="s">
        <v>45</v>
      </c>
      <c r="E2956" s="117">
        <v>0</v>
      </c>
    </row>
    <row r="2957" spans="1:5" x14ac:dyDescent="0.25">
      <c r="A2957" s="119" t="s">
        <v>3496</v>
      </c>
      <c r="B2957" s="119" t="s">
        <v>10003</v>
      </c>
      <c r="C2957" s="119" t="s">
        <v>66</v>
      </c>
      <c r="D2957" t="s">
        <v>45</v>
      </c>
      <c r="E2957" s="117">
        <v>4</v>
      </c>
    </row>
    <row r="2958" spans="1:5" x14ac:dyDescent="0.25">
      <c r="A2958" s="119" t="s">
        <v>3497</v>
      </c>
      <c r="B2958" s="119" t="s">
        <v>10004</v>
      </c>
      <c r="C2958" s="119" t="s">
        <v>66</v>
      </c>
      <c r="D2958" t="s">
        <v>45</v>
      </c>
      <c r="E2958" s="117">
        <v>4.7300000000000004</v>
      </c>
    </row>
    <row r="2959" spans="1:5" x14ac:dyDescent="0.25">
      <c r="A2959" s="119" t="s">
        <v>3498</v>
      </c>
      <c r="B2959" s="119" t="s">
        <v>10005</v>
      </c>
      <c r="C2959" s="119" t="s">
        <v>66</v>
      </c>
      <c r="D2959" t="s">
        <v>45</v>
      </c>
      <c r="E2959" s="117">
        <v>0</v>
      </c>
    </row>
    <row r="2960" spans="1:5" x14ac:dyDescent="0.25">
      <c r="A2960" s="119" t="s">
        <v>3499</v>
      </c>
      <c r="B2960" s="119" t="s">
        <v>10006</v>
      </c>
      <c r="C2960" s="119" t="s">
        <v>66</v>
      </c>
      <c r="D2960" t="s">
        <v>45</v>
      </c>
      <c r="E2960" s="117">
        <v>5.7</v>
      </c>
    </row>
    <row r="2961" spans="1:5" x14ac:dyDescent="0.25">
      <c r="A2961" s="119" t="s">
        <v>3500</v>
      </c>
      <c r="B2961" s="119" t="s">
        <v>9954</v>
      </c>
      <c r="C2961" s="119" t="s">
        <v>66</v>
      </c>
      <c r="D2961" t="s">
        <v>45</v>
      </c>
      <c r="E2961" s="117">
        <v>18.899999999999999</v>
      </c>
    </row>
    <row r="2962" spans="1:5" x14ac:dyDescent="0.25">
      <c r="A2962" s="119" t="s">
        <v>3501</v>
      </c>
      <c r="B2962" s="119" t="s">
        <v>10007</v>
      </c>
      <c r="C2962" s="119" t="s">
        <v>66</v>
      </c>
      <c r="D2962" t="s">
        <v>45</v>
      </c>
      <c r="E2962" s="117">
        <v>0</v>
      </c>
    </row>
    <row r="2963" spans="1:5" x14ac:dyDescent="0.25">
      <c r="A2963" s="119" t="s">
        <v>3502</v>
      </c>
      <c r="B2963" s="119" t="s">
        <v>10008</v>
      </c>
      <c r="C2963" s="119" t="s">
        <v>66</v>
      </c>
      <c r="D2963" t="s">
        <v>45</v>
      </c>
      <c r="E2963" s="117">
        <v>0</v>
      </c>
    </row>
    <row r="2964" spans="1:5" x14ac:dyDescent="0.25">
      <c r="A2964" s="119" t="s">
        <v>3503</v>
      </c>
      <c r="B2964" s="119" t="s">
        <v>10009</v>
      </c>
      <c r="C2964" s="119" t="s">
        <v>66</v>
      </c>
      <c r="D2964" t="s">
        <v>45</v>
      </c>
      <c r="E2964" s="117">
        <v>18.899999999999999</v>
      </c>
    </row>
    <row r="2965" spans="1:5" x14ac:dyDescent="0.25">
      <c r="A2965" s="119" t="s">
        <v>3504</v>
      </c>
      <c r="B2965" s="119" t="s">
        <v>10010</v>
      </c>
      <c r="C2965" s="119" t="s">
        <v>66</v>
      </c>
      <c r="D2965" t="s">
        <v>6759</v>
      </c>
      <c r="E2965" s="117">
        <v>23.63</v>
      </c>
    </row>
    <row r="2966" spans="1:5" x14ac:dyDescent="0.25">
      <c r="A2966" s="119" t="s">
        <v>3505</v>
      </c>
      <c r="B2966" s="119" t="s">
        <v>10011</v>
      </c>
      <c r="C2966" s="119" t="s">
        <v>66</v>
      </c>
      <c r="D2966" t="s">
        <v>45</v>
      </c>
      <c r="E2966" s="117">
        <v>9</v>
      </c>
    </row>
    <row r="2967" spans="1:5" x14ac:dyDescent="0.25">
      <c r="A2967" s="119" t="s">
        <v>3506</v>
      </c>
      <c r="B2967" s="119" t="s">
        <v>10012</v>
      </c>
      <c r="C2967" s="119" t="s">
        <v>66</v>
      </c>
      <c r="D2967" t="s">
        <v>51</v>
      </c>
      <c r="E2967" s="117">
        <v>11.24</v>
      </c>
    </row>
    <row r="2968" spans="1:5" x14ac:dyDescent="0.25">
      <c r="A2968" s="119" t="s">
        <v>3507</v>
      </c>
      <c r="B2968" s="119" t="s">
        <v>10013</v>
      </c>
      <c r="C2968" s="119" t="s">
        <v>66</v>
      </c>
      <c r="D2968" t="s">
        <v>45</v>
      </c>
      <c r="E2968" s="117">
        <v>0</v>
      </c>
    </row>
    <row r="2969" spans="1:5" x14ac:dyDescent="0.25">
      <c r="A2969" s="119" t="s">
        <v>3508</v>
      </c>
      <c r="B2969" s="119" t="s">
        <v>10014</v>
      </c>
      <c r="C2969" s="119" t="s">
        <v>66</v>
      </c>
      <c r="D2969" t="s">
        <v>45</v>
      </c>
      <c r="E2969" s="117">
        <v>0</v>
      </c>
    </row>
    <row r="2970" spans="1:5" x14ac:dyDescent="0.25">
      <c r="A2970" s="119" t="s">
        <v>3509</v>
      </c>
      <c r="B2970" s="119" t="s">
        <v>10015</v>
      </c>
      <c r="C2970" s="119" t="s">
        <v>66</v>
      </c>
      <c r="D2970" t="s">
        <v>49</v>
      </c>
      <c r="E2970" s="117">
        <v>23.63</v>
      </c>
    </row>
    <row r="2971" spans="1:5" x14ac:dyDescent="0.25">
      <c r="A2971" s="119" t="s">
        <v>3510</v>
      </c>
      <c r="B2971" s="119" t="s">
        <v>3511</v>
      </c>
      <c r="C2971" s="119" t="s">
        <v>66</v>
      </c>
      <c r="D2971" t="s">
        <v>45</v>
      </c>
      <c r="E2971" s="117">
        <v>25.25</v>
      </c>
    </row>
    <row r="2972" spans="1:5" x14ac:dyDescent="0.25">
      <c r="A2972" s="119" t="s">
        <v>3512</v>
      </c>
      <c r="B2972" s="119" t="s">
        <v>10016</v>
      </c>
      <c r="C2972" s="119" t="s">
        <v>66</v>
      </c>
      <c r="D2972" t="s">
        <v>45</v>
      </c>
      <c r="E2972" s="117">
        <v>0</v>
      </c>
    </row>
    <row r="2973" spans="1:5" x14ac:dyDescent="0.25">
      <c r="A2973" s="119" t="s">
        <v>3513</v>
      </c>
      <c r="B2973" s="119" t="s">
        <v>10017</v>
      </c>
      <c r="C2973" s="119" t="s">
        <v>66</v>
      </c>
      <c r="D2973" t="s">
        <v>49</v>
      </c>
      <c r="E2973" s="117">
        <v>32.97</v>
      </c>
    </row>
    <row r="2974" spans="1:5" x14ac:dyDescent="0.25">
      <c r="A2974" s="119" t="s">
        <v>3514</v>
      </c>
      <c r="B2974" s="119" t="s">
        <v>10018</v>
      </c>
      <c r="C2974" s="119" t="s">
        <v>66</v>
      </c>
      <c r="D2974" t="s">
        <v>6760</v>
      </c>
      <c r="E2974" s="117">
        <v>35.49</v>
      </c>
    </row>
    <row r="2975" spans="1:5" x14ac:dyDescent="0.25">
      <c r="A2975" s="119" t="s">
        <v>3515</v>
      </c>
      <c r="B2975" s="119" t="s">
        <v>10019</v>
      </c>
      <c r="C2975" s="119" t="s">
        <v>66</v>
      </c>
      <c r="D2975" t="s">
        <v>45</v>
      </c>
      <c r="E2975" s="117">
        <v>0</v>
      </c>
    </row>
    <row r="2976" spans="1:5" x14ac:dyDescent="0.25">
      <c r="A2976" s="119" t="s">
        <v>3516</v>
      </c>
      <c r="B2976" s="119" t="s">
        <v>10020</v>
      </c>
      <c r="C2976" s="119" t="s">
        <v>66</v>
      </c>
      <c r="D2976" t="s">
        <v>45</v>
      </c>
      <c r="E2976" s="117">
        <v>0</v>
      </c>
    </row>
    <row r="2977" spans="1:5" x14ac:dyDescent="0.25">
      <c r="A2977" s="119" t="s">
        <v>3517</v>
      </c>
      <c r="B2977" s="119" t="s">
        <v>10021</v>
      </c>
      <c r="C2977" s="119" t="s">
        <v>66</v>
      </c>
      <c r="D2977" t="s">
        <v>6760</v>
      </c>
      <c r="E2977" s="117">
        <v>42.84</v>
      </c>
    </row>
    <row r="2978" spans="1:5" x14ac:dyDescent="0.25">
      <c r="A2978" s="119" t="s">
        <v>3518</v>
      </c>
      <c r="B2978" s="119" t="s">
        <v>10022</v>
      </c>
      <c r="C2978" s="119" t="s">
        <v>66</v>
      </c>
      <c r="D2978" t="s">
        <v>45</v>
      </c>
      <c r="E2978" s="117">
        <v>0</v>
      </c>
    </row>
    <row r="2979" spans="1:5" x14ac:dyDescent="0.25">
      <c r="A2979" s="119" t="s">
        <v>3519</v>
      </c>
      <c r="B2979" s="119" t="s">
        <v>10023</v>
      </c>
      <c r="C2979" s="119" t="s">
        <v>66</v>
      </c>
      <c r="D2979" t="s">
        <v>45</v>
      </c>
      <c r="E2979" s="117">
        <v>0</v>
      </c>
    </row>
    <row r="2980" spans="1:5" x14ac:dyDescent="0.25">
      <c r="A2980" s="119" t="s">
        <v>3520</v>
      </c>
      <c r="B2980" s="119" t="s">
        <v>10024</v>
      </c>
      <c r="C2980" s="119" t="s">
        <v>66</v>
      </c>
      <c r="D2980" t="s">
        <v>45</v>
      </c>
      <c r="E2980" s="117">
        <v>0</v>
      </c>
    </row>
    <row r="2981" spans="1:5" x14ac:dyDescent="0.25">
      <c r="A2981" s="119" t="s">
        <v>3521</v>
      </c>
      <c r="B2981" s="119" t="s">
        <v>10025</v>
      </c>
      <c r="C2981" s="119" t="s">
        <v>66</v>
      </c>
      <c r="D2981" t="s">
        <v>45</v>
      </c>
      <c r="E2981" s="117">
        <v>0</v>
      </c>
    </row>
    <row r="2982" spans="1:5" x14ac:dyDescent="0.25">
      <c r="A2982" s="119" t="s">
        <v>3522</v>
      </c>
      <c r="B2982" s="119" t="s">
        <v>10026</v>
      </c>
      <c r="C2982" s="119" t="s">
        <v>66</v>
      </c>
      <c r="D2982" t="s">
        <v>49</v>
      </c>
      <c r="E2982" s="117">
        <v>57.12</v>
      </c>
    </row>
    <row r="2983" spans="1:5" x14ac:dyDescent="0.25">
      <c r="A2983" s="119" t="s">
        <v>3523</v>
      </c>
      <c r="B2983" s="119" t="s">
        <v>10027</v>
      </c>
      <c r="C2983" s="119" t="s">
        <v>66</v>
      </c>
      <c r="D2983" t="s">
        <v>45</v>
      </c>
      <c r="E2983" s="117">
        <v>0</v>
      </c>
    </row>
    <row r="2984" spans="1:5" x14ac:dyDescent="0.25">
      <c r="A2984" s="119" t="s">
        <v>3524</v>
      </c>
      <c r="B2984" s="119" t="s">
        <v>10028</v>
      </c>
      <c r="C2984" s="119" t="s">
        <v>66</v>
      </c>
      <c r="D2984" t="s">
        <v>49</v>
      </c>
      <c r="E2984" s="117">
        <v>62.27</v>
      </c>
    </row>
    <row r="2985" spans="1:5" x14ac:dyDescent="0.25">
      <c r="A2985" s="119" t="s">
        <v>3525</v>
      </c>
      <c r="B2985" s="119" t="s">
        <v>3526</v>
      </c>
      <c r="C2985" s="119" t="s">
        <v>66</v>
      </c>
      <c r="D2985" t="s">
        <v>6759</v>
      </c>
      <c r="E2985" s="117">
        <v>68.36</v>
      </c>
    </row>
    <row r="2986" spans="1:5" x14ac:dyDescent="0.25">
      <c r="A2986" s="119" t="s">
        <v>3527</v>
      </c>
      <c r="B2986" s="119" t="s">
        <v>10029</v>
      </c>
      <c r="C2986" s="119" t="s">
        <v>66</v>
      </c>
      <c r="D2986" t="s">
        <v>6760</v>
      </c>
      <c r="E2986" s="117">
        <v>69.62</v>
      </c>
    </row>
    <row r="2987" spans="1:5" x14ac:dyDescent="0.25">
      <c r="A2987" s="119" t="s">
        <v>3528</v>
      </c>
      <c r="B2987" s="119" t="s">
        <v>10030</v>
      </c>
      <c r="C2987" s="119" t="s">
        <v>66</v>
      </c>
      <c r="D2987" t="s">
        <v>49</v>
      </c>
      <c r="E2987" s="117">
        <v>74.66</v>
      </c>
    </row>
    <row r="2988" spans="1:5" x14ac:dyDescent="0.25">
      <c r="A2988" s="119" t="s">
        <v>3529</v>
      </c>
      <c r="B2988" s="119" t="s">
        <v>10031</v>
      </c>
      <c r="C2988" s="119" t="s">
        <v>66</v>
      </c>
      <c r="D2988" t="s">
        <v>49</v>
      </c>
      <c r="E2988" s="117">
        <v>78.23</v>
      </c>
    </row>
    <row r="2989" spans="1:5" x14ac:dyDescent="0.25">
      <c r="A2989" s="119" t="s">
        <v>3530</v>
      </c>
      <c r="B2989" s="119" t="s">
        <v>10032</v>
      </c>
      <c r="C2989" s="119" t="s">
        <v>66</v>
      </c>
      <c r="D2989" t="s">
        <v>49</v>
      </c>
      <c r="E2989" s="117">
        <v>80.849999999999994</v>
      </c>
    </row>
    <row r="2990" spans="1:5" x14ac:dyDescent="0.25">
      <c r="A2990" s="119" t="s">
        <v>3531</v>
      </c>
      <c r="B2990" s="119" t="s">
        <v>10033</v>
      </c>
      <c r="C2990" s="119" t="s">
        <v>66</v>
      </c>
      <c r="D2990" t="s">
        <v>49</v>
      </c>
      <c r="E2990" s="117">
        <v>89.46</v>
      </c>
    </row>
    <row r="2991" spans="1:5" x14ac:dyDescent="0.25">
      <c r="A2991" s="119" t="s">
        <v>3532</v>
      </c>
      <c r="B2991" s="119" t="s">
        <v>10034</v>
      </c>
      <c r="C2991" s="119" t="s">
        <v>66</v>
      </c>
      <c r="D2991" t="s">
        <v>49</v>
      </c>
      <c r="E2991" s="117">
        <v>91.98</v>
      </c>
    </row>
    <row r="2992" spans="1:5" x14ac:dyDescent="0.25">
      <c r="A2992" s="119" t="s">
        <v>3533</v>
      </c>
      <c r="B2992" s="119" t="s">
        <v>10035</v>
      </c>
      <c r="C2992" s="119" t="s">
        <v>66</v>
      </c>
      <c r="D2992" t="s">
        <v>45</v>
      </c>
      <c r="E2992" s="117">
        <v>97.02</v>
      </c>
    </row>
    <row r="2993" spans="1:5" x14ac:dyDescent="0.25">
      <c r="A2993" s="119" t="s">
        <v>3534</v>
      </c>
      <c r="B2993" s="119" t="s">
        <v>10036</v>
      </c>
      <c r="C2993" s="119" t="s">
        <v>66</v>
      </c>
      <c r="D2993" t="s">
        <v>49</v>
      </c>
      <c r="E2993" s="117">
        <v>104.48</v>
      </c>
    </row>
    <row r="2994" spans="1:5" x14ac:dyDescent="0.25">
      <c r="A2994" s="119" t="s">
        <v>3535</v>
      </c>
      <c r="B2994" s="119" t="s">
        <v>10037</v>
      </c>
      <c r="C2994" s="119" t="s">
        <v>66</v>
      </c>
      <c r="D2994" t="s">
        <v>45</v>
      </c>
      <c r="E2994" s="117">
        <v>0</v>
      </c>
    </row>
    <row r="2995" spans="1:5" x14ac:dyDescent="0.25">
      <c r="A2995" s="119" t="s">
        <v>6724</v>
      </c>
      <c r="B2995" s="119" t="s">
        <v>10038</v>
      </c>
      <c r="C2995" s="119" t="s">
        <v>66</v>
      </c>
      <c r="D2995" t="s">
        <v>6760</v>
      </c>
      <c r="E2995" s="117">
        <v>31.92</v>
      </c>
    </row>
    <row r="2996" spans="1:5" x14ac:dyDescent="0.25">
      <c r="A2996" s="119" t="s">
        <v>3536</v>
      </c>
      <c r="B2996" s="119" t="s">
        <v>10039</v>
      </c>
      <c r="C2996" s="119" t="s">
        <v>66</v>
      </c>
      <c r="D2996" t="s">
        <v>51</v>
      </c>
      <c r="E2996" s="117">
        <v>70.459999999999994</v>
      </c>
    </row>
    <row r="2997" spans="1:5" x14ac:dyDescent="0.25">
      <c r="A2997" s="119" t="s">
        <v>3537</v>
      </c>
      <c r="B2997" s="119" t="s">
        <v>10040</v>
      </c>
      <c r="C2997" s="119" t="s">
        <v>66</v>
      </c>
      <c r="D2997" t="s">
        <v>45</v>
      </c>
      <c r="E2997" s="117">
        <v>95.87</v>
      </c>
    </row>
    <row r="2998" spans="1:5" x14ac:dyDescent="0.25">
      <c r="A2998" s="119" t="s">
        <v>3538</v>
      </c>
      <c r="B2998" s="119" t="s">
        <v>10041</v>
      </c>
      <c r="C2998" s="119" t="s">
        <v>66</v>
      </c>
      <c r="D2998" t="s">
        <v>51</v>
      </c>
      <c r="E2998" s="117">
        <v>88.1</v>
      </c>
    </row>
    <row r="2999" spans="1:5" x14ac:dyDescent="0.25">
      <c r="A2999" s="119" t="s">
        <v>3539</v>
      </c>
      <c r="B2999" s="119" t="s">
        <v>10042</v>
      </c>
      <c r="C2999" s="119" t="s">
        <v>66</v>
      </c>
      <c r="D2999" t="s">
        <v>6759</v>
      </c>
      <c r="E2999" s="117">
        <v>97.02</v>
      </c>
    </row>
    <row r="3000" spans="1:5" x14ac:dyDescent="0.25">
      <c r="A3000" s="119" t="s">
        <v>3540</v>
      </c>
      <c r="B3000" s="119" t="s">
        <v>10043</v>
      </c>
      <c r="C3000" s="119" t="s">
        <v>66</v>
      </c>
      <c r="D3000" t="s">
        <v>6760</v>
      </c>
      <c r="E3000" s="117">
        <v>104.9</v>
      </c>
    </row>
    <row r="3001" spans="1:5" x14ac:dyDescent="0.25">
      <c r="A3001" s="119" t="s">
        <v>3541</v>
      </c>
      <c r="B3001" s="119" t="s">
        <v>10038</v>
      </c>
      <c r="C3001" s="119" t="s">
        <v>66</v>
      </c>
      <c r="D3001" t="s">
        <v>51</v>
      </c>
      <c r="E3001" s="117">
        <v>31.92</v>
      </c>
    </row>
    <row r="3002" spans="1:5" x14ac:dyDescent="0.25">
      <c r="A3002" s="119" t="s">
        <v>3542</v>
      </c>
      <c r="B3002" s="119" t="s">
        <v>10044</v>
      </c>
      <c r="C3002" s="119" t="s">
        <v>66</v>
      </c>
      <c r="D3002" t="s">
        <v>51</v>
      </c>
      <c r="E3002" s="117">
        <v>54.6</v>
      </c>
    </row>
    <row r="3003" spans="1:5" x14ac:dyDescent="0.25">
      <c r="A3003" s="119" t="s">
        <v>3543</v>
      </c>
      <c r="B3003" s="119" t="s">
        <v>10045</v>
      </c>
      <c r="C3003" s="119" t="s">
        <v>66</v>
      </c>
      <c r="D3003" t="s">
        <v>51</v>
      </c>
      <c r="E3003" s="117">
        <v>73.5</v>
      </c>
    </row>
    <row r="3004" spans="1:5" x14ac:dyDescent="0.25">
      <c r="A3004" s="119" t="s">
        <v>3544</v>
      </c>
      <c r="B3004" s="119" t="s">
        <v>10046</v>
      </c>
      <c r="C3004" s="119" t="s">
        <v>66</v>
      </c>
      <c r="D3004" t="s">
        <v>6760</v>
      </c>
      <c r="E3004" s="117">
        <v>59.85</v>
      </c>
    </row>
    <row r="3005" spans="1:5" x14ac:dyDescent="0.25">
      <c r="A3005" s="119" t="s">
        <v>3545</v>
      </c>
      <c r="B3005" s="119" t="s">
        <v>10047</v>
      </c>
      <c r="C3005" s="119" t="s">
        <v>66</v>
      </c>
      <c r="D3005" t="s">
        <v>51</v>
      </c>
      <c r="E3005" s="117">
        <v>68.25</v>
      </c>
    </row>
    <row r="3006" spans="1:5" x14ac:dyDescent="0.25">
      <c r="A3006" s="119" t="s">
        <v>3546</v>
      </c>
      <c r="B3006" s="119" t="s">
        <v>10048</v>
      </c>
      <c r="C3006" s="119" t="s">
        <v>66</v>
      </c>
      <c r="D3006" t="s">
        <v>49</v>
      </c>
      <c r="E3006" s="117">
        <v>71.400000000000006</v>
      </c>
    </row>
    <row r="3007" spans="1:5" x14ac:dyDescent="0.25">
      <c r="A3007" s="119" t="s">
        <v>3547</v>
      </c>
      <c r="B3007" s="119" t="s">
        <v>10049</v>
      </c>
      <c r="C3007" s="119" t="s">
        <v>66</v>
      </c>
      <c r="D3007" t="s">
        <v>51</v>
      </c>
      <c r="E3007" s="117">
        <v>99.75</v>
      </c>
    </row>
    <row r="3008" spans="1:5" x14ac:dyDescent="0.25">
      <c r="A3008" s="119" t="s">
        <v>3548</v>
      </c>
      <c r="B3008" s="119" t="s">
        <v>10050</v>
      </c>
      <c r="C3008" s="119" t="s">
        <v>66</v>
      </c>
      <c r="D3008" t="s">
        <v>6760</v>
      </c>
      <c r="E3008" s="117">
        <v>79.8</v>
      </c>
    </row>
    <row r="3009" spans="1:5" x14ac:dyDescent="0.25">
      <c r="A3009" s="119" t="s">
        <v>3549</v>
      </c>
      <c r="B3009" s="119" t="s">
        <v>10051</v>
      </c>
      <c r="C3009" s="119" t="s">
        <v>66</v>
      </c>
      <c r="D3009" t="s">
        <v>6759</v>
      </c>
      <c r="E3009" s="117">
        <v>108.15</v>
      </c>
    </row>
    <row r="3010" spans="1:5" x14ac:dyDescent="0.25">
      <c r="A3010" s="119" t="s">
        <v>3550</v>
      </c>
      <c r="B3010" s="119" t="s">
        <v>10052</v>
      </c>
      <c r="C3010" s="119" t="s">
        <v>66</v>
      </c>
      <c r="D3010" t="s">
        <v>45</v>
      </c>
      <c r="E3010" s="117">
        <v>84</v>
      </c>
    </row>
    <row r="3011" spans="1:5" x14ac:dyDescent="0.25">
      <c r="A3011" s="119" t="s">
        <v>3551</v>
      </c>
      <c r="B3011" s="119" t="s">
        <v>10053</v>
      </c>
      <c r="C3011" s="119" t="s">
        <v>66</v>
      </c>
      <c r="D3011" t="s">
        <v>45</v>
      </c>
      <c r="E3011" s="117">
        <v>113.4</v>
      </c>
    </row>
    <row r="3012" spans="1:5" x14ac:dyDescent="0.25">
      <c r="A3012" s="119" t="s">
        <v>3552</v>
      </c>
      <c r="B3012" s="119" t="s">
        <v>10054</v>
      </c>
      <c r="C3012" s="119" t="s">
        <v>66</v>
      </c>
      <c r="D3012" t="s">
        <v>45</v>
      </c>
      <c r="E3012" s="117">
        <v>117.6</v>
      </c>
    </row>
    <row r="3013" spans="1:5" x14ac:dyDescent="0.25">
      <c r="A3013" s="119" t="s">
        <v>3553</v>
      </c>
      <c r="B3013" s="119" t="s">
        <v>10055</v>
      </c>
      <c r="C3013" s="119" t="s">
        <v>66</v>
      </c>
      <c r="D3013" t="s">
        <v>6759</v>
      </c>
      <c r="E3013" s="117">
        <v>189</v>
      </c>
    </row>
    <row r="3014" spans="1:5" x14ac:dyDescent="0.25">
      <c r="A3014" s="119" t="s">
        <v>3554</v>
      </c>
      <c r="B3014" s="119" t="s">
        <v>10056</v>
      </c>
      <c r="C3014" s="119" t="s">
        <v>66</v>
      </c>
      <c r="D3014" t="s">
        <v>6759</v>
      </c>
      <c r="E3014" s="117">
        <v>231</v>
      </c>
    </row>
    <row r="3015" spans="1:5" x14ac:dyDescent="0.25">
      <c r="A3015" s="119" t="s">
        <v>3555</v>
      </c>
      <c r="B3015" s="119" t="s">
        <v>10057</v>
      </c>
      <c r="C3015" s="119" t="s">
        <v>66</v>
      </c>
      <c r="D3015" t="s">
        <v>51</v>
      </c>
      <c r="E3015" s="117">
        <v>21</v>
      </c>
    </row>
    <row r="3016" spans="1:5" x14ac:dyDescent="0.25">
      <c r="A3016" s="119" t="s">
        <v>3556</v>
      </c>
      <c r="B3016" s="119" t="s">
        <v>10058</v>
      </c>
      <c r="C3016" s="119" t="s">
        <v>66</v>
      </c>
      <c r="D3016" t="s">
        <v>45</v>
      </c>
      <c r="E3016" s="117">
        <v>4.2</v>
      </c>
    </row>
    <row r="3017" spans="1:5" x14ac:dyDescent="0.25">
      <c r="A3017" s="119" t="s">
        <v>3557</v>
      </c>
      <c r="B3017" s="119" t="s">
        <v>10059</v>
      </c>
      <c r="C3017" s="119" t="s">
        <v>66</v>
      </c>
      <c r="D3017" t="s">
        <v>45</v>
      </c>
      <c r="E3017" s="117">
        <v>46.2</v>
      </c>
    </row>
    <row r="3018" spans="1:5" x14ac:dyDescent="0.25">
      <c r="A3018" s="119" t="s">
        <v>3558</v>
      </c>
      <c r="B3018" s="119" t="s">
        <v>3559</v>
      </c>
      <c r="C3018" s="119" t="s">
        <v>66</v>
      </c>
      <c r="D3018" t="s">
        <v>45</v>
      </c>
      <c r="E3018" s="117">
        <v>4.2</v>
      </c>
    </row>
    <row r="3019" spans="1:5" x14ac:dyDescent="0.25">
      <c r="A3019" s="119" t="s">
        <v>3560</v>
      </c>
      <c r="B3019" s="119" t="s">
        <v>10060</v>
      </c>
      <c r="C3019" s="119" t="s">
        <v>66</v>
      </c>
      <c r="D3019" t="s">
        <v>6759</v>
      </c>
      <c r="E3019" s="117">
        <v>19.43</v>
      </c>
    </row>
    <row r="3020" spans="1:5" x14ac:dyDescent="0.25">
      <c r="A3020" s="119" t="s">
        <v>3561</v>
      </c>
      <c r="B3020" s="119" t="s">
        <v>10061</v>
      </c>
      <c r="C3020" s="119" t="s">
        <v>66</v>
      </c>
      <c r="D3020" t="s">
        <v>51</v>
      </c>
      <c r="E3020" s="117">
        <v>67.099999999999994</v>
      </c>
    </row>
    <row r="3021" spans="1:5" x14ac:dyDescent="0.25">
      <c r="A3021" s="119" t="s">
        <v>3562</v>
      </c>
      <c r="B3021" s="119" t="s">
        <v>3563</v>
      </c>
      <c r="C3021" s="119" t="s">
        <v>66</v>
      </c>
      <c r="D3021" t="s">
        <v>6760</v>
      </c>
      <c r="E3021" s="117">
        <v>123.06</v>
      </c>
    </row>
    <row r="3022" spans="1:5" x14ac:dyDescent="0.25">
      <c r="A3022" s="119" t="s">
        <v>3564</v>
      </c>
      <c r="B3022" s="119" t="s">
        <v>3565</v>
      </c>
      <c r="C3022" s="119" t="s">
        <v>66</v>
      </c>
      <c r="D3022" t="s">
        <v>45</v>
      </c>
      <c r="E3022" s="117">
        <v>0</v>
      </c>
    </row>
    <row r="3023" spans="1:5" x14ac:dyDescent="0.25">
      <c r="A3023" s="119" t="s">
        <v>3566</v>
      </c>
      <c r="B3023" s="119" t="s">
        <v>3567</v>
      </c>
      <c r="C3023" s="119" t="s">
        <v>66</v>
      </c>
      <c r="D3023" t="s">
        <v>45</v>
      </c>
      <c r="E3023" s="117">
        <v>310.3</v>
      </c>
    </row>
    <row r="3024" spans="1:5" x14ac:dyDescent="0.25">
      <c r="A3024" s="119" t="s">
        <v>3568</v>
      </c>
      <c r="B3024" s="119" t="s">
        <v>3569</v>
      </c>
      <c r="C3024" s="119" t="s">
        <v>66</v>
      </c>
      <c r="D3024" t="s">
        <v>45</v>
      </c>
      <c r="E3024" s="117">
        <v>0</v>
      </c>
    </row>
    <row r="3025" spans="1:5" x14ac:dyDescent="0.25">
      <c r="A3025" s="119" t="s">
        <v>3570</v>
      </c>
      <c r="B3025" s="119" t="s">
        <v>10062</v>
      </c>
      <c r="C3025" s="119" t="s">
        <v>66</v>
      </c>
      <c r="D3025" t="s">
        <v>49</v>
      </c>
      <c r="E3025" s="117">
        <v>65.099999999999994</v>
      </c>
    </row>
    <row r="3026" spans="1:5" x14ac:dyDescent="0.25">
      <c r="A3026" s="119" t="s">
        <v>3571</v>
      </c>
      <c r="B3026" s="119" t="s">
        <v>10063</v>
      </c>
      <c r="C3026" s="119" t="s">
        <v>66</v>
      </c>
      <c r="D3026" t="s">
        <v>6760</v>
      </c>
      <c r="E3026" s="117">
        <v>122.92</v>
      </c>
    </row>
    <row r="3027" spans="1:5" x14ac:dyDescent="0.25">
      <c r="A3027" s="119" t="s">
        <v>3572</v>
      </c>
      <c r="B3027" s="119" t="s">
        <v>10064</v>
      </c>
      <c r="C3027" s="119" t="s">
        <v>66</v>
      </c>
      <c r="D3027" t="s">
        <v>51</v>
      </c>
      <c r="E3027" s="117">
        <v>37.380000000000003</v>
      </c>
    </row>
    <row r="3028" spans="1:5" x14ac:dyDescent="0.25">
      <c r="A3028" s="119" t="s">
        <v>3573</v>
      </c>
      <c r="B3028" s="119" t="s">
        <v>10065</v>
      </c>
      <c r="C3028" s="119" t="s">
        <v>66</v>
      </c>
      <c r="D3028" t="s">
        <v>45</v>
      </c>
      <c r="E3028" s="117">
        <v>40.950000000000003</v>
      </c>
    </row>
    <row r="3029" spans="1:5" x14ac:dyDescent="0.25">
      <c r="A3029" s="119" t="s">
        <v>3574</v>
      </c>
      <c r="B3029" s="119" t="s">
        <v>10066</v>
      </c>
      <c r="C3029" s="119" t="s">
        <v>66</v>
      </c>
      <c r="D3029" t="s">
        <v>45</v>
      </c>
      <c r="E3029" s="117">
        <v>74.66</v>
      </c>
    </row>
    <row r="3030" spans="1:5" x14ac:dyDescent="0.25">
      <c r="A3030" s="119" t="s">
        <v>3575</v>
      </c>
      <c r="B3030" s="119" t="s">
        <v>10067</v>
      </c>
      <c r="C3030" s="119" t="s">
        <v>66</v>
      </c>
      <c r="D3030" t="s">
        <v>45</v>
      </c>
      <c r="E3030" s="117">
        <v>108.57</v>
      </c>
    </row>
    <row r="3031" spans="1:5" x14ac:dyDescent="0.25">
      <c r="A3031" s="119" t="s">
        <v>3576</v>
      </c>
      <c r="B3031" s="119" t="s">
        <v>10068</v>
      </c>
      <c r="C3031" s="119" t="s">
        <v>66</v>
      </c>
      <c r="D3031" t="s">
        <v>45</v>
      </c>
      <c r="E3031" s="117">
        <v>0</v>
      </c>
    </row>
    <row r="3032" spans="1:5" x14ac:dyDescent="0.25">
      <c r="A3032" s="119" t="s">
        <v>3577</v>
      </c>
      <c r="B3032" s="119" t="s">
        <v>10069</v>
      </c>
      <c r="C3032" s="119" t="s">
        <v>66</v>
      </c>
      <c r="D3032" t="s">
        <v>45</v>
      </c>
      <c r="E3032" s="117">
        <v>61</v>
      </c>
    </row>
    <row r="3033" spans="1:5" x14ac:dyDescent="0.25">
      <c r="A3033" s="119" t="s">
        <v>3578</v>
      </c>
      <c r="B3033" s="119" t="s">
        <v>10070</v>
      </c>
      <c r="C3033" s="119" t="s">
        <v>66</v>
      </c>
      <c r="D3033" t="s">
        <v>49</v>
      </c>
      <c r="E3033" s="117">
        <v>78.75</v>
      </c>
    </row>
    <row r="3034" spans="1:5" x14ac:dyDescent="0.25">
      <c r="A3034" s="119" t="s">
        <v>3579</v>
      </c>
      <c r="B3034" s="119" t="s">
        <v>3580</v>
      </c>
      <c r="C3034" s="119" t="s">
        <v>66</v>
      </c>
      <c r="D3034" t="s">
        <v>6759</v>
      </c>
      <c r="E3034" s="117">
        <v>532.55999999999995</v>
      </c>
    </row>
    <row r="3035" spans="1:5" x14ac:dyDescent="0.25">
      <c r="A3035" s="119" t="s">
        <v>3581</v>
      </c>
      <c r="B3035" s="119" t="s">
        <v>3582</v>
      </c>
      <c r="C3035" s="119" t="s">
        <v>66</v>
      </c>
      <c r="D3035" t="s">
        <v>45</v>
      </c>
      <c r="E3035" s="117">
        <v>0</v>
      </c>
    </row>
    <row r="3036" spans="1:5" x14ac:dyDescent="0.25">
      <c r="A3036" s="119" t="s">
        <v>3583</v>
      </c>
      <c r="B3036" s="119" t="s">
        <v>10071</v>
      </c>
      <c r="C3036" s="119" t="s">
        <v>66</v>
      </c>
      <c r="D3036" t="s">
        <v>45</v>
      </c>
      <c r="E3036" s="117">
        <v>48.41</v>
      </c>
    </row>
    <row r="3037" spans="1:5" x14ac:dyDescent="0.25">
      <c r="A3037" s="119" t="s">
        <v>3584</v>
      </c>
      <c r="B3037" s="119" t="s">
        <v>10072</v>
      </c>
      <c r="C3037" s="119" t="s">
        <v>66</v>
      </c>
      <c r="D3037" t="s">
        <v>6759</v>
      </c>
      <c r="E3037" s="117">
        <v>50.3</v>
      </c>
    </row>
    <row r="3038" spans="1:5" x14ac:dyDescent="0.25">
      <c r="A3038" s="119" t="s">
        <v>3585</v>
      </c>
      <c r="B3038" s="119" t="s">
        <v>10073</v>
      </c>
      <c r="C3038" s="119" t="s">
        <v>66</v>
      </c>
      <c r="D3038" t="s">
        <v>6760</v>
      </c>
      <c r="E3038" s="117">
        <v>3.1</v>
      </c>
    </row>
    <row r="3039" spans="1:5" x14ac:dyDescent="0.25">
      <c r="A3039" s="119" t="s">
        <v>3586</v>
      </c>
      <c r="B3039" s="119" t="s">
        <v>10074</v>
      </c>
      <c r="C3039" s="119" t="s">
        <v>66</v>
      </c>
      <c r="D3039" t="s">
        <v>6760</v>
      </c>
      <c r="E3039" s="117">
        <v>3.6</v>
      </c>
    </row>
    <row r="3040" spans="1:5" x14ac:dyDescent="0.25">
      <c r="A3040" s="119" t="s">
        <v>3587</v>
      </c>
      <c r="B3040" s="119" t="s">
        <v>10075</v>
      </c>
      <c r="C3040" s="119" t="s">
        <v>66</v>
      </c>
      <c r="D3040" t="s">
        <v>51</v>
      </c>
      <c r="E3040" s="117">
        <v>3.36</v>
      </c>
    </row>
    <row r="3041" spans="1:5" x14ac:dyDescent="0.25">
      <c r="A3041" s="119" t="s">
        <v>3588</v>
      </c>
      <c r="B3041" s="119" t="s">
        <v>10076</v>
      </c>
      <c r="C3041" s="119" t="s">
        <v>66</v>
      </c>
      <c r="D3041" t="s">
        <v>45</v>
      </c>
      <c r="E3041" s="117">
        <v>92.82</v>
      </c>
    </row>
    <row r="3042" spans="1:5" x14ac:dyDescent="0.25">
      <c r="A3042" s="119" t="s">
        <v>3589</v>
      </c>
      <c r="B3042" s="119" t="s">
        <v>10077</v>
      </c>
      <c r="C3042" s="119" t="s">
        <v>66</v>
      </c>
      <c r="D3042" t="s">
        <v>45</v>
      </c>
      <c r="E3042" s="117">
        <v>181.97</v>
      </c>
    </row>
    <row r="3043" spans="1:5" x14ac:dyDescent="0.25">
      <c r="A3043" s="119" t="s">
        <v>3590</v>
      </c>
      <c r="B3043" s="119" t="s">
        <v>10078</v>
      </c>
      <c r="C3043" s="119" t="s">
        <v>66</v>
      </c>
      <c r="D3043" t="s">
        <v>45</v>
      </c>
      <c r="E3043" s="117">
        <v>194.25</v>
      </c>
    </row>
    <row r="3044" spans="1:5" x14ac:dyDescent="0.25">
      <c r="A3044" s="119" t="s">
        <v>3591</v>
      </c>
      <c r="B3044" s="119" t="s">
        <v>3592</v>
      </c>
      <c r="C3044" s="119" t="s">
        <v>66</v>
      </c>
      <c r="D3044" t="s">
        <v>45</v>
      </c>
      <c r="E3044" s="117">
        <v>77.41</v>
      </c>
    </row>
    <row r="3045" spans="1:5" x14ac:dyDescent="0.25">
      <c r="A3045" s="119" t="s">
        <v>3593</v>
      </c>
      <c r="B3045" s="119" t="s">
        <v>3594</v>
      </c>
      <c r="C3045" s="119" t="s">
        <v>66</v>
      </c>
      <c r="D3045" t="s">
        <v>49</v>
      </c>
      <c r="E3045" s="117">
        <v>122.92</v>
      </c>
    </row>
    <row r="3046" spans="1:5" x14ac:dyDescent="0.25">
      <c r="A3046" s="119" t="s">
        <v>3595</v>
      </c>
      <c r="B3046" s="119" t="s">
        <v>10079</v>
      </c>
      <c r="C3046" s="119" t="s">
        <v>66</v>
      </c>
      <c r="D3046" t="s">
        <v>51</v>
      </c>
      <c r="E3046" s="117">
        <v>2.1</v>
      </c>
    </row>
    <row r="3047" spans="1:5" x14ac:dyDescent="0.25">
      <c r="A3047" s="119" t="s">
        <v>3596</v>
      </c>
      <c r="B3047" s="119" t="s">
        <v>10080</v>
      </c>
      <c r="C3047" s="119" t="s">
        <v>66</v>
      </c>
      <c r="D3047" t="s">
        <v>45</v>
      </c>
      <c r="E3047" s="117">
        <v>2.2999999999999998</v>
      </c>
    </row>
    <row r="3048" spans="1:5" x14ac:dyDescent="0.25">
      <c r="A3048" s="119" t="s">
        <v>3597</v>
      </c>
      <c r="B3048" s="119" t="s">
        <v>10081</v>
      </c>
      <c r="C3048" s="119" t="s">
        <v>66</v>
      </c>
      <c r="D3048" t="s">
        <v>49</v>
      </c>
      <c r="E3048" s="117">
        <v>2.95</v>
      </c>
    </row>
    <row r="3049" spans="1:5" x14ac:dyDescent="0.25">
      <c r="A3049" s="119" t="s">
        <v>3598</v>
      </c>
      <c r="B3049" s="119" t="s">
        <v>10082</v>
      </c>
      <c r="C3049" s="119" t="s">
        <v>66</v>
      </c>
      <c r="D3049" t="s">
        <v>45</v>
      </c>
      <c r="E3049" s="117">
        <v>3.2</v>
      </c>
    </row>
    <row r="3050" spans="1:5" x14ac:dyDescent="0.25">
      <c r="A3050" s="119" t="s">
        <v>3599</v>
      </c>
      <c r="B3050" s="119" t="s">
        <v>10083</v>
      </c>
      <c r="C3050" s="119" t="s">
        <v>66</v>
      </c>
      <c r="D3050" t="s">
        <v>45</v>
      </c>
      <c r="E3050" s="117">
        <v>3.2</v>
      </c>
    </row>
    <row r="3051" spans="1:5" x14ac:dyDescent="0.25">
      <c r="A3051" s="119" t="s">
        <v>3600</v>
      </c>
      <c r="B3051" s="119" t="s">
        <v>10084</v>
      </c>
      <c r="C3051" s="119" t="s">
        <v>66</v>
      </c>
      <c r="D3051" t="s">
        <v>45</v>
      </c>
      <c r="E3051" s="117">
        <v>3.99</v>
      </c>
    </row>
    <row r="3052" spans="1:5" x14ac:dyDescent="0.25">
      <c r="A3052" s="119" t="s">
        <v>3601</v>
      </c>
      <c r="B3052" s="119" t="s">
        <v>10085</v>
      </c>
      <c r="C3052" s="119" t="s">
        <v>66</v>
      </c>
      <c r="D3052" t="s">
        <v>45</v>
      </c>
      <c r="E3052" s="117">
        <v>4.2</v>
      </c>
    </row>
    <row r="3053" spans="1:5" x14ac:dyDescent="0.25">
      <c r="A3053" s="119" t="s">
        <v>3602</v>
      </c>
      <c r="B3053" s="119" t="s">
        <v>10086</v>
      </c>
      <c r="C3053" s="119" t="s">
        <v>66</v>
      </c>
      <c r="D3053" t="s">
        <v>45</v>
      </c>
      <c r="E3053" s="117">
        <v>0</v>
      </c>
    </row>
    <row r="3054" spans="1:5" x14ac:dyDescent="0.25">
      <c r="A3054" s="119" t="s">
        <v>3603</v>
      </c>
      <c r="B3054" s="119" t="s">
        <v>10087</v>
      </c>
      <c r="C3054" s="119" t="s">
        <v>66</v>
      </c>
      <c r="D3054" t="s">
        <v>49</v>
      </c>
      <c r="E3054" s="117">
        <v>5.25</v>
      </c>
    </row>
    <row r="3055" spans="1:5" x14ac:dyDescent="0.25">
      <c r="A3055" s="119" t="s">
        <v>3604</v>
      </c>
      <c r="B3055" s="119" t="s">
        <v>10088</v>
      </c>
      <c r="C3055" s="119" t="s">
        <v>66</v>
      </c>
      <c r="D3055" t="s">
        <v>45</v>
      </c>
      <c r="E3055" s="117">
        <v>0</v>
      </c>
    </row>
    <row r="3056" spans="1:5" x14ac:dyDescent="0.25">
      <c r="A3056" s="119" t="s">
        <v>3605</v>
      </c>
      <c r="B3056" s="119" t="s">
        <v>10089</v>
      </c>
      <c r="C3056" s="119" t="s">
        <v>66</v>
      </c>
      <c r="D3056" t="s">
        <v>49</v>
      </c>
      <c r="E3056" s="117">
        <v>8.3000000000000007</v>
      </c>
    </row>
    <row r="3057" spans="1:5" x14ac:dyDescent="0.25">
      <c r="A3057" s="119" t="s">
        <v>3606</v>
      </c>
      <c r="B3057" s="119" t="s">
        <v>10090</v>
      </c>
      <c r="C3057" s="119" t="s">
        <v>66</v>
      </c>
      <c r="D3057" t="s">
        <v>45</v>
      </c>
      <c r="E3057" s="117">
        <v>10.4</v>
      </c>
    </row>
    <row r="3058" spans="1:5" x14ac:dyDescent="0.25">
      <c r="A3058" s="119" t="s">
        <v>7529</v>
      </c>
      <c r="B3058" s="119" t="s">
        <v>11623</v>
      </c>
      <c r="C3058" s="119" t="s">
        <v>66</v>
      </c>
      <c r="D3058" t="s">
        <v>51</v>
      </c>
      <c r="E3058" s="117">
        <v>15.65</v>
      </c>
    </row>
    <row r="3059" spans="1:5" x14ac:dyDescent="0.25">
      <c r="A3059" s="119" t="s">
        <v>3607</v>
      </c>
      <c r="B3059" s="119" t="s">
        <v>10091</v>
      </c>
      <c r="C3059" s="119" t="s">
        <v>66</v>
      </c>
      <c r="D3059" t="s">
        <v>6760</v>
      </c>
      <c r="E3059" s="117">
        <v>23.1</v>
      </c>
    </row>
    <row r="3060" spans="1:5" x14ac:dyDescent="0.25">
      <c r="A3060" s="119" t="s">
        <v>3608</v>
      </c>
      <c r="B3060" s="119" t="s">
        <v>10092</v>
      </c>
      <c r="C3060" s="119" t="s">
        <v>66</v>
      </c>
      <c r="D3060" t="s">
        <v>6760</v>
      </c>
      <c r="E3060" s="117">
        <v>18.899999999999999</v>
      </c>
    </row>
    <row r="3061" spans="1:5" x14ac:dyDescent="0.25">
      <c r="A3061" s="119" t="s">
        <v>3609</v>
      </c>
      <c r="B3061" s="119" t="s">
        <v>10093</v>
      </c>
      <c r="C3061" s="119" t="s">
        <v>66</v>
      </c>
      <c r="D3061" t="s">
        <v>49</v>
      </c>
      <c r="E3061" s="117">
        <v>105</v>
      </c>
    </row>
    <row r="3062" spans="1:5" x14ac:dyDescent="0.25">
      <c r="A3062" s="119" t="s">
        <v>7530</v>
      </c>
      <c r="B3062" s="119" t="s">
        <v>7531</v>
      </c>
      <c r="C3062" s="119" t="s">
        <v>66</v>
      </c>
      <c r="D3062" t="s">
        <v>49</v>
      </c>
      <c r="E3062" s="117">
        <v>64.77</v>
      </c>
    </row>
    <row r="3063" spans="1:5" x14ac:dyDescent="0.25">
      <c r="A3063" s="119" t="s">
        <v>7532</v>
      </c>
      <c r="B3063" s="119" t="s">
        <v>7533</v>
      </c>
      <c r="C3063" s="119" t="s">
        <v>66</v>
      </c>
      <c r="D3063" t="s">
        <v>49</v>
      </c>
      <c r="E3063" s="117">
        <v>112.65</v>
      </c>
    </row>
    <row r="3064" spans="1:5" x14ac:dyDescent="0.25">
      <c r="A3064" s="119" t="s">
        <v>7534</v>
      </c>
      <c r="B3064" s="119" t="s">
        <v>7535</v>
      </c>
      <c r="C3064" s="119" t="s">
        <v>66</v>
      </c>
      <c r="D3064" t="s">
        <v>45</v>
      </c>
      <c r="E3064" s="117">
        <v>9999</v>
      </c>
    </row>
    <row r="3065" spans="1:5" x14ac:dyDescent="0.25">
      <c r="A3065" s="119" t="s">
        <v>7536</v>
      </c>
      <c r="B3065" s="119" t="s">
        <v>7537</v>
      </c>
      <c r="C3065" s="119" t="s">
        <v>66</v>
      </c>
      <c r="D3065" t="s">
        <v>49</v>
      </c>
      <c r="E3065" s="117">
        <v>83.55</v>
      </c>
    </row>
    <row r="3066" spans="1:5" x14ac:dyDescent="0.25">
      <c r="A3066" s="119" t="s">
        <v>3610</v>
      </c>
      <c r="B3066" s="119" t="s">
        <v>7538</v>
      </c>
      <c r="C3066" s="119" t="s">
        <v>66</v>
      </c>
      <c r="D3066" t="s">
        <v>6760</v>
      </c>
      <c r="E3066" s="117">
        <v>141.75</v>
      </c>
    </row>
    <row r="3067" spans="1:5" x14ac:dyDescent="0.25">
      <c r="A3067" s="119" t="s">
        <v>3611</v>
      </c>
      <c r="B3067" s="119" t="s">
        <v>7539</v>
      </c>
      <c r="C3067" s="119" t="s">
        <v>66</v>
      </c>
      <c r="D3067" t="s">
        <v>51</v>
      </c>
      <c r="E3067" s="117">
        <v>313.43</v>
      </c>
    </row>
    <row r="3068" spans="1:5" x14ac:dyDescent="0.25">
      <c r="A3068" s="119" t="s">
        <v>7540</v>
      </c>
      <c r="B3068" s="119" t="s">
        <v>7541</v>
      </c>
      <c r="C3068" s="119" t="s">
        <v>66</v>
      </c>
      <c r="D3068" t="s">
        <v>49</v>
      </c>
      <c r="E3068" s="117">
        <v>92.93</v>
      </c>
    </row>
    <row r="3069" spans="1:5" x14ac:dyDescent="0.25">
      <c r="A3069" s="119" t="s">
        <v>7542</v>
      </c>
      <c r="B3069" s="119" t="s">
        <v>7543</v>
      </c>
      <c r="C3069" s="119" t="s">
        <v>66</v>
      </c>
      <c r="D3069" t="s">
        <v>49</v>
      </c>
      <c r="E3069" s="117">
        <v>121.1</v>
      </c>
    </row>
    <row r="3070" spans="1:5" x14ac:dyDescent="0.25">
      <c r="A3070" s="119" t="s">
        <v>3612</v>
      </c>
      <c r="B3070" s="119" t="s">
        <v>7535</v>
      </c>
      <c r="C3070" s="119" t="s">
        <v>66</v>
      </c>
      <c r="D3070" t="s">
        <v>49</v>
      </c>
      <c r="E3070" s="117">
        <v>313.43</v>
      </c>
    </row>
    <row r="3071" spans="1:5" x14ac:dyDescent="0.25">
      <c r="A3071" s="119" t="s">
        <v>3613</v>
      </c>
      <c r="B3071" s="119" t="s">
        <v>7544</v>
      </c>
      <c r="C3071" s="119" t="s">
        <v>66</v>
      </c>
      <c r="D3071" t="s">
        <v>49</v>
      </c>
      <c r="E3071" s="117">
        <v>105</v>
      </c>
    </row>
    <row r="3072" spans="1:5" x14ac:dyDescent="0.25">
      <c r="A3072" s="119" t="s">
        <v>3614</v>
      </c>
      <c r="B3072" s="119" t="s">
        <v>7545</v>
      </c>
      <c r="C3072" s="119" t="s">
        <v>66</v>
      </c>
      <c r="D3072" t="s">
        <v>45</v>
      </c>
      <c r="E3072" s="117">
        <v>136.5</v>
      </c>
    </row>
    <row r="3073" spans="1:5" x14ac:dyDescent="0.25">
      <c r="A3073" s="119" t="s">
        <v>3615</v>
      </c>
      <c r="B3073" s="119" t="s">
        <v>7546</v>
      </c>
      <c r="C3073" s="119" t="s">
        <v>66</v>
      </c>
      <c r="D3073" t="s">
        <v>49</v>
      </c>
      <c r="E3073" s="117">
        <v>254.42</v>
      </c>
    </row>
    <row r="3074" spans="1:5" x14ac:dyDescent="0.25">
      <c r="A3074" s="119" t="s">
        <v>3616</v>
      </c>
      <c r="B3074" s="119" t="s">
        <v>3617</v>
      </c>
      <c r="C3074" s="119" t="s">
        <v>66</v>
      </c>
      <c r="D3074" t="s">
        <v>6760</v>
      </c>
      <c r="E3074" s="117">
        <v>60.92</v>
      </c>
    </row>
    <row r="3075" spans="1:5" x14ac:dyDescent="0.25">
      <c r="A3075" s="119" t="s">
        <v>3618</v>
      </c>
      <c r="B3075" s="119" t="s">
        <v>10094</v>
      </c>
      <c r="C3075" s="119" t="s">
        <v>66</v>
      </c>
      <c r="D3075" t="s">
        <v>45</v>
      </c>
      <c r="E3075" s="117">
        <v>60.9</v>
      </c>
    </row>
    <row r="3076" spans="1:5" x14ac:dyDescent="0.25">
      <c r="A3076" s="119" t="s">
        <v>3619</v>
      </c>
      <c r="B3076" s="119" t="s">
        <v>3620</v>
      </c>
      <c r="C3076" s="119" t="s">
        <v>66</v>
      </c>
      <c r="D3076" t="s">
        <v>45</v>
      </c>
      <c r="E3076" s="117">
        <v>153.09</v>
      </c>
    </row>
    <row r="3077" spans="1:5" x14ac:dyDescent="0.25">
      <c r="A3077" s="119" t="s">
        <v>3621</v>
      </c>
      <c r="B3077" s="119" t="s">
        <v>3622</v>
      </c>
      <c r="C3077" s="119" t="s">
        <v>66</v>
      </c>
      <c r="D3077" t="s">
        <v>45</v>
      </c>
      <c r="E3077" s="117">
        <v>121.5</v>
      </c>
    </row>
    <row r="3078" spans="1:5" x14ac:dyDescent="0.25">
      <c r="A3078" s="119" t="s">
        <v>3623</v>
      </c>
      <c r="B3078" s="119" t="s">
        <v>3624</v>
      </c>
      <c r="C3078" s="119" t="s">
        <v>66</v>
      </c>
      <c r="D3078" t="s">
        <v>45</v>
      </c>
      <c r="E3078" s="117">
        <v>170</v>
      </c>
    </row>
    <row r="3079" spans="1:5" x14ac:dyDescent="0.25">
      <c r="A3079" s="119" t="s">
        <v>3625</v>
      </c>
      <c r="B3079" s="119" t="s">
        <v>3626</v>
      </c>
      <c r="C3079" s="119" t="s">
        <v>66</v>
      </c>
      <c r="D3079" t="s">
        <v>45</v>
      </c>
      <c r="E3079" s="117">
        <v>298.5</v>
      </c>
    </row>
    <row r="3080" spans="1:5" x14ac:dyDescent="0.25">
      <c r="A3080" s="119" t="s">
        <v>3627</v>
      </c>
      <c r="B3080" s="119" t="s">
        <v>3628</v>
      </c>
      <c r="C3080" s="119" t="s">
        <v>66</v>
      </c>
      <c r="D3080" t="s">
        <v>45</v>
      </c>
      <c r="E3080" s="117">
        <v>114.87</v>
      </c>
    </row>
    <row r="3081" spans="1:5" x14ac:dyDescent="0.25">
      <c r="A3081" s="119" t="s">
        <v>3629</v>
      </c>
      <c r="B3081" s="119" t="s">
        <v>3630</v>
      </c>
      <c r="C3081" s="119" t="s">
        <v>66</v>
      </c>
      <c r="D3081" t="s">
        <v>45</v>
      </c>
      <c r="E3081" s="117">
        <v>284</v>
      </c>
    </row>
    <row r="3082" spans="1:5" x14ac:dyDescent="0.25">
      <c r="A3082" s="119" t="s">
        <v>3631</v>
      </c>
      <c r="B3082" s="119" t="s">
        <v>10095</v>
      </c>
      <c r="C3082" s="119" t="s">
        <v>66</v>
      </c>
      <c r="D3082" t="s">
        <v>45</v>
      </c>
      <c r="E3082" s="117">
        <v>112.5</v>
      </c>
    </row>
    <row r="3083" spans="1:5" x14ac:dyDescent="0.25">
      <c r="A3083" s="119" t="s">
        <v>3632</v>
      </c>
      <c r="B3083" s="119" t="s">
        <v>10096</v>
      </c>
      <c r="C3083" s="119" t="s">
        <v>66</v>
      </c>
      <c r="D3083" t="s">
        <v>45</v>
      </c>
      <c r="E3083" s="117">
        <v>136.5</v>
      </c>
    </row>
    <row r="3084" spans="1:5" x14ac:dyDescent="0.25">
      <c r="A3084" s="119" t="s">
        <v>3633</v>
      </c>
      <c r="B3084" s="119" t="s">
        <v>10097</v>
      </c>
      <c r="C3084" s="119" t="s">
        <v>66</v>
      </c>
      <c r="D3084" t="s">
        <v>45</v>
      </c>
      <c r="E3084" s="117">
        <v>296</v>
      </c>
    </row>
    <row r="3085" spans="1:5" x14ac:dyDescent="0.25">
      <c r="A3085" s="119" t="s">
        <v>3634</v>
      </c>
      <c r="B3085" s="119" t="s">
        <v>10098</v>
      </c>
      <c r="C3085" s="119" t="s">
        <v>66</v>
      </c>
      <c r="D3085" t="s">
        <v>51</v>
      </c>
      <c r="E3085" s="117">
        <v>52.29</v>
      </c>
    </row>
    <row r="3086" spans="1:5" x14ac:dyDescent="0.25">
      <c r="A3086" s="119" t="s">
        <v>3635</v>
      </c>
      <c r="B3086" s="119" t="s">
        <v>10099</v>
      </c>
      <c r="C3086" s="119" t="s">
        <v>66</v>
      </c>
      <c r="D3086" t="s">
        <v>45</v>
      </c>
      <c r="E3086" s="117">
        <v>26.25</v>
      </c>
    </row>
    <row r="3087" spans="1:5" x14ac:dyDescent="0.25">
      <c r="A3087" s="119" t="s">
        <v>3636</v>
      </c>
      <c r="B3087" s="119" t="s">
        <v>10100</v>
      </c>
      <c r="C3087" s="119" t="s">
        <v>66</v>
      </c>
      <c r="D3087" t="s">
        <v>45</v>
      </c>
      <c r="E3087" s="117">
        <v>495.71</v>
      </c>
    </row>
    <row r="3088" spans="1:5" x14ac:dyDescent="0.25">
      <c r="A3088" s="119" t="s">
        <v>3637</v>
      </c>
      <c r="B3088" s="119" t="s">
        <v>10101</v>
      </c>
      <c r="C3088" s="119" t="s">
        <v>66</v>
      </c>
      <c r="D3088" t="s">
        <v>49</v>
      </c>
      <c r="E3088" s="117">
        <v>248.85</v>
      </c>
    </row>
    <row r="3089" spans="1:5" x14ac:dyDescent="0.25">
      <c r="A3089" s="119" t="s">
        <v>3638</v>
      </c>
      <c r="B3089" s="119" t="s">
        <v>6472</v>
      </c>
      <c r="C3089" s="119" t="s">
        <v>66</v>
      </c>
      <c r="D3089" t="s">
        <v>45</v>
      </c>
      <c r="E3089" s="117">
        <v>0</v>
      </c>
    </row>
    <row r="3090" spans="1:5" x14ac:dyDescent="0.25">
      <c r="A3090" s="119" t="s">
        <v>6882</v>
      </c>
      <c r="B3090" s="119" t="s">
        <v>10065</v>
      </c>
      <c r="C3090" s="119" t="s">
        <v>66</v>
      </c>
      <c r="D3090" t="s">
        <v>49</v>
      </c>
      <c r="E3090" s="117">
        <v>17.54</v>
      </c>
    </row>
    <row r="3091" spans="1:5" x14ac:dyDescent="0.25">
      <c r="A3091" s="119" t="s">
        <v>3639</v>
      </c>
      <c r="B3091" s="119" t="s">
        <v>3640</v>
      </c>
      <c r="C3091" s="119" t="s">
        <v>66</v>
      </c>
      <c r="D3091" t="s">
        <v>45</v>
      </c>
      <c r="E3091" s="117">
        <v>999999</v>
      </c>
    </row>
    <row r="3092" spans="1:5" x14ac:dyDescent="0.25">
      <c r="A3092" s="119" t="s">
        <v>7547</v>
      </c>
      <c r="B3092" s="119" t="s">
        <v>7548</v>
      </c>
      <c r="C3092" s="119" t="s">
        <v>66</v>
      </c>
      <c r="D3092" t="s">
        <v>45</v>
      </c>
      <c r="E3092" s="117">
        <v>9999</v>
      </c>
    </row>
    <row r="3093" spans="1:5" x14ac:dyDescent="0.25">
      <c r="A3093" s="119" t="s">
        <v>3641</v>
      </c>
      <c r="B3093" s="119" t="s">
        <v>3642</v>
      </c>
      <c r="C3093" s="119" t="s">
        <v>66</v>
      </c>
      <c r="D3093" t="s">
        <v>45</v>
      </c>
      <c r="E3093" s="117">
        <v>42</v>
      </c>
    </row>
    <row r="3094" spans="1:5" x14ac:dyDescent="0.25">
      <c r="A3094" s="119" t="s">
        <v>3643</v>
      </c>
      <c r="B3094" s="119" t="s">
        <v>3644</v>
      </c>
      <c r="C3094" s="119" t="s">
        <v>66</v>
      </c>
      <c r="D3094" t="s">
        <v>49</v>
      </c>
      <c r="E3094" s="117">
        <v>47.15</v>
      </c>
    </row>
    <row r="3095" spans="1:5" x14ac:dyDescent="0.25">
      <c r="A3095" s="119" t="s">
        <v>3645</v>
      </c>
      <c r="B3095" s="119" t="s">
        <v>3646</v>
      </c>
      <c r="C3095" s="119" t="s">
        <v>66</v>
      </c>
      <c r="D3095" t="s">
        <v>45</v>
      </c>
      <c r="E3095" s="117">
        <v>59.43</v>
      </c>
    </row>
    <row r="3096" spans="1:5" x14ac:dyDescent="0.25">
      <c r="A3096" s="119" t="s">
        <v>3647</v>
      </c>
      <c r="B3096" s="119" t="s">
        <v>3648</v>
      </c>
      <c r="C3096" s="119" t="s">
        <v>66</v>
      </c>
      <c r="D3096" t="s">
        <v>6759</v>
      </c>
      <c r="E3096" s="117">
        <v>172.31</v>
      </c>
    </row>
    <row r="3097" spans="1:5" x14ac:dyDescent="0.25">
      <c r="A3097" s="119" t="s">
        <v>3649</v>
      </c>
      <c r="B3097" s="119" t="s">
        <v>3650</v>
      </c>
      <c r="C3097" s="119" t="s">
        <v>66</v>
      </c>
      <c r="D3097" t="s">
        <v>45</v>
      </c>
      <c r="E3097" s="117">
        <v>235.94</v>
      </c>
    </row>
    <row r="3098" spans="1:5" x14ac:dyDescent="0.25">
      <c r="A3098" s="119" t="s">
        <v>11750</v>
      </c>
      <c r="B3098" s="119" t="s">
        <v>11751</v>
      </c>
      <c r="C3098" s="119" t="s">
        <v>66</v>
      </c>
      <c r="D3098" t="s">
        <v>45</v>
      </c>
      <c r="E3098" s="117">
        <v>9999</v>
      </c>
    </row>
    <row r="3099" spans="1:5" x14ac:dyDescent="0.25">
      <c r="A3099" s="119" t="s">
        <v>3651</v>
      </c>
      <c r="B3099" s="119" t="s">
        <v>3652</v>
      </c>
      <c r="C3099" s="119" t="s">
        <v>66</v>
      </c>
      <c r="D3099" t="s">
        <v>6760</v>
      </c>
      <c r="E3099" s="117">
        <v>38.85</v>
      </c>
    </row>
    <row r="3100" spans="1:5" x14ac:dyDescent="0.25">
      <c r="A3100" s="119" t="s">
        <v>3653</v>
      </c>
      <c r="B3100" s="119" t="s">
        <v>3654</v>
      </c>
      <c r="C3100" s="119" t="s">
        <v>66</v>
      </c>
      <c r="D3100" t="s">
        <v>49</v>
      </c>
      <c r="E3100" s="117">
        <v>70.87</v>
      </c>
    </row>
    <row r="3101" spans="1:5" x14ac:dyDescent="0.25">
      <c r="A3101" s="119" t="s">
        <v>3655</v>
      </c>
      <c r="B3101" s="119" t="s">
        <v>3656</v>
      </c>
      <c r="C3101" s="119" t="s">
        <v>66</v>
      </c>
      <c r="D3101" t="s">
        <v>45</v>
      </c>
      <c r="E3101" s="117">
        <v>0</v>
      </c>
    </row>
    <row r="3102" spans="1:5" x14ac:dyDescent="0.25">
      <c r="A3102" s="119" t="s">
        <v>3657</v>
      </c>
      <c r="B3102" s="119" t="s">
        <v>3658</v>
      </c>
      <c r="C3102" s="119" t="s">
        <v>66</v>
      </c>
      <c r="D3102" t="s">
        <v>6759</v>
      </c>
      <c r="E3102" s="117">
        <v>173.25</v>
      </c>
    </row>
    <row r="3103" spans="1:5" x14ac:dyDescent="0.25">
      <c r="A3103" s="119" t="s">
        <v>3659</v>
      </c>
      <c r="B3103" s="119" t="s">
        <v>3650</v>
      </c>
      <c r="C3103" s="119" t="s">
        <v>66</v>
      </c>
      <c r="D3103" t="s">
        <v>6760</v>
      </c>
      <c r="E3103" s="117">
        <v>235.94</v>
      </c>
    </row>
    <row r="3104" spans="1:5" x14ac:dyDescent="0.25">
      <c r="A3104" s="119" t="s">
        <v>3660</v>
      </c>
      <c r="B3104" s="119" t="s">
        <v>10102</v>
      </c>
      <c r="C3104" s="119" t="s">
        <v>66</v>
      </c>
      <c r="D3104" t="s">
        <v>51</v>
      </c>
      <c r="E3104" s="117">
        <v>17.54</v>
      </c>
    </row>
    <row r="3105" spans="1:5" x14ac:dyDescent="0.25">
      <c r="A3105" s="119" t="s">
        <v>3661</v>
      </c>
      <c r="B3105" s="119" t="s">
        <v>10103</v>
      </c>
      <c r="C3105" s="119" t="s">
        <v>66</v>
      </c>
      <c r="D3105" t="s">
        <v>45</v>
      </c>
      <c r="E3105" s="117">
        <v>0</v>
      </c>
    </row>
    <row r="3106" spans="1:5" x14ac:dyDescent="0.25">
      <c r="A3106" s="119" t="s">
        <v>3662</v>
      </c>
      <c r="B3106" s="119" t="s">
        <v>10104</v>
      </c>
      <c r="C3106" s="119" t="s">
        <v>66</v>
      </c>
      <c r="D3106" t="s">
        <v>51</v>
      </c>
      <c r="E3106" s="117">
        <v>20.059999999999999</v>
      </c>
    </row>
    <row r="3107" spans="1:5" x14ac:dyDescent="0.25">
      <c r="A3107" s="119" t="s">
        <v>3663</v>
      </c>
      <c r="B3107" s="119" t="s">
        <v>3664</v>
      </c>
      <c r="C3107" s="119" t="s">
        <v>66</v>
      </c>
      <c r="D3107" t="s">
        <v>51</v>
      </c>
      <c r="E3107" s="117">
        <v>72.98</v>
      </c>
    </row>
    <row r="3108" spans="1:5" x14ac:dyDescent="0.25">
      <c r="A3108" s="119" t="s">
        <v>3665</v>
      </c>
      <c r="B3108" s="119" t="s">
        <v>10105</v>
      </c>
      <c r="C3108" s="119" t="s">
        <v>66</v>
      </c>
      <c r="D3108" t="s">
        <v>6760</v>
      </c>
      <c r="E3108" s="117">
        <v>76.650000000000006</v>
      </c>
    </row>
    <row r="3109" spans="1:5" x14ac:dyDescent="0.25">
      <c r="A3109" s="119" t="s">
        <v>3666</v>
      </c>
      <c r="B3109" s="119" t="s">
        <v>10106</v>
      </c>
      <c r="C3109" s="119" t="s">
        <v>66</v>
      </c>
      <c r="D3109" t="s">
        <v>45</v>
      </c>
      <c r="E3109" s="117">
        <v>16.7</v>
      </c>
    </row>
    <row r="3110" spans="1:5" x14ac:dyDescent="0.25">
      <c r="A3110" s="119" t="s">
        <v>3667</v>
      </c>
      <c r="B3110" s="119" t="s">
        <v>10107</v>
      </c>
      <c r="C3110" s="119" t="s">
        <v>66</v>
      </c>
      <c r="D3110" t="s">
        <v>45</v>
      </c>
      <c r="E3110" s="117">
        <v>0</v>
      </c>
    </row>
    <row r="3111" spans="1:5" x14ac:dyDescent="0.25">
      <c r="A3111" s="119" t="s">
        <v>3668</v>
      </c>
      <c r="B3111" s="119" t="s">
        <v>10108</v>
      </c>
      <c r="C3111" s="119" t="s">
        <v>66</v>
      </c>
      <c r="D3111" t="s">
        <v>51</v>
      </c>
      <c r="E3111" s="117">
        <v>48.3</v>
      </c>
    </row>
    <row r="3112" spans="1:5" x14ac:dyDescent="0.25">
      <c r="A3112" s="119" t="s">
        <v>3669</v>
      </c>
      <c r="B3112" s="119" t="s">
        <v>6473</v>
      </c>
      <c r="C3112" s="119" t="s">
        <v>66</v>
      </c>
      <c r="D3112" t="s">
        <v>51</v>
      </c>
      <c r="E3112" s="117">
        <v>74.66</v>
      </c>
    </row>
    <row r="3113" spans="1:5" x14ac:dyDescent="0.25">
      <c r="A3113" s="119" t="s">
        <v>3670</v>
      </c>
      <c r="B3113" s="119" t="s">
        <v>10109</v>
      </c>
      <c r="C3113" s="119" t="s">
        <v>66</v>
      </c>
      <c r="D3113" t="s">
        <v>51</v>
      </c>
      <c r="E3113" s="117">
        <v>19.11</v>
      </c>
    </row>
    <row r="3114" spans="1:5" x14ac:dyDescent="0.25">
      <c r="A3114" s="119" t="s">
        <v>3671</v>
      </c>
      <c r="B3114" s="119" t="s">
        <v>10110</v>
      </c>
      <c r="C3114" s="119" t="s">
        <v>66</v>
      </c>
      <c r="D3114" t="s">
        <v>6760</v>
      </c>
      <c r="E3114" s="117">
        <v>49.14</v>
      </c>
    </row>
    <row r="3115" spans="1:5" x14ac:dyDescent="0.25">
      <c r="A3115" s="119" t="s">
        <v>3672</v>
      </c>
      <c r="B3115" s="119" t="s">
        <v>10111</v>
      </c>
      <c r="C3115" s="119" t="s">
        <v>66</v>
      </c>
      <c r="D3115" t="s">
        <v>45</v>
      </c>
      <c r="E3115" s="117">
        <v>0</v>
      </c>
    </row>
    <row r="3116" spans="1:5" x14ac:dyDescent="0.25">
      <c r="A3116" s="119" t="s">
        <v>3673</v>
      </c>
      <c r="B3116" s="119" t="s">
        <v>10112</v>
      </c>
      <c r="C3116" s="119" t="s">
        <v>66</v>
      </c>
      <c r="D3116" t="s">
        <v>45</v>
      </c>
      <c r="E3116" s="117">
        <v>173.99</v>
      </c>
    </row>
    <row r="3117" spans="1:5" x14ac:dyDescent="0.25">
      <c r="A3117" s="119" t="s">
        <v>3674</v>
      </c>
      <c r="B3117" s="119" t="s">
        <v>10113</v>
      </c>
      <c r="C3117" s="119" t="s">
        <v>66</v>
      </c>
      <c r="D3117" t="s">
        <v>45</v>
      </c>
      <c r="E3117" s="117">
        <v>0</v>
      </c>
    </row>
    <row r="3118" spans="1:5" x14ac:dyDescent="0.25">
      <c r="A3118" s="119" t="s">
        <v>3675</v>
      </c>
      <c r="B3118" s="119" t="s">
        <v>3676</v>
      </c>
      <c r="C3118" s="119" t="s">
        <v>66</v>
      </c>
      <c r="D3118" t="s">
        <v>49</v>
      </c>
      <c r="E3118" s="117">
        <v>233.74</v>
      </c>
    </row>
    <row r="3119" spans="1:5" x14ac:dyDescent="0.25">
      <c r="A3119" s="119" t="s">
        <v>3677</v>
      </c>
      <c r="B3119" s="119" t="s">
        <v>10114</v>
      </c>
      <c r="C3119" s="119" t="s">
        <v>66</v>
      </c>
      <c r="D3119" t="s">
        <v>49</v>
      </c>
      <c r="E3119" s="117">
        <v>277.52</v>
      </c>
    </row>
    <row r="3120" spans="1:5" x14ac:dyDescent="0.25">
      <c r="A3120" s="119" t="s">
        <v>3678</v>
      </c>
      <c r="B3120" s="119" t="s">
        <v>10115</v>
      </c>
      <c r="C3120" s="119" t="s">
        <v>66</v>
      </c>
      <c r="D3120" t="s">
        <v>6759</v>
      </c>
      <c r="E3120" s="117">
        <v>241.29</v>
      </c>
    </row>
    <row r="3121" spans="1:5" x14ac:dyDescent="0.25">
      <c r="A3121" s="119" t="s">
        <v>3679</v>
      </c>
      <c r="B3121" s="119" t="s">
        <v>10116</v>
      </c>
      <c r="C3121" s="119" t="s">
        <v>66</v>
      </c>
      <c r="D3121" t="s">
        <v>45</v>
      </c>
      <c r="E3121" s="117">
        <v>0</v>
      </c>
    </row>
    <row r="3122" spans="1:5" x14ac:dyDescent="0.25">
      <c r="A3122" s="119" t="s">
        <v>3680</v>
      </c>
      <c r="B3122" s="119" t="s">
        <v>10117</v>
      </c>
      <c r="C3122" s="119" t="s">
        <v>66</v>
      </c>
      <c r="D3122" t="s">
        <v>49</v>
      </c>
      <c r="E3122" s="117">
        <v>241.19</v>
      </c>
    </row>
    <row r="3123" spans="1:5" x14ac:dyDescent="0.25">
      <c r="A3123" s="119" t="s">
        <v>3681</v>
      </c>
      <c r="B3123" s="119" t="s">
        <v>10118</v>
      </c>
      <c r="C3123" s="119" t="s">
        <v>66</v>
      </c>
      <c r="D3123" t="s">
        <v>45</v>
      </c>
      <c r="E3123" s="117">
        <v>241.3</v>
      </c>
    </row>
    <row r="3124" spans="1:5" x14ac:dyDescent="0.25">
      <c r="A3124" s="119" t="s">
        <v>3682</v>
      </c>
      <c r="B3124" s="119" t="s">
        <v>10119</v>
      </c>
      <c r="C3124" s="119" t="s">
        <v>66</v>
      </c>
      <c r="D3124" t="s">
        <v>45</v>
      </c>
      <c r="E3124" s="117">
        <v>73.290000000000006</v>
      </c>
    </row>
    <row r="3125" spans="1:5" x14ac:dyDescent="0.25">
      <c r="A3125" s="119" t="s">
        <v>6347</v>
      </c>
      <c r="B3125" s="119" t="s">
        <v>10120</v>
      </c>
      <c r="C3125" s="119" t="s">
        <v>66</v>
      </c>
      <c r="D3125" t="s">
        <v>45</v>
      </c>
      <c r="E3125" s="117">
        <v>51.03</v>
      </c>
    </row>
    <row r="3126" spans="1:5" x14ac:dyDescent="0.25">
      <c r="A3126" s="119" t="s">
        <v>3683</v>
      </c>
      <c r="B3126" s="119" t="s">
        <v>6474</v>
      </c>
      <c r="C3126" s="119" t="s">
        <v>66</v>
      </c>
      <c r="D3126" t="s">
        <v>49</v>
      </c>
      <c r="E3126" s="117">
        <v>152.25</v>
      </c>
    </row>
    <row r="3127" spans="1:5" x14ac:dyDescent="0.25">
      <c r="A3127" s="119" t="s">
        <v>7549</v>
      </c>
      <c r="B3127" s="119" t="s">
        <v>7550</v>
      </c>
      <c r="C3127" s="119" t="s">
        <v>66</v>
      </c>
      <c r="D3127" t="s">
        <v>45</v>
      </c>
      <c r="E3127" s="117">
        <v>9999</v>
      </c>
    </row>
    <row r="3128" spans="1:5" x14ac:dyDescent="0.25">
      <c r="A3128" s="119" t="s">
        <v>7551</v>
      </c>
      <c r="B3128" s="119" t="s">
        <v>7552</v>
      </c>
      <c r="C3128" s="119" t="s">
        <v>66</v>
      </c>
      <c r="D3128" t="s">
        <v>45</v>
      </c>
      <c r="E3128" s="117">
        <v>9999</v>
      </c>
    </row>
    <row r="3129" spans="1:5" x14ac:dyDescent="0.25">
      <c r="A3129" s="119" t="s">
        <v>7553</v>
      </c>
      <c r="B3129" s="119" t="s">
        <v>7554</v>
      </c>
      <c r="C3129" s="119" t="s">
        <v>66</v>
      </c>
      <c r="D3129" t="s">
        <v>45</v>
      </c>
      <c r="E3129" s="117">
        <v>9999</v>
      </c>
    </row>
    <row r="3130" spans="1:5" x14ac:dyDescent="0.25">
      <c r="A3130" s="119" t="s">
        <v>7555</v>
      </c>
      <c r="B3130" s="119" t="s">
        <v>7556</v>
      </c>
      <c r="C3130" s="119" t="s">
        <v>66</v>
      </c>
      <c r="D3130" t="s">
        <v>45</v>
      </c>
      <c r="E3130" s="117">
        <v>9999</v>
      </c>
    </row>
    <row r="3131" spans="1:5" x14ac:dyDescent="0.25">
      <c r="A3131" s="119" t="s">
        <v>7557</v>
      </c>
      <c r="B3131" s="119" t="s">
        <v>7558</v>
      </c>
      <c r="C3131" s="119" t="s">
        <v>66</v>
      </c>
      <c r="D3131" t="s">
        <v>45</v>
      </c>
      <c r="E3131" s="117">
        <v>9999</v>
      </c>
    </row>
    <row r="3132" spans="1:5" x14ac:dyDescent="0.25">
      <c r="A3132" s="119" t="s">
        <v>7559</v>
      </c>
      <c r="B3132" s="119" t="s">
        <v>7543</v>
      </c>
      <c r="C3132" s="119" t="s">
        <v>66</v>
      </c>
      <c r="D3132" t="s">
        <v>45</v>
      </c>
      <c r="E3132" s="117">
        <v>9999</v>
      </c>
    </row>
    <row r="3133" spans="1:5" x14ac:dyDescent="0.25">
      <c r="A3133" s="119" t="s">
        <v>7560</v>
      </c>
      <c r="B3133" s="119" t="s">
        <v>7544</v>
      </c>
      <c r="C3133" s="119" t="s">
        <v>66</v>
      </c>
      <c r="D3133" t="s">
        <v>45</v>
      </c>
      <c r="E3133" s="117">
        <v>9999</v>
      </c>
    </row>
    <row r="3134" spans="1:5" x14ac:dyDescent="0.25">
      <c r="A3134" s="119" t="s">
        <v>7561</v>
      </c>
      <c r="B3134" s="119" t="s">
        <v>7562</v>
      </c>
      <c r="C3134" s="119" t="s">
        <v>66</v>
      </c>
      <c r="D3134" t="s">
        <v>45</v>
      </c>
      <c r="E3134" s="117">
        <v>9999</v>
      </c>
    </row>
    <row r="3135" spans="1:5" x14ac:dyDescent="0.25">
      <c r="A3135" s="119" t="s">
        <v>3684</v>
      </c>
      <c r="B3135" s="119" t="s">
        <v>3685</v>
      </c>
      <c r="C3135" s="119" t="s">
        <v>66</v>
      </c>
      <c r="D3135" t="s">
        <v>6759</v>
      </c>
      <c r="E3135" s="117">
        <v>415.7</v>
      </c>
    </row>
    <row r="3136" spans="1:5" x14ac:dyDescent="0.25">
      <c r="A3136" s="119" t="s">
        <v>7563</v>
      </c>
      <c r="B3136" s="119" t="s">
        <v>7564</v>
      </c>
      <c r="C3136" s="119" t="s">
        <v>66</v>
      </c>
      <c r="D3136" t="s">
        <v>45</v>
      </c>
      <c r="E3136" s="117">
        <v>9999</v>
      </c>
    </row>
    <row r="3137" spans="1:5" x14ac:dyDescent="0.25">
      <c r="A3137" s="119" t="s">
        <v>3686</v>
      </c>
      <c r="B3137" s="119" t="s">
        <v>7565</v>
      </c>
      <c r="C3137" s="119" t="s">
        <v>66</v>
      </c>
      <c r="D3137" t="s">
        <v>51</v>
      </c>
      <c r="E3137" s="117">
        <v>29.93</v>
      </c>
    </row>
    <row r="3138" spans="1:5" x14ac:dyDescent="0.25">
      <c r="A3138" s="119" t="s">
        <v>3687</v>
      </c>
      <c r="B3138" s="119" t="s">
        <v>6475</v>
      </c>
      <c r="C3138" s="119" t="s">
        <v>66</v>
      </c>
      <c r="D3138" t="s">
        <v>45</v>
      </c>
      <c r="E3138" s="117">
        <v>29.4</v>
      </c>
    </row>
    <row r="3139" spans="1:5" x14ac:dyDescent="0.25">
      <c r="A3139" s="119" t="s">
        <v>3688</v>
      </c>
      <c r="B3139" s="119" t="s">
        <v>6476</v>
      </c>
      <c r="C3139" s="119" t="s">
        <v>66</v>
      </c>
      <c r="D3139" t="s">
        <v>6759</v>
      </c>
      <c r="E3139" s="117">
        <v>28.56</v>
      </c>
    </row>
    <row r="3140" spans="1:5" x14ac:dyDescent="0.25">
      <c r="A3140" s="119" t="s">
        <v>3689</v>
      </c>
      <c r="B3140" s="119" t="s">
        <v>6477</v>
      </c>
      <c r="C3140" s="119" t="s">
        <v>66</v>
      </c>
      <c r="D3140" t="s">
        <v>49</v>
      </c>
      <c r="E3140" s="117">
        <v>28.67</v>
      </c>
    </row>
    <row r="3141" spans="1:5" x14ac:dyDescent="0.25">
      <c r="A3141" s="119" t="s">
        <v>3690</v>
      </c>
      <c r="B3141" s="119" t="s">
        <v>3691</v>
      </c>
      <c r="C3141" s="119" t="s">
        <v>66</v>
      </c>
      <c r="D3141" t="s">
        <v>45</v>
      </c>
      <c r="E3141" s="117">
        <v>31.92</v>
      </c>
    </row>
    <row r="3142" spans="1:5" x14ac:dyDescent="0.25">
      <c r="A3142" s="119" t="s">
        <v>3692</v>
      </c>
      <c r="B3142" s="119" t="s">
        <v>6478</v>
      </c>
      <c r="C3142" s="119" t="s">
        <v>66</v>
      </c>
      <c r="D3142" t="s">
        <v>49</v>
      </c>
      <c r="E3142" s="117">
        <v>30.45</v>
      </c>
    </row>
    <row r="3143" spans="1:5" x14ac:dyDescent="0.25">
      <c r="A3143" s="119" t="s">
        <v>3693</v>
      </c>
      <c r="B3143" s="119" t="s">
        <v>3694</v>
      </c>
      <c r="C3143" s="119" t="s">
        <v>66</v>
      </c>
      <c r="D3143" t="s">
        <v>45</v>
      </c>
      <c r="E3143" s="117">
        <v>36.520000000000003</v>
      </c>
    </row>
    <row r="3144" spans="1:5" x14ac:dyDescent="0.25">
      <c r="A3144" s="119" t="s">
        <v>3695</v>
      </c>
      <c r="B3144" s="119" t="s">
        <v>7566</v>
      </c>
      <c r="C3144" s="119" t="s">
        <v>66</v>
      </c>
      <c r="D3144" t="s">
        <v>6760</v>
      </c>
      <c r="E3144" s="117">
        <v>29.51</v>
      </c>
    </row>
    <row r="3145" spans="1:5" x14ac:dyDescent="0.25">
      <c r="A3145" s="119" t="s">
        <v>7567</v>
      </c>
      <c r="B3145" s="119" t="s">
        <v>7568</v>
      </c>
      <c r="C3145" s="119" t="s">
        <v>66</v>
      </c>
      <c r="D3145" t="s">
        <v>45</v>
      </c>
      <c r="E3145" s="117">
        <v>37.46</v>
      </c>
    </row>
    <row r="3146" spans="1:5" x14ac:dyDescent="0.25">
      <c r="A3146" s="119" t="s">
        <v>3696</v>
      </c>
      <c r="B3146" s="119" t="s">
        <v>7569</v>
      </c>
      <c r="C3146" s="119" t="s">
        <v>66</v>
      </c>
      <c r="D3146" t="s">
        <v>6760</v>
      </c>
      <c r="E3146" s="117">
        <v>34.44</v>
      </c>
    </row>
    <row r="3147" spans="1:5" x14ac:dyDescent="0.25">
      <c r="A3147" s="119" t="s">
        <v>3697</v>
      </c>
      <c r="B3147" s="119" t="s">
        <v>7570</v>
      </c>
      <c r="C3147" s="119" t="s">
        <v>66</v>
      </c>
      <c r="D3147" t="s">
        <v>49</v>
      </c>
      <c r="E3147" s="117">
        <v>32.340000000000003</v>
      </c>
    </row>
    <row r="3148" spans="1:5" x14ac:dyDescent="0.25">
      <c r="A3148" s="119" t="s">
        <v>3698</v>
      </c>
      <c r="B3148" s="119" t="s">
        <v>6479</v>
      </c>
      <c r="C3148" s="119" t="s">
        <v>66</v>
      </c>
      <c r="D3148" t="s">
        <v>51</v>
      </c>
      <c r="E3148" s="117">
        <v>36.119999999999997</v>
      </c>
    </row>
    <row r="3149" spans="1:5" x14ac:dyDescent="0.25">
      <c r="A3149" s="119" t="s">
        <v>3699</v>
      </c>
      <c r="B3149" s="119" t="s">
        <v>6480</v>
      </c>
      <c r="C3149" s="119" t="s">
        <v>66</v>
      </c>
      <c r="D3149" t="s">
        <v>45</v>
      </c>
      <c r="E3149" s="117">
        <v>42.32</v>
      </c>
    </row>
    <row r="3150" spans="1:5" x14ac:dyDescent="0.25">
      <c r="A3150" s="119" t="s">
        <v>3700</v>
      </c>
      <c r="B3150" s="119" t="s">
        <v>7571</v>
      </c>
      <c r="C3150" s="119" t="s">
        <v>66</v>
      </c>
      <c r="D3150" t="s">
        <v>45</v>
      </c>
      <c r="E3150" s="117">
        <v>34.86</v>
      </c>
    </row>
    <row r="3151" spans="1:5" x14ac:dyDescent="0.25">
      <c r="A3151" s="119" t="s">
        <v>3701</v>
      </c>
      <c r="B3151" s="119" t="s">
        <v>7572</v>
      </c>
      <c r="C3151" s="119" t="s">
        <v>66</v>
      </c>
      <c r="D3151" t="s">
        <v>45</v>
      </c>
      <c r="E3151" s="117">
        <v>37.28</v>
      </c>
    </row>
    <row r="3152" spans="1:5" x14ac:dyDescent="0.25">
      <c r="A3152" s="119" t="s">
        <v>3702</v>
      </c>
      <c r="B3152" s="119" t="s">
        <v>3703</v>
      </c>
      <c r="C3152" s="119" t="s">
        <v>66</v>
      </c>
      <c r="D3152" t="s">
        <v>45</v>
      </c>
      <c r="E3152" s="117">
        <v>46</v>
      </c>
    </row>
    <row r="3153" spans="1:5" x14ac:dyDescent="0.25">
      <c r="A3153" s="119" t="s">
        <v>3704</v>
      </c>
      <c r="B3153" s="119" t="s">
        <v>6481</v>
      </c>
      <c r="C3153" s="119" t="s">
        <v>66</v>
      </c>
      <c r="D3153" t="s">
        <v>51</v>
      </c>
      <c r="E3153" s="117">
        <v>64.680000000000007</v>
      </c>
    </row>
    <row r="3154" spans="1:5" x14ac:dyDescent="0.25">
      <c r="A3154" s="119" t="s">
        <v>3705</v>
      </c>
      <c r="B3154" s="119" t="s">
        <v>7573</v>
      </c>
      <c r="C3154" s="119" t="s">
        <v>66</v>
      </c>
      <c r="D3154" t="s">
        <v>45</v>
      </c>
      <c r="E3154" s="117">
        <v>30.77</v>
      </c>
    </row>
    <row r="3155" spans="1:5" x14ac:dyDescent="0.25">
      <c r="A3155" s="119" t="s">
        <v>3706</v>
      </c>
      <c r="B3155" s="119" t="s">
        <v>7574</v>
      </c>
      <c r="C3155" s="119" t="s">
        <v>66</v>
      </c>
      <c r="D3155" t="s">
        <v>49</v>
      </c>
      <c r="E3155" s="117">
        <v>47.88</v>
      </c>
    </row>
    <row r="3156" spans="1:5" x14ac:dyDescent="0.25">
      <c r="A3156" s="119" t="s">
        <v>3707</v>
      </c>
      <c r="B3156" s="119" t="s">
        <v>7575</v>
      </c>
      <c r="C3156" s="119" t="s">
        <v>66</v>
      </c>
      <c r="D3156" t="s">
        <v>45</v>
      </c>
      <c r="E3156" s="117">
        <v>28.35</v>
      </c>
    </row>
    <row r="3157" spans="1:5" x14ac:dyDescent="0.25">
      <c r="A3157" s="119" t="s">
        <v>3708</v>
      </c>
      <c r="B3157" s="119" t="s">
        <v>7576</v>
      </c>
      <c r="C3157" s="119" t="s">
        <v>66</v>
      </c>
      <c r="D3157" t="s">
        <v>45</v>
      </c>
      <c r="E3157" s="117">
        <v>34.04</v>
      </c>
    </row>
    <row r="3158" spans="1:5" x14ac:dyDescent="0.25">
      <c r="A3158" s="119" t="s">
        <v>3709</v>
      </c>
      <c r="B3158" s="119" t="s">
        <v>7577</v>
      </c>
      <c r="C3158" s="119" t="s">
        <v>66</v>
      </c>
      <c r="D3158" t="s">
        <v>49</v>
      </c>
      <c r="E3158" s="117">
        <v>36.020000000000003</v>
      </c>
    </row>
    <row r="3159" spans="1:5" x14ac:dyDescent="0.25">
      <c r="A3159" s="119" t="s">
        <v>3710</v>
      </c>
      <c r="B3159" s="119" t="s">
        <v>7578</v>
      </c>
      <c r="C3159" s="119" t="s">
        <v>66</v>
      </c>
      <c r="D3159" t="s">
        <v>49</v>
      </c>
      <c r="E3159" s="117">
        <v>40.950000000000003</v>
      </c>
    </row>
    <row r="3160" spans="1:5" x14ac:dyDescent="0.25">
      <c r="A3160" s="119" t="s">
        <v>3711</v>
      </c>
      <c r="B3160" s="119" t="s">
        <v>6482</v>
      </c>
      <c r="C3160" s="119" t="s">
        <v>66</v>
      </c>
      <c r="D3160" t="s">
        <v>45</v>
      </c>
      <c r="E3160" s="117">
        <v>34.86</v>
      </c>
    </row>
    <row r="3161" spans="1:5" x14ac:dyDescent="0.25">
      <c r="A3161" s="119" t="s">
        <v>3712</v>
      </c>
      <c r="B3161" s="119" t="s">
        <v>6483</v>
      </c>
      <c r="C3161" s="119" t="s">
        <v>66</v>
      </c>
      <c r="D3161" t="s">
        <v>45</v>
      </c>
      <c r="E3161" s="117">
        <v>67.39</v>
      </c>
    </row>
    <row r="3162" spans="1:5" x14ac:dyDescent="0.25">
      <c r="A3162" s="119" t="s">
        <v>3713</v>
      </c>
      <c r="B3162" s="119" t="s">
        <v>7579</v>
      </c>
      <c r="C3162" s="119" t="s">
        <v>66</v>
      </c>
      <c r="D3162" t="s">
        <v>45</v>
      </c>
      <c r="E3162" s="117">
        <v>28.04</v>
      </c>
    </row>
    <row r="3163" spans="1:5" x14ac:dyDescent="0.25">
      <c r="A3163" s="119" t="s">
        <v>3714</v>
      </c>
      <c r="B3163" s="119" t="s">
        <v>6484</v>
      </c>
      <c r="C3163" s="119" t="s">
        <v>66</v>
      </c>
      <c r="D3163" t="s">
        <v>45</v>
      </c>
      <c r="E3163" s="117">
        <v>29.6</v>
      </c>
    </row>
    <row r="3164" spans="1:5" x14ac:dyDescent="0.25">
      <c r="A3164" s="119" t="s">
        <v>3715</v>
      </c>
      <c r="B3164" s="119" t="s">
        <v>6485</v>
      </c>
      <c r="C3164" s="119" t="s">
        <v>66</v>
      </c>
      <c r="D3164" t="s">
        <v>45</v>
      </c>
      <c r="E3164" s="117">
        <v>47.25</v>
      </c>
    </row>
    <row r="3165" spans="1:5" x14ac:dyDescent="0.25">
      <c r="A3165" s="119" t="s">
        <v>3716</v>
      </c>
      <c r="B3165" s="119" t="s">
        <v>6486</v>
      </c>
      <c r="C3165" s="119" t="s">
        <v>66</v>
      </c>
      <c r="D3165" t="s">
        <v>45</v>
      </c>
      <c r="E3165" s="117">
        <v>69.510000000000005</v>
      </c>
    </row>
    <row r="3166" spans="1:5" x14ac:dyDescent="0.25">
      <c r="A3166" s="119" t="s">
        <v>3717</v>
      </c>
      <c r="B3166" s="119" t="s">
        <v>7580</v>
      </c>
      <c r="C3166" s="119" t="s">
        <v>66</v>
      </c>
      <c r="D3166" t="s">
        <v>45</v>
      </c>
      <c r="E3166" s="117">
        <v>29.93</v>
      </c>
    </row>
    <row r="3167" spans="1:5" x14ac:dyDescent="0.25">
      <c r="A3167" s="119" t="s">
        <v>3718</v>
      </c>
      <c r="B3167" s="119" t="s">
        <v>6487</v>
      </c>
      <c r="C3167" s="119" t="s">
        <v>66</v>
      </c>
      <c r="D3167" t="s">
        <v>45</v>
      </c>
      <c r="E3167" s="117">
        <v>31.08</v>
      </c>
    </row>
    <row r="3168" spans="1:5" x14ac:dyDescent="0.25">
      <c r="A3168" s="119" t="s">
        <v>3719</v>
      </c>
      <c r="B3168" s="119" t="s">
        <v>3720</v>
      </c>
      <c r="C3168" s="119" t="s">
        <v>66</v>
      </c>
      <c r="D3168" t="s">
        <v>45</v>
      </c>
      <c r="E3168" s="117">
        <v>30</v>
      </c>
    </row>
    <row r="3169" spans="1:5" x14ac:dyDescent="0.25">
      <c r="A3169" s="119" t="s">
        <v>3721</v>
      </c>
      <c r="B3169" s="119" t="s">
        <v>10121</v>
      </c>
      <c r="C3169" s="119" t="s">
        <v>66</v>
      </c>
      <c r="D3169" t="s">
        <v>45</v>
      </c>
      <c r="E3169" s="117">
        <v>50.19</v>
      </c>
    </row>
    <row r="3170" spans="1:5" x14ac:dyDescent="0.25">
      <c r="A3170" s="119" t="s">
        <v>3722</v>
      </c>
      <c r="B3170" s="119" t="s">
        <v>10122</v>
      </c>
      <c r="C3170" s="119" t="s">
        <v>66</v>
      </c>
      <c r="D3170" t="s">
        <v>45</v>
      </c>
      <c r="E3170" s="117">
        <v>84</v>
      </c>
    </row>
    <row r="3171" spans="1:5" x14ac:dyDescent="0.25">
      <c r="A3171" s="119" t="s">
        <v>3723</v>
      </c>
      <c r="B3171" s="119" t="s">
        <v>6488</v>
      </c>
      <c r="C3171" s="119" t="s">
        <v>66</v>
      </c>
      <c r="D3171" t="s">
        <v>45</v>
      </c>
      <c r="E3171" s="117">
        <v>38.18</v>
      </c>
    </row>
    <row r="3172" spans="1:5" x14ac:dyDescent="0.25">
      <c r="A3172" s="119" t="s">
        <v>3724</v>
      </c>
      <c r="B3172" s="119" t="s">
        <v>10123</v>
      </c>
      <c r="C3172" s="119" t="s">
        <v>66</v>
      </c>
      <c r="D3172" t="s">
        <v>45</v>
      </c>
      <c r="E3172" s="117">
        <v>57.75</v>
      </c>
    </row>
    <row r="3173" spans="1:5" x14ac:dyDescent="0.25">
      <c r="A3173" s="119" t="s">
        <v>3725</v>
      </c>
      <c r="B3173" s="119" t="s">
        <v>3726</v>
      </c>
      <c r="C3173" s="119" t="s">
        <v>66</v>
      </c>
      <c r="D3173" t="s">
        <v>6760</v>
      </c>
      <c r="E3173" s="117">
        <v>104.69</v>
      </c>
    </row>
    <row r="3174" spans="1:5" x14ac:dyDescent="0.25">
      <c r="A3174" s="119" t="s">
        <v>3727</v>
      </c>
      <c r="B3174" s="119" t="s">
        <v>10124</v>
      </c>
      <c r="C3174" s="119" t="s">
        <v>66</v>
      </c>
      <c r="D3174" t="s">
        <v>45</v>
      </c>
      <c r="E3174" s="117">
        <v>0</v>
      </c>
    </row>
    <row r="3175" spans="1:5" x14ac:dyDescent="0.25">
      <c r="A3175" s="119" t="s">
        <v>3728</v>
      </c>
      <c r="B3175" s="119" t="s">
        <v>3729</v>
      </c>
      <c r="C3175" s="119" t="s">
        <v>66</v>
      </c>
      <c r="D3175" t="s">
        <v>45</v>
      </c>
      <c r="E3175" s="117">
        <v>50.82</v>
      </c>
    </row>
    <row r="3176" spans="1:5" x14ac:dyDescent="0.25">
      <c r="A3176" s="119" t="s">
        <v>3730</v>
      </c>
      <c r="B3176" s="119" t="s">
        <v>3731</v>
      </c>
      <c r="C3176" s="119" t="s">
        <v>66</v>
      </c>
      <c r="D3176" t="s">
        <v>49</v>
      </c>
      <c r="E3176" s="117">
        <v>84.39</v>
      </c>
    </row>
    <row r="3177" spans="1:5" x14ac:dyDescent="0.25">
      <c r="A3177" s="119" t="s">
        <v>3732</v>
      </c>
      <c r="B3177" s="119" t="s">
        <v>10125</v>
      </c>
      <c r="C3177" s="119" t="s">
        <v>66</v>
      </c>
      <c r="D3177" t="s">
        <v>45</v>
      </c>
      <c r="E3177" s="117">
        <v>35</v>
      </c>
    </row>
    <row r="3178" spans="1:5" x14ac:dyDescent="0.25">
      <c r="A3178" s="119" t="s">
        <v>3733</v>
      </c>
      <c r="B3178" s="119" t="s">
        <v>10126</v>
      </c>
      <c r="C3178" s="119" t="s">
        <v>66</v>
      </c>
      <c r="D3178" t="s">
        <v>49</v>
      </c>
      <c r="E3178" s="117">
        <v>46.2</v>
      </c>
    </row>
    <row r="3179" spans="1:5" x14ac:dyDescent="0.25">
      <c r="A3179" s="119" t="s">
        <v>3734</v>
      </c>
      <c r="B3179" s="119" t="s">
        <v>7581</v>
      </c>
      <c r="C3179" s="119" t="s">
        <v>66</v>
      </c>
      <c r="D3179" t="s">
        <v>6760</v>
      </c>
      <c r="E3179" s="117">
        <v>44.73</v>
      </c>
    </row>
    <row r="3180" spans="1:5" x14ac:dyDescent="0.25">
      <c r="A3180" s="119" t="s">
        <v>3735</v>
      </c>
      <c r="B3180" s="119" t="s">
        <v>6489</v>
      </c>
      <c r="C3180" s="119" t="s">
        <v>66</v>
      </c>
      <c r="D3180" t="s">
        <v>45</v>
      </c>
      <c r="E3180" s="117">
        <v>54.6</v>
      </c>
    </row>
    <row r="3181" spans="1:5" x14ac:dyDescent="0.25">
      <c r="A3181" s="119" t="s">
        <v>3736</v>
      </c>
      <c r="B3181" s="119" t="s">
        <v>6490</v>
      </c>
      <c r="C3181" s="119" t="s">
        <v>66</v>
      </c>
      <c r="D3181" t="s">
        <v>6760</v>
      </c>
      <c r="E3181" s="117">
        <v>62.16</v>
      </c>
    </row>
    <row r="3182" spans="1:5" x14ac:dyDescent="0.25">
      <c r="A3182" s="119" t="s">
        <v>3737</v>
      </c>
      <c r="B3182" s="119" t="s">
        <v>10127</v>
      </c>
      <c r="C3182" s="119" t="s">
        <v>66</v>
      </c>
      <c r="D3182" t="s">
        <v>6760</v>
      </c>
      <c r="E3182" s="117">
        <v>136.71</v>
      </c>
    </row>
    <row r="3183" spans="1:5" x14ac:dyDescent="0.25">
      <c r="A3183" s="119" t="s">
        <v>3738</v>
      </c>
      <c r="B3183" s="119" t="s">
        <v>6491</v>
      </c>
      <c r="C3183" s="119" t="s">
        <v>66</v>
      </c>
      <c r="D3183" t="s">
        <v>45</v>
      </c>
      <c r="E3183" s="117">
        <v>44.73</v>
      </c>
    </row>
    <row r="3184" spans="1:5" x14ac:dyDescent="0.25">
      <c r="A3184" s="119" t="s">
        <v>3739</v>
      </c>
      <c r="B3184" s="119" t="s">
        <v>7582</v>
      </c>
      <c r="C3184" s="119" t="s">
        <v>66</v>
      </c>
      <c r="D3184" t="s">
        <v>6759</v>
      </c>
      <c r="E3184" s="117">
        <v>62.16</v>
      </c>
    </row>
    <row r="3185" spans="1:5" x14ac:dyDescent="0.25">
      <c r="A3185" s="119" t="s">
        <v>3740</v>
      </c>
      <c r="B3185" s="119" t="s">
        <v>6492</v>
      </c>
      <c r="C3185" s="119" t="s">
        <v>66</v>
      </c>
      <c r="D3185" t="s">
        <v>45</v>
      </c>
      <c r="E3185" s="117">
        <v>0</v>
      </c>
    </row>
    <row r="3186" spans="1:5" x14ac:dyDescent="0.25">
      <c r="A3186" s="119" t="s">
        <v>3741</v>
      </c>
      <c r="B3186" s="119" t="s">
        <v>10128</v>
      </c>
      <c r="C3186" s="119" t="s">
        <v>66</v>
      </c>
      <c r="D3186" t="s">
        <v>45</v>
      </c>
      <c r="E3186" s="117">
        <v>50.9</v>
      </c>
    </row>
    <row r="3187" spans="1:5" x14ac:dyDescent="0.25">
      <c r="A3187" s="119" t="s">
        <v>3742</v>
      </c>
      <c r="B3187" s="119" t="s">
        <v>10129</v>
      </c>
      <c r="C3187" s="119" t="s">
        <v>66</v>
      </c>
      <c r="D3187" t="s">
        <v>45</v>
      </c>
      <c r="E3187" s="117">
        <v>68.08</v>
      </c>
    </row>
    <row r="3188" spans="1:5" x14ac:dyDescent="0.25">
      <c r="A3188" s="119" t="s">
        <v>3743</v>
      </c>
      <c r="B3188" s="119" t="s">
        <v>10130</v>
      </c>
      <c r="C3188" s="119" t="s">
        <v>66</v>
      </c>
      <c r="D3188" t="s">
        <v>45</v>
      </c>
      <c r="E3188" s="117">
        <v>56.18</v>
      </c>
    </row>
    <row r="3189" spans="1:5" x14ac:dyDescent="0.25">
      <c r="A3189" s="119" t="s">
        <v>3744</v>
      </c>
      <c r="B3189" s="119" t="s">
        <v>7583</v>
      </c>
      <c r="C3189" s="119" t="s">
        <v>66</v>
      </c>
      <c r="D3189" t="s">
        <v>49</v>
      </c>
      <c r="E3189" s="117">
        <v>68.36</v>
      </c>
    </row>
    <row r="3190" spans="1:5" x14ac:dyDescent="0.25">
      <c r="A3190" s="119" t="s">
        <v>3745</v>
      </c>
      <c r="B3190" s="119" t="s">
        <v>6493</v>
      </c>
      <c r="C3190" s="119" t="s">
        <v>66</v>
      </c>
      <c r="D3190" t="s">
        <v>49</v>
      </c>
      <c r="E3190" s="117">
        <v>99.44</v>
      </c>
    </row>
    <row r="3191" spans="1:5" x14ac:dyDescent="0.25">
      <c r="A3191" s="119" t="s">
        <v>3746</v>
      </c>
      <c r="B3191" s="119" t="s">
        <v>6494</v>
      </c>
      <c r="C3191" s="119" t="s">
        <v>66</v>
      </c>
      <c r="D3191" t="s">
        <v>6760</v>
      </c>
      <c r="E3191" s="117">
        <v>129.78</v>
      </c>
    </row>
    <row r="3192" spans="1:5" x14ac:dyDescent="0.25">
      <c r="A3192" s="119" t="s">
        <v>3747</v>
      </c>
      <c r="B3192" s="119" t="s">
        <v>7584</v>
      </c>
      <c r="C3192" s="119" t="s">
        <v>66</v>
      </c>
      <c r="D3192" t="s">
        <v>45</v>
      </c>
      <c r="E3192" s="117">
        <v>68.36</v>
      </c>
    </row>
    <row r="3193" spans="1:5" x14ac:dyDescent="0.25">
      <c r="A3193" s="119" t="s">
        <v>3748</v>
      </c>
      <c r="B3193" s="119" t="s">
        <v>10131</v>
      </c>
      <c r="C3193" s="119" t="s">
        <v>66</v>
      </c>
      <c r="D3193" t="s">
        <v>49</v>
      </c>
      <c r="E3193" s="117">
        <v>68.36</v>
      </c>
    </row>
    <row r="3194" spans="1:5" x14ac:dyDescent="0.25">
      <c r="A3194" s="119" t="s">
        <v>3749</v>
      </c>
      <c r="B3194" s="119" t="s">
        <v>3750</v>
      </c>
      <c r="C3194" s="119" t="s">
        <v>66</v>
      </c>
      <c r="D3194" t="s">
        <v>49</v>
      </c>
      <c r="E3194" s="117">
        <v>60.69</v>
      </c>
    </row>
    <row r="3195" spans="1:5" x14ac:dyDescent="0.25">
      <c r="A3195" s="119" t="s">
        <v>3751</v>
      </c>
      <c r="B3195" s="119" t="s">
        <v>3752</v>
      </c>
      <c r="C3195" s="119" t="s">
        <v>66</v>
      </c>
      <c r="D3195" t="s">
        <v>45</v>
      </c>
      <c r="E3195" s="117">
        <v>96.39</v>
      </c>
    </row>
    <row r="3196" spans="1:5" x14ac:dyDescent="0.25">
      <c r="A3196" s="119" t="s">
        <v>3753</v>
      </c>
      <c r="B3196" s="119" t="s">
        <v>10132</v>
      </c>
      <c r="C3196" s="119" t="s">
        <v>66</v>
      </c>
      <c r="D3196" t="s">
        <v>45</v>
      </c>
      <c r="E3196" s="117">
        <v>101.75</v>
      </c>
    </row>
    <row r="3197" spans="1:5" x14ac:dyDescent="0.25">
      <c r="A3197" s="119" t="s">
        <v>3754</v>
      </c>
      <c r="B3197" s="119" t="s">
        <v>6495</v>
      </c>
      <c r="C3197" s="119" t="s">
        <v>66</v>
      </c>
      <c r="D3197" t="s">
        <v>45</v>
      </c>
      <c r="E3197" s="117">
        <v>60.9</v>
      </c>
    </row>
    <row r="3198" spans="1:5" x14ac:dyDescent="0.25">
      <c r="A3198" s="119" t="s">
        <v>3755</v>
      </c>
      <c r="B3198" s="119" t="s">
        <v>10133</v>
      </c>
      <c r="C3198" s="119" t="s">
        <v>66</v>
      </c>
      <c r="D3198" t="s">
        <v>45</v>
      </c>
      <c r="E3198" s="117">
        <v>86.42</v>
      </c>
    </row>
    <row r="3199" spans="1:5" x14ac:dyDescent="0.25">
      <c r="A3199" s="119" t="s">
        <v>3756</v>
      </c>
      <c r="B3199" s="119" t="s">
        <v>10134</v>
      </c>
      <c r="C3199" s="119" t="s">
        <v>66</v>
      </c>
      <c r="D3199" t="s">
        <v>45</v>
      </c>
      <c r="E3199" s="117">
        <v>146.79</v>
      </c>
    </row>
    <row r="3200" spans="1:5" x14ac:dyDescent="0.25">
      <c r="A3200" s="119" t="s">
        <v>3757</v>
      </c>
      <c r="B3200" s="119" t="s">
        <v>6496</v>
      </c>
      <c r="C3200" s="119" t="s">
        <v>66</v>
      </c>
      <c r="D3200" t="s">
        <v>45</v>
      </c>
      <c r="E3200" s="117">
        <v>161.6</v>
      </c>
    </row>
    <row r="3201" spans="1:5" x14ac:dyDescent="0.25">
      <c r="A3201" s="119" t="s">
        <v>3758</v>
      </c>
      <c r="B3201" s="119" t="s">
        <v>10135</v>
      </c>
      <c r="C3201" s="119" t="s">
        <v>66</v>
      </c>
      <c r="D3201" t="s">
        <v>45</v>
      </c>
      <c r="E3201" s="117">
        <v>247.8</v>
      </c>
    </row>
    <row r="3202" spans="1:5" x14ac:dyDescent="0.25">
      <c r="A3202" s="119" t="s">
        <v>3759</v>
      </c>
      <c r="B3202" s="119" t="s">
        <v>3760</v>
      </c>
      <c r="C3202" s="119" t="s">
        <v>66</v>
      </c>
      <c r="D3202" t="s">
        <v>49</v>
      </c>
      <c r="E3202" s="117">
        <v>200.97</v>
      </c>
    </row>
    <row r="3203" spans="1:5" x14ac:dyDescent="0.25">
      <c r="A3203" s="119" t="s">
        <v>3761</v>
      </c>
      <c r="B3203" s="119" t="s">
        <v>3762</v>
      </c>
      <c r="C3203" s="119" t="s">
        <v>66</v>
      </c>
      <c r="D3203" t="s">
        <v>49</v>
      </c>
      <c r="E3203" s="117">
        <v>29.61</v>
      </c>
    </row>
    <row r="3204" spans="1:5" x14ac:dyDescent="0.25">
      <c r="A3204" s="119" t="s">
        <v>3763</v>
      </c>
      <c r="B3204" s="119" t="s">
        <v>10136</v>
      </c>
      <c r="C3204" s="119" t="s">
        <v>66</v>
      </c>
      <c r="D3204" t="s">
        <v>49</v>
      </c>
      <c r="E3204" s="117">
        <v>155.4</v>
      </c>
    </row>
    <row r="3205" spans="1:5" x14ac:dyDescent="0.25">
      <c r="A3205" s="119" t="s">
        <v>3764</v>
      </c>
      <c r="B3205" s="119" t="s">
        <v>7585</v>
      </c>
      <c r="C3205" s="119" t="s">
        <v>66</v>
      </c>
      <c r="D3205" t="s">
        <v>45</v>
      </c>
      <c r="E3205" s="117">
        <v>74.55</v>
      </c>
    </row>
    <row r="3206" spans="1:5" x14ac:dyDescent="0.25">
      <c r="A3206" s="119" t="s">
        <v>3765</v>
      </c>
      <c r="B3206" s="119" t="s">
        <v>7586</v>
      </c>
      <c r="C3206" s="119" t="s">
        <v>66</v>
      </c>
      <c r="D3206" t="s">
        <v>45</v>
      </c>
      <c r="E3206" s="117">
        <v>74.66</v>
      </c>
    </row>
    <row r="3207" spans="1:5" x14ac:dyDescent="0.25">
      <c r="A3207" s="119" t="s">
        <v>3766</v>
      </c>
      <c r="B3207" s="119" t="s">
        <v>3767</v>
      </c>
      <c r="C3207" s="119" t="s">
        <v>66</v>
      </c>
      <c r="D3207" t="s">
        <v>45</v>
      </c>
      <c r="E3207" s="117">
        <v>76.86</v>
      </c>
    </row>
    <row r="3208" spans="1:5" x14ac:dyDescent="0.25">
      <c r="A3208" s="119" t="s">
        <v>3768</v>
      </c>
      <c r="B3208" s="119" t="s">
        <v>10137</v>
      </c>
      <c r="C3208" s="119" t="s">
        <v>66</v>
      </c>
      <c r="D3208" t="s">
        <v>6760</v>
      </c>
      <c r="E3208" s="117">
        <v>72.45</v>
      </c>
    </row>
    <row r="3209" spans="1:5" x14ac:dyDescent="0.25">
      <c r="A3209" s="119" t="s">
        <v>3769</v>
      </c>
      <c r="B3209" s="119" t="s">
        <v>10138</v>
      </c>
      <c r="C3209" s="119" t="s">
        <v>66</v>
      </c>
      <c r="D3209" t="s">
        <v>51</v>
      </c>
      <c r="E3209" s="117">
        <v>27.2</v>
      </c>
    </row>
    <row r="3210" spans="1:5" x14ac:dyDescent="0.25">
      <c r="A3210" s="119" t="s">
        <v>3770</v>
      </c>
      <c r="B3210" s="119" t="s">
        <v>10139</v>
      </c>
      <c r="C3210" s="119" t="s">
        <v>66</v>
      </c>
      <c r="D3210" t="s">
        <v>51</v>
      </c>
      <c r="E3210" s="117">
        <v>30.87</v>
      </c>
    </row>
    <row r="3211" spans="1:5" x14ac:dyDescent="0.25">
      <c r="A3211" s="119" t="s">
        <v>3771</v>
      </c>
      <c r="B3211" s="119" t="s">
        <v>10140</v>
      </c>
      <c r="C3211" s="119" t="s">
        <v>66</v>
      </c>
      <c r="D3211" t="s">
        <v>45</v>
      </c>
      <c r="E3211" s="117">
        <v>0</v>
      </c>
    </row>
    <row r="3212" spans="1:5" x14ac:dyDescent="0.25">
      <c r="A3212" s="119" t="s">
        <v>3772</v>
      </c>
      <c r="B3212" s="119" t="s">
        <v>3773</v>
      </c>
      <c r="C3212" s="119" t="s">
        <v>66</v>
      </c>
      <c r="D3212" t="s">
        <v>6760</v>
      </c>
      <c r="E3212" s="117">
        <v>6.03</v>
      </c>
    </row>
    <row r="3213" spans="1:5" x14ac:dyDescent="0.25">
      <c r="A3213" s="119" t="s">
        <v>3774</v>
      </c>
      <c r="B3213" s="119" t="s">
        <v>1845</v>
      </c>
      <c r="C3213" s="119" t="s">
        <v>66</v>
      </c>
      <c r="D3213" t="s">
        <v>45</v>
      </c>
      <c r="E3213" s="117">
        <v>0</v>
      </c>
    </row>
    <row r="3214" spans="1:5" x14ac:dyDescent="0.25">
      <c r="A3214" s="119" t="s">
        <v>3775</v>
      </c>
      <c r="B3214" s="119" t="s">
        <v>1845</v>
      </c>
      <c r="C3214" s="119" t="s">
        <v>66</v>
      </c>
      <c r="D3214" t="s">
        <v>49</v>
      </c>
      <c r="E3214" s="117">
        <v>160.22999999999999</v>
      </c>
    </row>
    <row r="3215" spans="1:5" x14ac:dyDescent="0.25">
      <c r="A3215" s="119" t="s">
        <v>3776</v>
      </c>
      <c r="B3215" s="119" t="s">
        <v>1845</v>
      </c>
      <c r="C3215" s="119" t="s">
        <v>66</v>
      </c>
      <c r="D3215" t="s">
        <v>49</v>
      </c>
      <c r="E3215" s="117">
        <v>365.72</v>
      </c>
    </row>
    <row r="3216" spans="1:5" x14ac:dyDescent="0.25">
      <c r="A3216" s="119" t="s">
        <v>3777</v>
      </c>
      <c r="B3216" s="119" t="s">
        <v>10141</v>
      </c>
      <c r="C3216" s="119" t="s">
        <v>66</v>
      </c>
      <c r="D3216" t="s">
        <v>51</v>
      </c>
      <c r="E3216" s="117">
        <v>99.33</v>
      </c>
    </row>
    <row r="3217" spans="1:5" x14ac:dyDescent="0.25">
      <c r="A3217" s="119" t="s">
        <v>3778</v>
      </c>
      <c r="B3217" s="119" t="s">
        <v>10142</v>
      </c>
      <c r="C3217" s="119" t="s">
        <v>66</v>
      </c>
      <c r="D3217" t="s">
        <v>6760</v>
      </c>
      <c r="E3217" s="117">
        <v>172.73</v>
      </c>
    </row>
    <row r="3218" spans="1:5" x14ac:dyDescent="0.25">
      <c r="A3218" s="119" t="s">
        <v>3779</v>
      </c>
      <c r="B3218" s="119" t="s">
        <v>10143</v>
      </c>
      <c r="C3218" s="119" t="s">
        <v>66</v>
      </c>
      <c r="D3218" t="s">
        <v>51</v>
      </c>
      <c r="E3218" s="117">
        <v>173.25</v>
      </c>
    </row>
    <row r="3219" spans="1:5" x14ac:dyDescent="0.25">
      <c r="A3219" s="119" t="s">
        <v>3780</v>
      </c>
      <c r="B3219" s="119" t="s">
        <v>10144</v>
      </c>
      <c r="C3219" s="119" t="s">
        <v>66</v>
      </c>
      <c r="D3219" t="s">
        <v>45</v>
      </c>
      <c r="E3219" s="117">
        <v>63.94</v>
      </c>
    </row>
    <row r="3220" spans="1:5" x14ac:dyDescent="0.25">
      <c r="A3220" s="119" t="s">
        <v>3781</v>
      </c>
      <c r="B3220" s="119" t="s">
        <v>3782</v>
      </c>
      <c r="C3220" s="119" t="s">
        <v>66</v>
      </c>
      <c r="D3220" t="s">
        <v>49</v>
      </c>
      <c r="E3220" s="117">
        <v>31.5</v>
      </c>
    </row>
    <row r="3221" spans="1:5" x14ac:dyDescent="0.25">
      <c r="A3221" s="119" t="s">
        <v>3783</v>
      </c>
      <c r="B3221" s="119" t="s">
        <v>6497</v>
      </c>
      <c r="C3221" s="119" t="s">
        <v>66</v>
      </c>
      <c r="D3221" t="s">
        <v>49</v>
      </c>
      <c r="E3221" s="117">
        <v>37.799999999999997</v>
      </c>
    </row>
    <row r="3222" spans="1:5" x14ac:dyDescent="0.25">
      <c r="A3222" s="119" t="s">
        <v>3784</v>
      </c>
      <c r="B3222" s="119" t="s">
        <v>10145</v>
      </c>
      <c r="C3222" s="119" t="s">
        <v>66</v>
      </c>
      <c r="D3222" t="s">
        <v>6759</v>
      </c>
      <c r="E3222" s="117">
        <v>37.380000000000003</v>
      </c>
    </row>
    <row r="3223" spans="1:5" x14ac:dyDescent="0.25">
      <c r="A3223" s="119" t="s">
        <v>3785</v>
      </c>
      <c r="B3223" s="119" t="s">
        <v>11800</v>
      </c>
      <c r="C3223" s="119" t="s">
        <v>66</v>
      </c>
      <c r="D3223" t="s">
        <v>45</v>
      </c>
      <c r="E3223" s="117">
        <v>36.61</v>
      </c>
    </row>
    <row r="3224" spans="1:5" x14ac:dyDescent="0.25">
      <c r="A3224" s="119" t="s">
        <v>3786</v>
      </c>
      <c r="B3224" s="119" t="s">
        <v>10146</v>
      </c>
      <c r="C3224" s="119" t="s">
        <v>66</v>
      </c>
      <c r="D3224" t="s">
        <v>45</v>
      </c>
      <c r="E3224" s="117">
        <v>58.9</v>
      </c>
    </row>
    <row r="3225" spans="1:5" x14ac:dyDescent="0.25">
      <c r="A3225" s="119" t="s">
        <v>3787</v>
      </c>
      <c r="B3225" s="119" t="s">
        <v>7587</v>
      </c>
      <c r="C3225" s="119" t="s">
        <v>66</v>
      </c>
      <c r="D3225" t="s">
        <v>45</v>
      </c>
      <c r="E3225" s="117">
        <v>67.41</v>
      </c>
    </row>
    <row r="3226" spans="1:5" x14ac:dyDescent="0.25">
      <c r="A3226" s="119" t="s">
        <v>3788</v>
      </c>
      <c r="B3226" s="119" t="s">
        <v>7588</v>
      </c>
      <c r="C3226" s="119" t="s">
        <v>66</v>
      </c>
      <c r="D3226" t="s">
        <v>45</v>
      </c>
      <c r="E3226" s="117">
        <v>78.650000000000006</v>
      </c>
    </row>
    <row r="3227" spans="1:5" x14ac:dyDescent="0.25">
      <c r="A3227" s="119" t="s">
        <v>3789</v>
      </c>
      <c r="B3227" s="119" t="s">
        <v>10147</v>
      </c>
      <c r="C3227" s="119" t="s">
        <v>66</v>
      </c>
      <c r="D3227" t="s">
        <v>45</v>
      </c>
      <c r="E3227" s="117">
        <v>25.52</v>
      </c>
    </row>
    <row r="3228" spans="1:5" x14ac:dyDescent="0.25">
      <c r="A3228" s="119" t="s">
        <v>3790</v>
      </c>
      <c r="B3228" s="119" t="s">
        <v>10148</v>
      </c>
      <c r="C3228" s="119" t="s">
        <v>66</v>
      </c>
      <c r="D3228" t="s">
        <v>6760</v>
      </c>
      <c r="E3228" s="117">
        <v>37.17</v>
      </c>
    </row>
    <row r="3229" spans="1:5" x14ac:dyDescent="0.25">
      <c r="A3229" s="119" t="s">
        <v>3791</v>
      </c>
      <c r="B3229" s="119" t="s">
        <v>3792</v>
      </c>
      <c r="C3229" s="119" t="s">
        <v>66</v>
      </c>
      <c r="D3229" t="s">
        <v>49</v>
      </c>
      <c r="E3229" s="117">
        <v>37.380000000000003</v>
      </c>
    </row>
    <row r="3230" spans="1:5" x14ac:dyDescent="0.25">
      <c r="A3230" s="119" t="s">
        <v>3793</v>
      </c>
      <c r="B3230" s="119" t="s">
        <v>10149</v>
      </c>
      <c r="C3230" s="119" t="s">
        <v>66</v>
      </c>
      <c r="D3230" t="s">
        <v>49</v>
      </c>
      <c r="E3230" s="117">
        <v>37.380000000000003</v>
      </c>
    </row>
    <row r="3231" spans="1:5" x14ac:dyDescent="0.25">
      <c r="A3231" s="119" t="s">
        <v>3794</v>
      </c>
      <c r="B3231" s="119" t="s">
        <v>3792</v>
      </c>
      <c r="C3231" s="119" t="s">
        <v>66</v>
      </c>
      <c r="D3231" t="s">
        <v>6759</v>
      </c>
      <c r="E3231" s="117">
        <v>37.380000000000003</v>
      </c>
    </row>
    <row r="3232" spans="1:5" x14ac:dyDescent="0.25">
      <c r="A3232" s="119" t="s">
        <v>3795</v>
      </c>
      <c r="B3232" s="119" t="s">
        <v>10150</v>
      </c>
      <c r="C3232" s="119" t="s">
        <v>66</v>
      </c>
      <c r="D3232" t="s">
        <v>51</v>
      </c>
      <c r="E3232" s="117">
        <v>87.15</v>
      </c>
    </row>
    <row r="3233" spans="1:5" x14ac:dyDescent="0.25">
      <c r="A3233" s="119" t="s">
        <v>3796</v>
      </c>
      <c r="B3233" s="119" t="s">
        <v>3797</v>
      </c>
      <c r="C3233" s="119" t="s">
        <v>66</v>
      </c>
      <c r="D3233" t="s">
        <v>49</v>
      </c>
      <c r="E3233" s="117">
        <v>9.09</v>
      </c>
    </row>
    <row r="3234" spans="1:5" x14ac:dyDescent="0.25">
      <c r="A3234" s="119" t="s">
        <v>3798</v>
      </c>
      <c r="B3234" s="119" t="s">
        <v>3799</v>
      </c>
      <c r="C3234" s="119" t="s">
        <v>66</v>
      </c>
      <c r="D3234" t="s">
        <v>51</v>
      </c>
      <c r="E3234" s="117">
        <v>38.5</v>
      </c>
    </row>
    <row r="3235" spans="1:5" x14ac:dyDescent="0.25">
      <c r="A3235" s="119" t="s">
        <v>3800</v>
      </c>
      <c r="B3235" s="119" t="s">
        <v>6498</v>
      </c>
      <c r="C3235" s="119" t="s">
        <v>66</v>
      </c>
      <c r="D3235" t="s">
        <v>45</v>
      </c>
      <c r="E3235" s="117">
        <v>248.54</v>
      </c>
    </row>
    <row r="3236" spans="1:5" x14ac:dyDescent="0.25">
      <c r="A3236" s="119" t="s">
        <v>3801</v>
      </c>
      <c r="B3236" s="119" t="s">
        <v>6499</v>
      </c>
      <c r="C3236" s="119" t="s">
        <v>66</v>
      </c>
      <c r="D3236" t="s">
        <v>49</v>
      </c>
      <c r="E3236" s="117">
        <v>519.12</v>
      </c>
    </row>
    <row r="3237" spans="1:5" x14ac:dyDescent="0.25">
      <c r="A3237" s="119" t="s">
        <v>3802</v>
      </c>
      <c r="B3237" s="119" t="s">
        <v>3803</v>
      </c>
      <c r="C3237" s="119" t="s">
        <v>66</v>
      </c>
      <c r="D3237" t="s">
        <v>45</v>
      </c>
      <c r="E3237" s="117">
        <v>0</v>
      </c>
    </row>
    <row r="3238" spans="1:5" x14ac:dyDescent="0.25">
      <c r="A3238" s="119" t="s">
        <v>3804</v>
      </c>
      <c r="B3238" s="119" t="s">
        <v>10151</v>
      </c>
      <c r="C3238" s="119" t="s">
        <v>66</v>
      </c>
      <c r="D3238" t="s">
        <v>6759</v>
      </c>
      <c r="E3238" s="117">
        <v>17.54</v>
      </c>
    </row>
    <row r="3239" spans="1:5" x14ac:dyDescent="0.25">
      <c r="A3239" s="119" t="s">
        <v>3805</v>
      </c>
      <c r="B3239" s="119" t="s">
        <v>10152</v>
      </c>
      <c r="C3239" s="119" t="s">
        <v>66</v>
      </c>
      <c r="D3239" t="s">
        <v>51</v>
      </c>
      <c r="E3239" s="117">
        <v>21</v>
      </c>
    </row>
    <row r="3240" spans="1:5" x14ac:dyDescent="0.25">
      <c r="A3240" s="119" t="s">
        <v>3806</v>
      </c>
      <c r="B3240" s="119" t="s">
        <v>10153</v>
      </c>
      <c r="C3240" s="119" t="s">
        <v>66</v>
      </c>
      <c r="D3240" t="s">
        <v>45</v>
      </c>
      <c r="E3240" s="117">
        <v>24.99</v>
      </c>
    </row>
    <row r="3241" spans="1:5" x14ac:dyDescent="0.25">
      <c r="A3241" s="119" t="s">
        <v>3807</v>
      </c>
      <c r="B3241" s="119" t="s">
        <v>10154</v>
      </c>
      <c r="C3241" s="119" t="s">
        <v>66</v>
      </c>
      <c r="D3241" t="s">
        <v>45</v>
      </c>
      <c r="E3241" s="117">
        <v>22.05</v>
      </c>
    </row>
    <row r="3242" spans="1:5" x14ac:dyDescent="0.25">
      <c r="A3242" s="119" t="s">
        <v>3808</v>
      </c>
      <c r="B3242" s="119" t="s">
        <v>10155</v>
      </c>
      <c r="C3242" s="119" t="s">
        <v>66</v>
      </c>
      <c r="D3242" t="s">
        <v>45</v>
      </c>
      <c r="E3242" s="117">
        <v>46.1</v>
      </c>
    </row>
    <row r="3243" spans="1:5" x14ac:dyDescent="0.25">
      <c r="A3243" s="119" t="s">
        <v>3809</v>
      </c>
      <c r="B3243" s="119" t="s">
        <v>10156</v>
      </c>
      <c r="C3243" s="119" t="s">
        <v>66</v>
      </c>
      <c r="D3243" t="s">
        <v>45</v>
      </c>
      <c r="E3243" s="117">
        <v>27.41</v>
      </c>
    </row>
    <row r="3244" spans="1:5" x14ac:dyDescent="0.25">
      <c r="A3244" s="119" t="s">
        <v>3810</v>
      </c>
      <c r="B3244" s="119" t="s">
        <v>10120</v>
      </c>
      <c r="C3244" s="119" t="s">
        <v>66</v>
      </c>
      <c r="D3244" t="s">
        <v>45</v>
      </c>
      <c r="E3244" s="117">
        <v>51.03</v>
      </c>
    </row>
    <row r="3245" spans="1:5" x14ac:dyDescent="0.25">
      <c r="A3245" s="119" t="s">
        <v>3811</v>
      </c>
      <c r="B3245" s="119" t="s">
        <v>10157</v>
      </c>
      <c r="C3245" s="119" t="s">
        <v>66</v>
      </c>
      <c r="D3245" t="s">
        <v>45</v>
      </c>
      <c r="E3245" s="117">
        <v>15.65</v>
      </c>
    </row>
    <row r="3246" spans="1:5" x14ac:dyDescent="0.25">
      <c r="A3246" s="119" t="s">
        <v>3812</v>
      </c>
      <c r="B3246" s="119" t="s">
        <v>10158</v>
      </c>
      <c r="C3246" s="119" t="s">
        <v>66</v>
      </c>
      <c r="D3246" t="s">
        <v>45</v>
      </c>
      <c r="E3246" s="117">
        <v>21.59</v>
      </c>
    </row>
    <row r="3247" spans="1:5" x14ac:dyDescent="0.25">
      <c r="A3247" s="119" t="s">
        <v>3813</v>
      </c>
      <c r="B3247" s="119" t="s">
        <v>10159</v>
      </c>
      <c r="C3247" s="119" t="s">
        <v>66</v>
      </c>
      <c r="D3247" t="s">
        <v>45</v>
      </c>
      <c r="E3247" s="117">
        <v>20.2</v>
      </c>
    </row>
    <row r="3248" spans="1:5" x14ac:dyDescent="0.25">
      <c r="A3248" s="119" t="s">
        <v>3814</v>
      </c>
      <c r="B3248" s="119" t="s">
        <v>10160</v>
      </c>
      <c r="C3248" s="119" t="s">
        <v>66</v>
      </c>
      <c r="D3248" t="s">
        <v>51</v>
      </c>
      <c r="E3248" s="117">
        <v>22.47</v>
      </c>
    </row>
    <row r="3249" spans="1:5" x14ac:dyDescent="0.25">
      <c r="A3249" s="119" t="s">
        <v>3815</v>
      </c>
      <c r="B3249" s="119" t="s">
        <v>10161</v>
      </c>
      <c r="C3249" s="119" t="s">
        <v>66</v>
      </c>
      <c r="D3249" t="s">
        <v>45</v>
      </c>
      <c r="E3249" s="117">
        <v>106.51</v>
      </c>
    </row>
    <row r="3250" spans="1:5" x14ac:dyDescent="0.25">
      <c r="A3250" s="119" t="s">
        <v>3816</v>
      </c>
      <c r="B3250" s="119" t="s">
        <v>3817</v>
      </c>
      <c r="C3250" s="119" t="s">
        <v>66</v>
      </c>
      <c r="D3250" t="s">
        <v>51</v>
      </c>
      <c r="E3250" s="117">
        <v>5.55</v>
      </c>
    </row>
    <row r="3251" spans="1:5" x14ac:dyDescent="0.25">
      <c r="A3251" s="119" t="s">
        <v>3818</v>
      </c>
      <c r="B3251" s="119" t="s">
        <v>10162</v>
      </c>
      <c r="C3251" s="119" t="s">
        <v>66</v>
      </c>
      <c r="D3251" t="s">
        <v>51</v>
      </c>
      <c r="E3251" s="117">
        <v>321.51</v>
      </c>
    </row>
    <row r="3252" spans="1:5" x14ac:dyDescent="0.25">
      <c r="A3252" s="119" t="s">
        <v>3819</v>
      </c>
      <c r="B3252" s="119" t="s">
        <v>10163</v>
      </c>
      <c r="C3252" s="119" t="s">
        <v>66</v>
      </c>
      <c r="D3252" t="s">
        <v>51</v>
      </c>
      <c r="E3252" s="117">
        <v>385.65</v>
      </c>
    </row>
    <row r="3253" spans="1:5" x14ac:dyDescent="0.25">
      <c r="A3253" s="119" t="s">
        <v>3820</v>
      </c>
      <c r="B3253" s="119" t="s">
        <v>10164</v>
      </c>
      <c r="C3253" s="119" t="s">
        <v>66</v>
      </c>
      <c r="D3253" t="s">
        <v>45</v>
      </c>
      <c r="E3253" s="117">
        <v>106.51</v>
      </c>
    </row>
    <row r="3254" spans="1:5" x14ac:dyDescent="0.25">
      <c r="A3254" s="119" t="s">
        <v>8272</v>
      </c>
      <c r="B3254" s="119" t="s">
        <v>8273</v>
      </c>
      <c r="C3254" s="119" t="s">
        <v>66</v>
      </c>
      <c r="D3254" t="s">
        <v>45</v>
      </c>
      <c r="E3254" s="117">
        <v>9999</v>
      </c>
    </row>
    <row r="3255" spans="1:5" x14ac:dyDescent="0.25">
      <c r="A3255" s="119" t="s">
        <v>3821</v>
      </c>
      <c r="B3255" s="119" t="s">
        <v>7589</v>
      </c>
      <c r="C3255" s="119" t="s">
        <v>66</v>
      </c>
      <c r="D3255" t="s">
        <v>45</v>
      </c>
      <c r="E3255" s="117">
        <v>70.349999999999994</v>
      </c>
    </row>
    <row r="3256" spans="1:5" x14ac:dyDescent="0.25">
      <c r="A3256" s="119" t="s">
        <v>3822</v>
      </c>
      <c r="B3256" s="119" t="s">
        <v>3823</v>
      </c>
      <c r="C3256" s="119" t="s">
        <v>66</v>
      </c>
      <c r="D3256" t="s">
        <v>45</v>
      </c>
      <c r="E3256" s="117">
        <v>89.08</v>
      </c>
    </row>
    <row r="3257" spans="1:5" x14ac:dyDescent="0.25">
      <c r="A3257" s="119" t="s">
        <v>3824</v>
      </c>
      <c r="B3257" s="119" t="s">
        <v>3825</v>
      </c>
      <c r="C3257" s="119" t="s">
        <v>66</v>
      </c>
      <c r="D3257" t="s">
        <v>49</v>
      </c>
      <c r="E3257" s="117">
        <v>37.17</v>
      </c>
    </row>
    <row r="3258" spans="1:5" x14ac:dyDescent="0.25">
      <c r="A3258" s="119" t="s">
        <v>3826</v>
      </c>
      <c r="B3258" s="119" t="s">
        <v>6500</v>
      </c>
      <c r="C3258" s="119" t="s">
        <v>66</v>
      </c>
      <c r="D3258" t="s">
        <v>51</v>
      </c>
      <c r="E3258" s="117">
        <v>95.34</v>
      </c>
    </row>
    <row r="3259" spans="1:5" x14ac:dyDescent="0.25">
      <c r="A3259" s="119" t="s">
        <v>3827</v>
      </c>
      <c r="B3259" s="119" t="s">
        <v>6501</v>
      </c>
      <c r="C3259" s="119" t="s">
        <v>66</v>
      </c>
      <c r="D3259" t="s">
        <v>49</v>
      </c>
      <c r="E3259" s="117">
        <v>143.63999999999999</v>
      </c>
    </row>
    <row r="3260" spans="1:5" x14ac:dyDescent="0.25">
      <c r="A3260" s="119" t="s">
        <v>3828</v>
      </c>
      <c r="B3260" s="119" t="s">
        <v>6502</v>
      </c>
      <c r="C3260" s="119" t="s">
        <v>66</v>
      </c>
      <c r="D3260" t="s">
        <v>6760</v>
      </c>
      <c r="E3260" s="117">
        <v>179.87</v>
      </c>
    </row>
    <row r="3261" spans="1:5" x14ac:dyDescent="0.25">
      <c r="A3261" s="119" t="s">
        <v>3829</v>
      </c>
      <c r="B3261" s="119" t="s">
        <v>7590</v>
      </c>
      <c r="C3261" s="119" t="s">
        <v>66</v>
      </c>
      <c r="D3261" t="s">
        <v>51</v>
      </c>
      <c r="E3261" s="117">
        <v>98.18</v>
      </c>
    </row>
    <row r="3262" spans="1:5" x14ac:dyDescent="0.25">
      <c r="A3262" s="119" t="s">
        <v>3830</v>
      </c>
      <c r="B3262" s="119" t="s">
        <v>3831</v>
      </c>
      <c r="C3262" s="119" t="s">
        <v>66</v>
      </c>
      <c r="D3262" t="s">
        <v>49</v>
      </c>
      <c r="E3262" s="117">
        <v>73.290000000000006</v>
      </c>
    </row>
    <row r="3263" spans="1:5" x14ac:dyDescent="0.25">
      <c r="A3263" s="119" t="s">
        <v>3832</v>
      </c>
      <c r="B3263" s="119" t="s">
        <v>3833</v>
      </c>
      <c r="C3263" s="119" t="s">
        <v>66</v>
      </c>
      <c r="D3263" t="s">
        <v>49</v>
      </c>
      <c r="E3263" s="117">
        <v>64.37</v>
      </c>
    </row>
    <row r="3264" spans="1:5" x14ac:dyDescent="0.25">
      <c r="A3264" s="119" t="s">
        <v>3834</v>
      </c>
      <c r="B3264" s="119" t="s">
        <v>3833</v>
      </c>
      <c r="C3264" s="119" t="s">
        <v>66</v>
      </c>
      <c r="D3264" t="s">
        <v>6759</v>
      </c>
      <c r="E3264" s="117">
        <v>68.36</v>
      </c>
    </row>
    <row r="3265" spans="1:5" x14ac:dyDescent="0.25">
      <c r="A3265" s="119" t="s">
        <v>3835</v>
      </c>
      <c r="B3265" s="119" t="s">
        <v>3836</v>
      </c>
      <c r="C3265" s="119" t="s">
        <v>66</v>
      </c>
      <c r="D3265" t="s">
        <v>49</v>
      </c>
      <c r="E3265" s="117">
        <v>88.1</v>
      </c>
    </row>
    <row r="3266" spans="1:5" x14ac:dyDescent="0.25">
      <c r="A3266" s="119" t="s">
        <v>3837</v>
      </c>
      <c r="B3266" s="119" t="s">
        <v>3838</v>
      </c>
      <c r="C3266" s="119" t="s">
        <v>66</v>
      </c>
      <c r="D3266" t="s">
        <v>49</v>
      </c>
      <c r="E3266" s="117">
        <v>88.1</v>
      </c>
    </row>
    <row r="3267" spans="1:5" x14ac:dyDescent="0.25">
      <c r="A3267" s="119" t="s">
        <v>3839</v>
      </c>
      <c r="B3267" s="119" t="s">
        <v>3840</v>
      </c>
      <c r="C3267" s="119" t="s">
        <v>66</v>
      </c>
      <c r="D3267" t="s">
        <v>6759</v>
      </c>
      <c r="E3267" s="117">
        <v>108.47</v>
      </c>
    </row>
    <row r="3268" spans="1:5" x14ac:dyDescent="0.25">
      <c r="A3268" s="119" t="s">
        <v>3841</v>
      </c>
      <c r="B3268" s="119" t="s">
        <v>10165</v>
      </c>
      <c r="C3268" s="119" t="s">
        <v>66</v>
      </c>
      <c r="D3268" t="s">
        <v>6759</v>
      </c>
      <c r="E3268" s="117">
        <v>95.34</v>
      </c>
    </row>
    <row r="3269" spans="1:5" x14ac:dyDescent="0.25">
      <c r="A3269" s="119" t="s">
        <v>3842</v>
      </c>
      <c r="B3269" s="119" t="s">
        <v>10166</v>
      </c>
      <c r="C3269" s="119" t="s">
        <v>66</v>
      </c>
      <c r="D3269" t="s">
        <v>45</v>
      </c>
      <c r="E3269" s="117">
        <v>100.8</v>
      </c>
    </row>
    <row r="3270" spans="1:5" x14ac:dyDescent="0.25">
      <c r="A3270" s="119" t="s">
        <v>3843</v>
      </c>
      <c r="B3270" s="119" t="s">
        <v>3840</v>
      </c>
      <c r="C3270" s="119" t="s">
        <v>66</v>
      </c>
      <c r="D3270" t="s">
        <v>49</v>
      </c>
      <c r="E3270" s="117">
        <v>121.17</v>
      </c>
    </row>
    <row r="3271" spans="1:5" x14ac:dyDescent="0.25">
      <c r="A3271" s="119" t="s">
        <v>3844</v>
      </c>
      <c r="B3271" s="119" t="s">
        <v>3845</v>
      </c>
      <c r="C3271" s="119" t="s">
        <v>66</v>
      </c>
      <c r="D3271" t="s">
        <v>51</v>
      </c>
      <c r="E3271" s="117">
        <v>5.0999999999999996</v>
      </c>
    </row>
    <row r="3272" spans="1:5" x14ac:dyDescent="0.25">
      <c r="A3272" s="119" t="s">
        <v>3846</v>
      </c>
      <c r="B3272" s="119" t="s">
        <v>10167</v>
      </c>
      <c r="C3272" s="119" t="s">
        <v>66</v>
      </c>
      <c r="D3272" t="s">
        <v>45</v>
      </c>
      <c r="E3272" s="117">
        <v>104.27</v>
      </c>
    </row>
    <row r="3273" spans="1:5" x14ac:dyDescent="0.25">
      <c r="A3273" s="119" t="s">
        <v>3847</v>
      </c>
      <c r="B3273" s="119" t="s">
        <v>10168</v>
      </c>
      <c r="C3273" s="119" t="s">
        <v>66</v>
      </c>
      <c r="D3273" t="s">
        <v>45</v>
      </c>
      <c r="E3273" s="117">
        <v>204.33</v>
      </c>
    </row>
    <row r="3274" spans="1:5" x14ac:dyDescent="0.25">
      <c r="A3274" s="119" t="s">
        <v>3848</v>
      </c>
      <c r="B3274" s="119" t="s">
        <v>10169</v>
      </c>
      <c r="C3274" s="119" t="s">
        <v>66</v>
      </c>
      <c r="D3274" t="s">
        <v>6760</v>
      </c>
      <c r="E3274" s="117">
        <v>117.29</v>
      </c>
    </row>
    <row r="3275" spans="1:5" x14ac:dyDescent="0.25">
      <c r="A3275" s="119" t="s">
        <v>7591</v>
      </c>
      <c r="B3275" s="119" t="s">
        <v>10170</v>
      </c>
      <c r="C3275" s="119" t="s">
        <v>66</v>
      </c>
      <c r="D3275" t="s">
        <v>45</v>
      </c>
      <c r="E3275" s="117">
        <v>9999</v>
      </c>
    </row>
    <row r="3276" spans="1:5" x14ac:dyDescent="0.25">
      <c r="A3276" s="119" t="s">
        <v>3849</v>
      </c>
      <c r="B3276" s="119" t="s">
        <v>3850</v>
      </c>
      <c r="C3276" s="119" t="s">
        <v>66</v>
      </c>
      <c r="D3276" t="s">
        <v>45</v>
      </c>
      <c r="E3276" s="117">
        <v>16.38</v>
      </c>
    </row>
    <row r="3277" spans="1:5" x14ac:dyDescent="0.25">
      <c r="A3277" s="119" t="s">
        <v>3851</v>
      </c>
      <c r="B3277" s="119" t="s">
        <v>10171</v>
      </c>
      <c r="C3277" s="119" t="s">
        <v>66</v>
      </c>
      <c r="D3277" t="s">
        <v>49</v>
      </c>
      <c r="E3277" s="117">
        <v>154.13999999999999</v>
      </c>
    </row>
    <row r="3278" spans="1:5" x14ac:dyDescent="0.25">
      <c r="A3278" s="119" t="s">
        <v>3852</v>
      </c>
      <c r="B3278" s="119" t="s">
        <v>10172</v>
      </c>
      <c r="C3278" s="119" t="s">
        <v>66</v>
      </c>
      <c r="D3278" t="s">
        <v>45</v>
      </c>
      <c r="E3278" s="117">
        <v>24.72</v>
      </c>
    </row>
    <row r="3279" spans="1:5" x14ac:dyDescent="0.25">
      <c r="A3279" s="119" t="s">
        <v>3853</v>
      </c>
      <c r="B3279" s="119" t="s">
        <v>10173</v>
      </c>
      <c r="C3279" s="119" t="s">
        <v>66</v>
      </c>
      <c r="D3279" t="s">
        <v>51</v>
      </c>
      <c r="E3279" s="117">
        <v>24.72</v>
      </c>
    </row>
    <row r="3280" spans="1:5" x14ac:dyDescent="0.25">
      <c r="A3280" s="119" t="s">
        <v>3854</v>
      </c>
      <c r="B3280" s="119" t="s">
        <v>10174</v>
      </c>
      <c r="C3280" s="119" t="s">
        <v>66</v>
      </c>
      <c r="D3280" t="s">
        <v>45</v>
      </c>
      <c r="E3280" s="117">
        <v>24.72</v>
      </c>
    </row>
    <row r="3281" spans="1:5" x14ac:dyDescent="0.25">
      <c r="A3281" s="119" t="s">
        <v>3855</v>
      </c>
      <c r="B3281" s="119" t="s">
        <v>10175</v>
      </c>
      <c r="C3281" s="119" t="s">
        <v>66</v>
      </c>
      <c r="D3281" t="s">
        <v>49</v>
      </c>
      <c r="E3281" s="117">
        <v>24.72</v>
      </c>
    </row>
    <row r="3282" spans="1:5" x14ac:dyDescent="0.25">
      <c r="A3282" s="119" t="s">
        <v>3856</v>
      </c>
      <c r="B3282" s="119" t="s">
        <v>10176</v>
      </c>
      <c r="C3282" s="119" t="s">
        <v>66</v>
      </c>
      <c r="D3282" t="s">
        <v>6760</v>
      </c>
      <c r="E3282" s="117">
        <v>24.72</v>
      </c>
    </row>
    <row r="3283" spans="1:5" x14ac:dyDescent="0.25">
      <c r="A3283" s="119" t="s">
        <v>3857</v>
      </c>
      <c r="B3283" s="119" t="s">
        <v>10177</v>
      </c>
      <c r="C3283" s="119" t="s">
        <v>66</v>
      </c>
      <c r="D3283" t="s">
        <v>6760</v>
      </c>
      <c r="E3283" s="117">
        <v>24.72</v>
      </c>
    </row>
    <row r="3284" spans="1:5" x14ac:dyDescent="0.25">
      <c r="A3284" s="119" t="s">
        <v>3858</v>
      </c>
      <c r="B3284" s="119" t="s">
        <v>3859</v>
      </c>
      <c r="C3284" s="119" t="s">
        <v>66</v>
      </c>
      <c r="D3284" t="s">
        <v>6760</v>
      </c>
      <c r="E3284" s="117">
        <v>72.03</v>
      </c>
    </row>
    <row r="3285" spans="1:5" x14ac:dyDescent="0.25">
      <c r="A3285" s="119" t="s">
        <v>3860</v>
      </c>
      <c r="B3285" s="119" t="s">
        <v>10178</v>
      </c>
      <c r="C3285" s="119" t="s">
        <v>66</v>
      </c>
      <c r="D3285" t="s">
        <v>45</v>
      </c>
      <c r="E3285" s="117">
        <v>86.36</v>
      </c>
    </row>
    <row r="3286" spans="1:5" x14ac:dyDescent="0.25">
      <c r="A3286" s="119" t="s">
        <v>3861</v>
      </c>
      <c r="B3286" s="119" t="s">
        <v>6503</v>
      </c>
      <c r="C3286" s="119" t="s">
        <v>66</v>
      </c>
      <c r="D3286" t="s">
        <v>6760</v>
      </c>
      <c r="E3286" s="117">
        <v>92.4</v>
      </c>
    </row>
    <row r="3287" spans="1:5" x14ac:dyDescent="0.25">
      <c r="A3287" s="119" t="s">
        <v>3862</v>
      </c>
      <c r="B3287" s="119" t="s">
        <v>3863</v>
      </c>
      <c r="C3287" s="119" t="s">
        <v>66</v>
      </c>
      <c r="D3287" t="s">
        <v>45</v>
      </c>
      <c r="E3287" s="117">
        <v>89.46</v>
      </c>
    </row>
    <row r="3288" spans="1:5" x14ac:dyDescent="0.25">
      <c r="A3288" s="119" t="s">
        <v>3864</v>
      </c>
      <c r="B3288" s="119" t="s">
        <v>10179</v>
      </c>
      <c r="C3288" s="119" t="s">
        <v>66</v>
      </c>
      <c r="D3288" t="s">
        <v>51</v>
      </c>
      <c r="E3288" s="117">
        <v>6.93</v>
      </c>
    </row>
    <row r="3289" spans="1:5" x14ac:dyDescent="0.25">
      <c r="A3289" s="119" t="s">
        <v>3865</v>
      </c>
      <c r="B3289" s="119" t="s">
        <v>10180</v>
      </c>
      <c r="C3289" s="119" t="s">
        <v>66</v>
      </c>
      <c r="D3289" t="s">
        <v>51</v>
      </c>
      <c r="E3289" s="117">
        <v>6.93</v>
      </c>
    </row>
    <row r="3290" spans="1:5" x14ac:dyDescent="0.25">
      <c r="A3290" s="119" t="s">
        <v>3866</v>
      </c>
      <c r="B3290" s="119" t="s">
        <v>10181</v>
      </c>
      <c r="C3290" s="119" t="s">
        <v>66</v>
      </c>
      <c r="D3290" t="s">
        <v>51</v>
      </c>
      <c r="E3290" s="117">
        <v>6.93</v>
      </c>
    </row>
    <row r="3291" spans="1:5" x14ac:dyDescent="0.25">
      <c r="A3291" s="119" t="s">
        <v>3867</v>
      </c>
      <c r="B3291" s="119" t="s">
        <v>10182</v>
      </c>
      <c r="C3291" s="119" t="s">
        <v>66</v>
      </c>
      <c r="D3291" t="s">
        <v>51</v>
      </c>
      <c r="E3291" s="117">
        <v>6.93</v>
      </c>
    </row>
    <row r="3292" spans="1:5" x14ac:dyDescent="0.25">
      <c r="A3292" s="119" t="s">
        <v>3868</v>
      </c>
      <c r="B3292" s="119" t="s">
        <v>10183</v>
      </c>
      <c r="C3292" s="119" t="s">
        <v>66</v>
      </c>
      <c r="D3292" t="s">
        <v>45</v>
      </c>
      <c r="E3292" s="117">
        <v>8.19</v>
      </c>
    </row>
    <row r="3293" spans="1:5" x14ac:dyDescent="0.25">
      <c r="A3293" s="119" t="s">
        <v>3869</v>
      </c>
      <c r="B3293" s="119" t="s">
        <v>10184</v>
      </c>
      <c r="C3293" s="119" t="s">
        <v>66</v>
      </c>
      <c r="D3293" t="s">
        <v>51</v>
      </c>
      <c r="E3293" s="117">
        <v>8.19</v>
      </c>
    </row>
    <row r="3294" spans="1:5" x14ac:dyDescent="0.25">
      <c r="A3294" s="119" t="s">
        <v>3870</v>
      </c>
      <c r="B3294" s="119" t="s">
        <v>10185</v>
      </c>
      <c r="C3294" s="119" t="s">
        <v>66</v>
      </c>
      <c r="D3294" t="s">
        <v>45</v>
      </c>
      <c r="E3294" s="117">
        <v>8.19</v>
      </c>
    </row>
    <row r="3295" spans="1:5" x14ac:dyDescent="0.25">
      <c r="A3295" s="119" t="s">
        <v>3871</v>
      </c>
      <c r="B3295" s="119" t="s">
        <v>10186</v>
      </c>
      <c r="C3295" s="119" t="s">
        <v>66</v>
      </c>
      <c r="D3295" t="s">
        <v>51</v>
      </c>
      <c r="E3295" s="117">
        <v>8.19</v>
      </c>
    </row>
    <row r="3296" spans="1:5" x14ac:dyDescent="0.25">
      <c r="A3296" s="119" t="s">
        <v>3872</v>
      </c>
      <c r="B3296" s="119" t="s">
        <v>10187</v>
      </c>
      <c r="C3296" s="119" t="s">
        <v>66</v>
      </c>
      <c r="D3296" t="s">
        <v>51</v>
      </c>
      <c r="E3296" s="117">
        <v>13.1</v>
      </c>
    </row>
    <row r="3297" spans="1:5" x14ac:dyDescent="0.25">
      <c r="A3297" s="119" t="s">
        <v>3873</v>
      </c>
      <c r="B3297" s="119" t="s">
        <v>10188</v>
      </c>
      <c r="C3297" s="119" t="s">
        <v>66</v>
      </c>
      <c r="D3297" t="s">
        <v>51</v>
      </c>
      <c r="E3297" s="117">
        <v>13.1</v>
      </c>
    </row>
    <row r="3298" spans="1:5" x14ac:dyDescent="0.25">
      <c r="A3298" s="119" t="s">
        <v>3874</v>
      </c>
      <c r="B3298" s="119" t="s">
        <v>10189</v>
      </c>
      <c r="C3298" s="119" t="s">
        <v>66</v>
      </c>
      <c r="D3298" t="s">
        <v>51</v>
      </c>
      <c r="E3298" s="117">
        <v>13.1</v>
      </c>
    </row>
    <row r="3299" spans="1:5" x14ac:dyDescent="0.25">
      <c r="A3299" s="119" t="s">
        <v>3875</v>
      </c>
      <c r="B3299" s="119" t="s">
        <v>10190</v>
      </c>
      <c r="C3299" s="119" t="s">
        <v>66</v>
      </c>
      <c r="D3299" t="s">
        <v>6760</v>
      </c>
      <c r="E3299" s="117">
        <v>13.1</v>
      </c>
    </row>
    <row r="3300" spans="1:5" x14ac:dyDescent="0.25">
      <c r="A3300" s="119" t="s">
        <v>3876</v>
      </c>
      <c r="B3300" s="119" t="s">
        <v>10191</v>
      </c>
      <c r="C3300" s="119" t="s">
        <v>66</v>
      </c>
      <c r="D3300" t="s">
        <v>6760</v>
      </c>
      <c r="E3300" s="117">
        <v>111.51</v>
      </c>
    </row>
    <row r="3301" spans="1:5" x14ac:dyDescent="0.25">
      <c r="A3301" s="119" t="s">
        <v>8241</v>
      </c>
      <c r="B3301" s="119" t="s">
        <v>10192</v>
      </c>
      <c r="C3301" s="119" t="s">
        <v>66</v>
      </c>
      <c r="D3301" t="s">
        <v>45</v>
      </c>
      <c r="E3301" s="117">
        <v>9999</v>
      </c>
    </row>
    <row r="3302" spans="1:5" x14ac:dyDescent="0.25">
      <c r="A3302" s="119" t="s">
        <v>3877</v>
      </c>
      <c r="B3302" s="119" t="s">
        <v>10193</v>
      </c>
      <c r="C3302" s="119" t="s">
        <v>66</v>
      </c>
      <c r="D3302" t="s">
        <v>51</v>
      </c>
      <c r="E3302" s="117">
        <v>23.59</v>
      </c>
    </row>
    <row r="3303" spans="1:5" x14ac:dyDescent="0.25">
      <c r="A3303" s="119" t="s">
        <v>3878</v>
      </c>
      <c r="B3303" s="119" t="s">
        <v>3879</v>
      </c>
      <c r="C3303" s="119" t="s">
        <v>66</v>
      </c>
      <c r="D3303" t="s">
        <v>51</v>
      </c>
      <c r="E3303" s="117">
        <v>4.62</v>
      </c>
    </row>
    <row r="3304" spans="1:5" x14ac:dyDescent="0.25">
      <c r="A3304" s="119" t="s">
        <v>3880</v>
      </c>
      <c r="B3304" s="119" t="s">
        <v>3881</v>
      </c>
      <c r="C3304" s="119" t="s">
        <v>66</v>
      </c>
      <c r="D3304" t="s">
        <v>51</v>
      </c>
      <c r="E3304" s="117">
        <v>5.25</v>
      </c>
    </row>
    <row r="3305" spans="1:5" x14ac:dyDescent="0.25">
      <c r="A3305" s="119" t="s">
        <v>3882</v>
      </c>
      <c r="B3305" s="119" t="s">
        <v>3883</v>
      </c>
      <c r="C3305" s="119" t="s">
        <v>66</v>
      </c>
      <c r="D3305" t="s">
        <v>51</v>
      </c>
      <c r="E3305" s="117">
        <v>4.5199999999999996</v>
      </c>
    </row>
    <row r="3306" spans="1:5" x14ac:dyDescent="0.25">
      <c r="A3306" s="119" t="s">
        <v>3884</v>
      </c>
      <c r="B3306" s="119" t="s">
        <v>3885</v>
      </c>
      <c r="C3306" s="119" t="s">
        <v>66</v>
      </c>
      <c r="D3306" t="s">
        <v>51</v>
      </c>
      <c r="E3306" s="117">
        <v>5.04</v>
      </c>
    </row>
    <row r="3307" spans="1:5" x14ac:dyDescent="0.25">
      <c r="A3307" s="119" t="s">
        <v>3886</v>
      </c>
      <c r="B3307" s="119" t="s">
        <v>10194</v>
      </c>
      <c r="C3307" s="119" t="s">
        <v>66</v>
      </c>
      <c r="D3307" t="s">
        <v>51</v>
      </c>
      <c r="E3307" s="117">
        <v>5.25</v>
      </c>
    </row>
    <row r="3308" spans="1:5" x14ac:dyDescent="0.25">
      <c r="A3308" s="119" t="s">
        <v>3887</v>
      </c>
      <c r="B3308" s="119" t="s">
        <v>3888</v>
      </c>
      <c r="C3308" s="119" t="s">
        <v>66</v>
      </c>
      <c r="D3308" t="s">
        <v>51</v>
      </c>
      <c r="E3308" s="117">
        <v>5.99</v>
      </c>
    </row>
    <row r="3309" spans="1:5" x14ac:dyDescent="0.25">
      <c r="A3309" s="119" t="s">
        <v>3889</v>
      </c>
      <c r="B3309" s="119" t="s">
        <v>10195</v>
      </c>
      <c r="C3309" s="119" t="s">
        <v>66</v>
      </c>
      <c r="D3309" t="s">
        <v>51</v>
      </c>
      <c r="E3309" s="117">
        <v>7.25</v>
      </c>
    </row>
    <row r="3310" spans="1:5" x14ac:dyDescent="0.25">
      <c r="A3310" s="119" t="s">
        <v>3890</v>
      </c>
      <c r="B3310" s="119" t="s">
        <v>10196</v>
      </c>
      <c r="C3310" s="119" t="s">
        <v>66</v>
      </c>
      <c r="D3310" t="s">
        <v>51</v>
      </c>
      <c r="E3310" s="117">
        <v>10.5</v>
      </c>
    </row>
    <row r="3311" spans="1:5" x14ac:dyDescent="0.25">
      <c r="A3311" s="119" t="s">
        <v>3891</v>
      </c>
      <c r="B3311" s="119" t="s">
        <v>10197</v>
      </c>
      <c r="C3311" s="119" t="s">
        <v>66</v>
      </c>
      <c r="D3311" t="s">
        <v>51</v>
      </c>
      <c r="E3311" s="117">
        <v>14.7</v>
      </c>
    </row>
    <row r="3312" spans="1:5" x14ac:dyDescent="0.25">
      <c r="A3312" s="119" t="s">
        <v>3892</v>
      </c>
      <c r="B3312" s="119" t="s">
        <v>10198</v>
      </c>
      <c r="C3312" s="119" t="s">
        <v>66</v>
      </c>
      <c r="D3312" t="s">
        <v>51</v>
      </c>
      <c r="E3312" s="117">
        <v>15.75</v>
      </c>
    </row>
    <row r="3313" spans="1:5" x14ac:dyDescent="0.25">
      <c r="A3313" s="119" t="s">
        <v>7592</v>
      </c>
      <c r="B3313" s="119" t="s">
        <v>7593</v>
      </c>
      <c r="C3313" s="119" t="s">
        <v>66</v>
      </c>
      <c r="D3313" t="s">
        <v>45</v>
      </c>
      <c r="E3313" s="117">
        <v>9999</v>
      </c>
    </row>
    <row r="3314" spans="1:5" x14ac:dyDescent="0.25">
      <c r="A3314" s="119" t="s">
        <v>3893</v>
      </c>
      <c r="B3314" s="119" t="s">
        <v>3894</v>
      </c>
      <c r="C3314" s="119" t="s">
        <v>66</v>
      </c>
      <c r="D3314" t="s">
        <v>51</v>
      </c>
      <c r="E3314" s="117">
        <v>18.899999999999999</v>
      </c>
    </row>
    <row r="3315" spans="1:5" x14ac:dyDescent="0.25">
      <c r="A3315" s="119" t="s">
        <v>3895</v>
      </c>
      <c r="B3315" s="119" t="s">
        <v>3896</v>
      </c>
      <c r="C3315" s="119" t="s">
        <v>66</v>
      </c>
      <c r="D3315" t="s">
        <v>51</v>
      </c>
      <c r="E3315" s="117">
        <v>40.450000000000003</v>
      </c>
    </row>
    <row r="3316" spans="1:5" x14ac:dyDescent="0.25">
      <c r="A3316" s="119" t="s">
        <v>3897</v>
      </c>
      <c r="B3316" s="119" t="s">
        <v>3898</v>
      </c>
      <c r="C3316" s="119" t="s">
        <v>66</v>
      </c>
      <c r="D3316" t="s">
        <v>45</v>
      </c>
      <c r="E3316" s="117">
        <v>40.950000000000003</v>
      </c>
    </row>
    <row r="3317" spans="1:5" x14ac:dyDescent="0.25">
      <c r="A3317" s="119" t="s">
        <v>3899</v>
      </c>
      <c r="B3317" s="119" t="s">
        <v>3900</v>
      </c>
      <c r="C3317" s="119" t="s">
        <v>66</v>
      </c>
      <c r="D3317" t="s">
        <v>45</v>
      </c>
      <c r="E3317" s="117">
        <v>47.25</v>
      </c>
    </row>
    <row r="3318" spans="1:5" x14ac:dyDescent="0.25">
      <c r="A3318" s="119" t="s">
        <v>3901</v>
      </c>
      <c r="B3318" s="119" t="s">
        <v>3902</v>
      </c>
      <c r="C3318" s="119" t="s">
        <v>66</v>
      </c>
      <c r="D3318" t="s">
        <v>45</v>
      </c>
      <c r="E3318" s="117">
        <v>53.03</v>
      </c>
    </row>
    <row r="3319" spans="1:5" x14ac:dyDescent="0.25">
      <c r="A3319" s="119" t="s">
        <v>3903</v>
      </c>
      <c r="B3319" s="119" t="s">
        <v>3904</v>
      </c>
      <c r="C3319" s="119" t="s">
        <v>66</v>
      </c>
      <c r="D3319" t="s">
        <v>51</v>
      </c>
      <c r="E3319" s="117">
        <v>58.8</v>
      </c>
    </row>
    <row r="3320" spans="1:5" x14ac:dyDescent="0.25">
      <c r="A3320" s="119" t="s">
        <v>3905</v>
      </c>
      <c r="B3320" s="119" t="s">
        <v>3906</v>
      </c>
      <c r="C3320" s="119" t="s">
        <v>66</v>
      </c>
      <c r="D3320" t="s">
        <v>45</v>
      </c>
      <c r="E3320" s="117">
        <v>68.25</v>
      </c>
    </row>
    <row r="3321" spans="1:5" x14ac:dyDescent="0.25">
      <c r="A3321" s="119" t="s">
        <v>3907</v>
      </c>
      <c r="B3321" s="119" t="s">
        <v>3908</v>
      </c>
      <c r="C3321" s="119" t="s">
        <v>66</v>
      </c>
      <c r="D3321" t="s">
        <v>51</v>
      </c>
      <c r="E3321" s="117">
        <v>76.650000000000006</v>
      </c>
    </row>
    <row r="3322" spans="1:5" x14ac:dyDescent="0.25">
      <c r="A3322" s="119" t="s">
        <v>3909</v>
      </c>
      <c r="B3322" s="119" t="s">
        <v>3910</v>
      </c>
      <c r="C3322" s="119" t="s">
        <v>66</v>
      </c>
      <c r="D3322" t="s">
        <v>45</v>
      </c>
      <c r="E3322" s="117">
        <v>86.1</v>
      </c>
    </row>
    <row r="3323" spans="1:5" x14ac:dyDescent="0.25">
      <c r="A3323" s="119" t="s">
        <v>3911</v>
      </c>
      <c r="B3323" s="119" t="s">
        <v>10199</v>
      </c>
      <c r="C3323" s="119" t="s">
        <v>66</v>
      </c>
      <c r="D3323" t="s">
        <v>6759</v>
      </c>
      <c r="E3323" s="117">
        <v>56.63</v>
      </c>
    </row>
    <row r="3324" spans="1:5" x14ac:dyDescent="0.25">
      <c r="A3324" s="119" t="s">
        <v>3912</v>
      </c>
      <c r="B3324" s="119" t="s">
        <v>10200</v>
      </c>
      <c r="C3324" s="119" t="s">
        <v>66</v>
      </c>
      <c r="D3324" t="s">
        <v>45</v>
      </c>
      <c r="E3324" s="117">
        <v>54.58</v>
      </c>
    </row>
    <row r="3325" spans="1:5" x14ac:dyDescent="0.25">
      <c r="A3325" s="119" t="s">
        <v>3913</v>
      </c>
      <c r="B3325" s="119" t="s">
        <v>10201</v>
      </c>
      <c r="C3325" s="119" t="s">
        <v>66</v>
      </c>
      <c r="D3325" t="s">
        <v>45</v>
      </c>
      <c r="E3325" s="117">
        <v>35</v>
      </c>
    </row>
    <row r="3326" spans="1:5" x14ac:dyDescent="0.25">
      <c r="A3326" s="119" t="s">
        <v>3914</v>
      </c>
      <c r="B3326" s="119" t="s">
        <v>3915</v>
      </c>
      <c r="C3326" s="119" t="s">
        <v>66</v>
      </c>
      <c r="D3326" t="s">
        <v>49</v>
      </c>
      <c r="E3326" s="117">
        <v>32.5</v>
      </c>
    </row>
    <row r="3327" spans="1:5" x14ac:dyDescent="0.25">
      <c r="A3327" s="119" t="s">
        <v>3916</v>
      </c>
      <c r="B3327" s="119" t="s">
        <v>10202</v>
      </c>
      <c r="C3327" s="119" t="s">
        <v>66</v>
      </c>
      <c r="D3327" t="s">
        <v>49</v>
      </c>
      <c r="E3327" s="117">
        <v>139</v>
      </c>
    </row>
    <row r="3328" spans="1:5" x14ac:dyDescent="0.25">
      <c r="A3328" s="119" t="s">
        <v>3917</v>
      </c>
      <c r="B3328" s="119" t="s">
        <v>3918</v>
      </c>
      <c r="C3328" s="119" t="s">
        <v>66</v>
      </c>
      <c r="D3328" t="s">
        <v>49</v>
      </c>
      <c r="E3328" s="117">
        <v>22.47</v>
      </c>
    </row>
    <row r="3329" spans="1:5" x14ac:dyDescent="0.25">
      <c r="A3329" s="119" t="s">
        <v>3919</v>
      </c>
      <c r="B3329" s="119" t="s">
        <v>10203</v>
      </c>
      <c r="C3329" s="119" t="s">
        <v>66</v>
      </c>
      <c r="D3329" t="s">
        <v>45</v>
      </c>
      <c r="E3329" s="117">
        <v>77.7</v>
      </c>
    </row>
    <row r="3330" spans="1:5" x14ac:dyDescent="0.25">
      <c r="A3330" s="119" t="s">
        <v>3920</v>
      </c>
      <c r="B3330" s="119" t="s">
        <v>3921</v>
      </c>
      <c r="C3330" s="119" t="s">
        <v>66</v>
      </c>
      <c r="D3330" t="s">
        <v>45</v>
      </c>
      <c r="E3330" s="117">
        <v>438.6</v>
      </c>
    </row>
    <row r="3331" spans="1:5" x14ac:dyDescent="0.25">
      <c r="A3331" s="119" t="s">
        <v>3922</v>
      </c>
      <c r="B3331" s="119" t="s">
        <v>10204</v>
      </c>
      <c r="C3331" s="119" t="s">
        <v>66</v>
      </c>
      <c r="D3331" t="s">
        <v>49</v>
      </c>
      <c r="E3331" s="117">
        <v>24.15</v>
      </c>
    </row>
    <row r="3332" spans="1:5" x14ac:dyDescent="0.25">
      <c r="A3332" s="119" t="s">
        <v>3923</v>
      </c>
      <c r="B3332" s="119" t="s">
        <v>10205</v>
      </c>
      <c r="C3332" s="119" t="s">
        <v>66</v>
      </c>
      <c r="D3332" t="s">
        <v>6760</v>
      </c>
      <c r="E3332" s="117">
        <v>29.4</v>
      </c>
    </row>
    <row r="3333" spans="1:5" x14ac:dyDescent="0.25">
      <c r="A3333" s="119" t="s">
        <v>3924</v>
      </c>
      <c r="B3333" s="119" t="s">
        <v>10206</v>
      </c>
      <c r="C3333" s="119" t="s">
        <v>66</v>
      </c>
      <c r="D3333" t="s">
        <v>6760</v>
      </c>
      <c r="E3333" s="117">
        <v>44.1</v>
      </c>
    </row>
    <row r="3334" spans="1:5" x14ac:dyDescent="0.25">
      <c r="A3334" s="119" t="s">
        <v>7594</v>
      </c>
      <c r="B3334" s="119" t="s">
        <v>7595</v>
      </c>
      <c r="C3334" s="119" t="s">
        <v>66</v>
      </c>
      <c r="D3334" t="s">
        <v>45</v>
      </c>
      <c r="E3334" s="117">
        <v>43.09</v>
      </c>
    </row>
    <row r="3335" spans="1:5" x14ac:dyDescent="0.25">
      <c r="A3335" s="119" t="s">
        <v>6744</v>
      </c>
      <c r="B3335" s="119" t="s">
        <v>7596</v>
      </c>
      <c r="C3335" s="119" t="s">
        <v>66</v>
      </c>
      <c r="D3335" t="s">
        <v>45</v>
      </c>
      <c r="E3335" s="117">
        <v>75</v>
      </c>
    </row>
    <row r="3336" spans="1:5" x14ac:dyDescent="0.25">
      <c r="A3336" s="119" t="s">
        <v>3925</v>
      </c>
      <c r="B3336" s="119" t="s">
        <v>3926</v>
      </c>
      <c r="C3336" s="119" t="s">
        <v>66</v>
      </c>
      <c r="D3336" t="s">
        <v>45</v>
      </c>
      <c r="E3336" s="117">
        <v>72.900000000000006</v>
      </c>
    </row>
    <row r="3337" spans="1:5" x14ac:dyDescent="0.25">
      <c r="A3337" s="119" t="s">
        <v>3927</v>
      </c>
      <c r="B3337" s="119" t="s">
        <v>3928</v>
      </c>
      <c r="C3337" s="119" t="s">
        <v>66</v>
      </c>
      <c r="D3337" t="s">
        <v>45</v>
      </c>
      <c r="E3337" s="117">
        <v>36.520000000000003</v>
      </c>
    </row>
    <row r="3338" spans="1:5" x14ac:dyDescent="0.25">
      <c r="A3338" s="119" t="s">
        <v>3929</v>
      </c>
      <c r="B3338" s="119" t="s">
        <v>3930</v>
      </c>
      <c r="C3338" s="119" t="s">
        <v>66</v>
      </c>
      <c r="D3338" t="s">
        <v>6760</v>
      </c>
      <c r="E3338" s="117">
        <v>32.39</v>
      </c>
    </row>
    <row r="3339" spans="1:5" x14ac:dyDescent="0.25">
      <c r="A3339" s="119" t="s">
        <v>6348</v>
      </c>
      <c r="B3339" s="119" t="s">
        <v>6486</v>
      </c>
      <c r="C3339" s="119" t="s">
        <v>66</v>
      </c>
      <c r="D3339" t="s">
        <v>6760</v>
      </c>
      <c r="E3339" s="117">
        <v>69.510000000000005</v>
      </c>
    </row>
    <row r="3340" spans="1:5" x14ac:dyDescent="0.25">
      <c r="A3340" s="119" t="s">
        <v>6725</v>
      </c>
      <c r="B3340" s="119" t="s">
        <v>10207</v>
      </c>
      <c r="C3340" s="119" t="s">
        <v>66</v>
      </c>
      <c r="D3340" t="s">
        <v>49</v>
      </c>
      <c r="E3340" s="117">
        <v>50.19</v>
      </c>
    </row>
    <row r="3341" spans="1:5" x14ac:dyDescent="0.25">
      <c r="A3341" s="119" t="s">
        <v>6349</v>
      </c>
      <c r="B3341" s="119" t="s">
        <v>10123</v>
      </c>
      <c r="C3341" s="119" t="s">
        <v>66</v>
      </c>
      <c r="D3341" t="s">
        <v>49</v>
      </c>
      <c r="E3341" s="117">
        <v>57.75</v>
      </c>
    </row>
    <row r="3342" spans="1:5" x14ac:dyDescent="0.25">
      <c r="A3342" s="119" t="s">
        <v>11922</v>
      </c>
      <c r="B3342" s="119" t="s">
        <v>11923</v>
      </c>
      <c r="C3342" s="119" t="s">
        <v>66</v>
      </c>
      <c r="D3342" t="s">
        <v>45</v>
      </c>
      <c r="E3342" s="117">
        <v>9999</v>
      </c>
    </row>
    <row r="3343" spans="1:5" x14ac:dyDescent="0.25">
      <c r="A3343" s="119" t="s">
        <v>3931</v>
      </c>
      <c r="B3343" s="119" t="s">
        <v>11667</v>
      </c>
      <c r="C3343" s="119" t="s">
        <v>66</v>
      </c>
      <c r="D3343" t="s">
        <v>45</v>
      </c>
      <c r="E3343" s="117">
        <v>29.48</v>
      </c>
    </row>
    <row r="3344" spans="1:5" x14ac:dyDescent="0.25">
      <c r="A3344" s="119" t="s">
        <v>3932</v>
      </c>
      <c r="B3344" s="119" t="s">
        <v>3933</v>
      </c>
      <c r="C3344" s="119" t="s">
        <v>66</v>
      </c>
      <c r="D3344" t="s">
        <v>45</v>
      </c>
      <c r="E3344" s="117">
        <v>76.760000000000005</v>
      </c>
    </row>
    <row r="3345" spans="1:5" x14ac:dyDescent="0.25">
      <c r="A3345" s="119" t="s">
        <v>3934</v>
      </c>
      <c r="B3345" s="119" t="s">
        <v>10208</v>
      </c>
      <c r="C3345" s="119" t="s">
        <v>66</v>
      </c>
      <c r="D3345" t="s">
        <v>51</v>
      </c>
      <c r="E3345" s="117">
        <v>88.52</v>
      </c>
    </row>
    <row r="3346" spans="1:5" x14ac:dyDescent="0.25">
      <c r="A3346" s="119" t="s">
        <v>3935</v>
      </c>
      <c r="B3346" s="119" t="s">
        <v>3936</v>
      </c>
      <c r="C3346" s="119" t="s">
        <v>66</v>
      </c>
      <c r="D3346" t="s">
        <v>45</v>
      </c>
      <c r="E3346" s="117">
        <v>37.75</v>
      </c>
    </row>
    <row r="3347" spans="1:5" x14ac:dyDescent="0.25">
      <c r="A3347" s="119" t="s">
        <v>3937</v>
      </c>
      <c r="B3347" s="119" t="s">
        <v>3936</v>
      </c>
      <c r="C3347" s="119" t="s">
        <v>66</v>
      </c>
      <c r="D3347" t="s">
        <v>45</v>
      </c>
      <c r="E3347" s="117">
        <v>37.75</v>
      </c>
    </row>
    <row r="3348" spans="1:5" x14ac:dyDescent="0.25">
      <c r="A3348" s="119" t="s">
        <v>3938</v>
      </c>
      <c r="B3348" s="119" t="s">
        <v>10209</v>
      </c>
      <c r="C3348" s="119" t="s">
        <v>66</v>
      </c>
      <c r="D3348" t="s">
        <v>6759</v>
      </c>
      <c r="E3348" s="117">
        <v>64.88</v>
      </c>
    </row>
    <row r="3349" spans="1:5" x14ac:dyDescent="0.25">
      <c r="A3349" s="119" t="s">
        <v>3939</v>
      </c>
      <c r="B3349" s="119" t="s">
        <v>3940</v>
      </c>
      <c r="C3349" s="119" t="s">
        <v>66</v>
      </c>
      <c r="D3349" t="s">
        <v>6760</v>
      </c>
      <c r="E3349" s="117">
        <v>64.88</v>
      </c>
    </row>
    <row r="3350" spans="1:5" x14ac:dyDescent="0.25">
      <c r="A3350" s="119" t="s">
        <v>3941</v>
      </c>
      <c r="B3350" s="119" t="s">
        <v>3942</v>
      </c>
      <c r="C3350" s="119" t="s">
        <v>66</v>
      </c>
      <c r="D3350" t="s">
        <v>49</v>
      </c>
      <c r="E3350" s="117">
        <v>35.4</v>
      </c>
    </row>
    <row r="3351" spans="1:5" x14ac:dyDescent="0.25">
      <c r="A3351" s="119" t="s">
        <v>3943</v>
      </c>
      <c r="B3351" s="119" t="s">
        <v>10210</v>
      </c>
      <c r="C3351" s="119" t="s">
        <v>66</v>
      </c>
      <c r="D3351" t="s">
        <v>51</v>
      </c>
      <c r="E3351" s="117">
        <v>71.400000000000006</v>
      </c>
    </row>
    <row r="3352" spans="1:5" x14ac:dyDescent="0.25">
      <c r="A3352" s="119" t="s">
        <v>3944</v>
      </c>
      <c r="B3352" s="119" t="s">
        <v>3945</v>
      </c>
      <c r="C3352" s="119" t="s">
        <v>66</v>
      </c>
      <c r="D3352" t="s">
        <v>51</v>
      </c>
      <c r="E3352" s="117">
        <v>76.680000000000007</v>
      </c>
    </row>
    <row r="3353" spans="1:5" x14ac:dyDescent="0.25">
      <c r="A3353" s="119" t="s">
        <v>3946</v>
      </c>
      <c r="B3353" s="119" t="s">
        <v>10211</v>
      </c>
      <c r="C3353" s="119" t="s">
        <v>66</v>
      </c>
      <c r="D3353" t="s">
        <v>49</v>
      </c>
      <c r="E3353" s="117">
        <v>70.88</v>
      </c>
    </row>
    <row r="3354" spans="1:5" x14ac:dyDescent="0.25">
      <c r="A3354" s="119" t="s">
        <v>3947</v>
      </c>
      <c r="B3354" s="119" t="s">
        <v>6334</v>
      </c>
      <c r="C3354" s="119" t="s">
        <v>66</v>
      </c>
      <c r="D3354" t="s">
        <v>45</v>
      </c>
      <c r="E3354" s="117">
        <v>15.44</v>
      </c>
    </row>
    <row r="3355" spans="1:5" x14ac:dyDescent="0.25">
      <c r="A3355" s="119" t="s">
        <v>3948</v>
      </c>
      <c r="B3355" s="119" t="s">
        <v>7597</v>
      </c>
      <c r="C3355" s="119" t="s">
        <v>66</v>
      </c>
      <c r="D3355" t="s">
        <v>49</v>
      </c>
      <c r="E3355" s="117">
        <v>19.11</v>
      </c>
    </row>
    <row r="3356" spans="1:5" x14ac:dyDescent="0.25">
      <c r="A3356" s="119" t="s">
        <v>3949</v>
      </c>
      <c r="B3356" s="119" t="s">
        <v>7598</v>
      </c>
      <c r="C3356" s="119" t="s">
        <v>66</v>
      </c>
      <c r="D3356" t="s">
        <v>51</v>
      </c>
      <c r="E3356" s="117">
        <v>29.51</v>
      </c>
    </row>
    <row r="3357" spans="1:5" x14ac:dyDescent="0.25">
      <c r="A3357" s="119" t="s">
        <v>3950</v>
      </c>
      <c r="B3357" s="119" t="s">
        <v>3951</v>
      </c>
      <c r="C3357" s="119" t="s">
        <v>66</v>
      </c>
      <c r="D3357" t="s">
        <v>51</v>
      </c>
      <c r="E3357" s="117">
        <v>194.67</v>
      </c>
    </row>
    <row r="3358" spans="1:5" x14ac:dyDescent="0.25">
      <c r="A3358" s="119" t="s">
        <v>3952</v>
      </c>
      <c r="B3358" s="119" t="s">
        <v>10212</v>
      </c>
      <c r="C3358" s="119" t="s">
        <v>66</v>
      </c>
      <c r="D3358" t="s">
        <v>51</v>
      </c>
      <c r="E3358" s="117">
        <v>39.43</v>
      </c>
    </row>
    <row r="3359" spans="1:5" x14ac:dyDescent="0.25">
      <c r="A3359" s="119" t="s">
        <v>3953</v>
      </c>
      <c r="B3359" s="119" t="s">
        <v>10213</v>
      </c>
      <c r="C3359" s="119" t="s">
        <v>66</v>
      </c>
      <c r="D3359" t="s">
        <v>51</v>
      </c>
      <c r="E3359" s="117">
        <v>2.36</v>
      </c>
    </row>
    <row r="3360" spans="1:5" x14ac:dyDescent="0.25">
      <c r="A3360" s="119" t="s">
        <v>3954</v>
      </c>
      <c r="B3360" s="119" t="s">
        <v>10214</v>
      </c>
      <c r="C3360" s="119" t="s">
        <v>66</v>
      </c>
      <c r="D3360" t="s">
        <v>51</v>
      </c>
      <c r="E3360" s="117">
        <v>22.42</v>
      </c>
    </row>
    <row r="3361" spans="1:5" x14ac:dyDescent="0.25">
      <c r="A3361" s="119" t="s">
        <v>7599</v>
      </c>
      <c r="B3361" s="119" t="s">
        <v>11801</v>
      </c>
      <c r="C3361" s="119" t="s">
        <v>66</v>
      </c>
      <c r="D3361" t="s">
        <v>51</v>
      </c>
      <c r="E3361" s="117">
        <v>46.94</v>
      </c>
    </row>
    <row r="3362" spans="1:5" x14ac:dyDescent="0.25">
      <c r="A3362" s="119" t="s">
        <v>3955</v>
      </c>
      <c r="B3362" s="119" t="s">
        <v>3956</v>
      </c>
      <c r="C3362" s="119" t="s">
        <v>66</v>
      </c>
      <c r="D3362" t="s">
        <v>51</v>
      </c>
      <c r="E3362" s="117">
        <v>110.9</v>
      </c>
    </row>
    <row r="3363" spans="1:5" x14ac:dyDescent="0.25">
      <c r="A3363" s="119" t="s">
        <v>3957</v>
      </c>
      <c r="B3363" s="119" t="s">
        <v>10215</v>
      </c>
      <c r="C3363" s="119" t="s">
        <v>66</v>
      </c>
      <c r="D3363" t="s">
        <v>6760</v>
      </c>
      <c r="E3363" s="117">
        <v>90.67</v>
      </c>
    </row>
    <row r="3364" spans="1:5" x14ac:dyDescent="0.25">
      <c r="A3364" s="119" t="s">
        <v>3958</v>
      </c>
      <c r="B3364" s="119" t="s">
        <v>3959</v>
      </c>
      <c r="C3364" s="119" t="s">
        <v>66</v>
      </c>
      <c r="D3364" t="s">
        <v>45</v>
      </c>
      <c r="E3364" s="117">
        <v>165.17</v>
      </c>
    </row>
    <row r="3365" spans="1:5" x14ac:dyDescent="0.25">
      <c r="A3365" s="119" t="s">
        <v>3960</v>
      </c>
      <c r="B3365" s="119" t="s">
        <v>7600</v>
      </c>
      <c r="C3365" s="119" t="s">
        <v>66</v>
      </c>
      <c r="D3365" t="s">
        <v>51</v>
      </c>
      <c r="E3365" s="117">
        <v>16.59</v>
      </c>
    </row>
    <row r="3366" spans="1:5" x14ac:dyDescent="0.25">
      <c r="A3366" s="119" t="s">
        <v>3961</v>
      </c>
      <c r="B3366" s="119" t="s">
        <v>3962</v>
      </c>
      <c r="C3366" s="119" t="s">
        <v>66</v>
      </c>
      <c r="D3366" t="s">
        <v>51</v>
      </c>
      <c r="E3366" s="117">
        <v>5.99</v>
      </c>
    </row>
    <row r="3367" spans="1:5" x14ac:dyDescent="0.25">
      <c r="A3367" s="119" t="s">
        <v>3963</v>
      </c>
      <c r="B3367" s="119" t="s">
        <v>3964</v>
      </c>
      <c r="C3367" s="119" t="s">
        <v>66</v>
      </c>
      <c r="D3367" t="s">
        <v>51</v>
      </c>
      <c r="E3367" s="117">
        <v>8.4</v>
      </c>
    </row>
    <row r="3368" spans="1:5" x14ac:dyDescent="0.25">
      <c r="A3368" s="119" t="s">
        <v>3965</v>
      </c>
      <c r="B3368" s="119" t="s">
        <v>3966</v>
      </c>
      <c r="C3368" s="119" t="s">
        <v>66</v>
      </c>
      <c r="D3368" t="s">
        <v>51</v>
      </c>
      <c r="E3368" s="117">
        <v>7.14</v>
      </c>
    </row>
    <row r="3369" spans="1:5" x14ac:dyDescent="0.25">
      <c r="A3369" s="119" t="s">
        <v>3967</v>
      </c>
      <c r="B3369" s="119" t="s">
        <v>3968</v>
      </c>
      <c r="C3369" s="119" t="s">
        <v>66</v>
      </c>
      <c r="D3369" t="s">
        <v>49</v>
      </c>
      <c r="E3369" s="117">
        <v>9.4499999999999993</v>
      </c>
    </row>
    <row r="3370" spans="1:5" x14ac:dyDescent="0.25">
      <c r="A3370" s="119" t="s">
        <v>3969</v>
      </c>
      <c r="B3370" s="119" t="s">
        <v>10216</v>
      </c>
      <c r="C3370" s="119" t="s">
        <v>66</v>
      </c>
      <c r="D3370" t="s">
        <v>51</v>
      </c>
      <c r="E3370" s="117">
        <v>42.53</v>
      </c>
    </row>
    <row r="3371" spans="1:5" x14ac:dyDescent="0.25">
      <c r="A3371" s="119" t="s">
        <v>3970</v>
      </c>
      <c r="B3371" s="119" t="s">
        <v>10217</v>
      </c>
      <c r="C3371" s="119" t="s">
        <v>66</v>
      </c>
      <c r="D3371" t="s">
        <v>6760</v>
      </c>
      <c r="E3371" s="117">
        <v>18.899999999999999</v>
      </c>
    </row>
    <row r="3372" spans="1:5" x14ac:dyDescent="0.25">
      <c r="A3372" s="119" t="s">
        <v>3971</v>
      </c>
      <c r="B3372" s="119" t="s">
        <v>10218</v>
      </c>
      <c r="C3372" s="119" t="s">
        <v>66</v>
      </c>
      <c r="D3372" t="s">
        <v>6759</v>
      </c>
      <c r="E3372" s="117">
        <v>78.650000000000006</v>
      </c>
    </row>
    <row r="3373" spans="1:5" x14ac:dyDescent="0.25">
      <c r="A3373" s="119" t="s">
        <v>3972</v>
      </c>
      <c r="B3373" s="119" t="s">
        <v>3973</v>
      </c>
      <c r="C3373" s="119" t="s">
        <v>66</v>
      </c>
      <c r="D3373" t="s">
        <v>49</v>
      </c>
      <c r="E3373" s="117">
        <v>129.26</v>
      </c>
    </row>
    <row r="3374" spans="1:5" x14ac:dyDescent="0.25">
      <c r="A3374" s="119" t="s">
        <v>3974</v>
      </c>
      <c r="B3374" s="119" t="s">
        <v>10219</v>
      </c>
      <c r="C3374" s="119" t="s">
        <v>66</v>
      </c>
      <c r="D3374" t="s">
        <v>45</v>
      </c>
      <c r="E3374" s="117">
        <v>182.91</v>
      </c>
    </row>
    <row r="3375" spans="1:5" x14ac:dyDescent="0.25">
      <c r="A3375" s="119" t="s">
        <v>7601</v>
      </c>
      <c r="B3375" s="119" t="s">
        <v>11802</v>
      </c>
      <c r="C3375" s="119" t="s">
        <v>66</v>
      </c>
      <c r="D3375" t="s">
        <v>51</v>
      </c>
      <c r="E3375" s="117">
        <v>9.2899999999999991</v>
      </c>
    </row>
    <row r="3376" spans="1:5" x14ac:dyDescent="0.25">
      <c r="A3376" s="119" t="s">
        <v>7602</v>
      </c>
      <c r="B3376" s="119" t="s">
        <v>11803</v>
      </c>
      <c r="C3376" s="119" t="s">
        <v>66</v>
      </c>
      <c r="D3376" t="s">
        <v>51</v>
      </c>
      <c r="E3376" s="117">
        <v>10.23</v>
      </c>
    </row>
    <row r="3377" spans="1:5" x14ac:dyDescent="0.25">
      <c r="A3377" s="119" t="s">
        <v>7603</v>
      </c>
      <c r="B3377" s="119" t="s">
        <v>11804</v>
      </c>
      <c r="C3377" s="119" t="s">
        <v>66</v>
      </c>
      <c r="D3377" t="s">
        <v>51</v>
      </c>
      <c r="E3377" s="117">
        <v>11.17</v>
      </c>
    </row>
    <row r="3378" spans="1:5" x14ac:dyDescent="0.25">
      <c r="A3378" s="119" t="s">
        <v>3975</v>
      </c>
      <c r="B3378" s="119" t="s">
        <v>10220</v>
      </c>
      <c r="C3378" s="119" t="s">
        <v>66</v>
      </c>
      <c r="D3378" t="s">
        <v>51</v>
      </c>
      <c r="E3378" s="117">
        <v>16.899999999999999</v>
      </c>
    </row>
    <row r="3379" spans="1:5" x14ac:dyDescent="0.25">
      <c r="A3379" s="119" t="s">
        <v>3976</v>
      </c>
      <c r="B3379" s="119" t="s">
        <v>10221</v>
      </c>
      <c r="C3379" s="119" t="s">
        <v>66</v>
      </c>
      <c r="D3379" t="s">
        <v>6759</v>
      </c>
      <c r="E3379" s="117">
        <v>15.44</v>
      </c>
    </row>
    <row r="3380" spans="1:5" x14ac:dyDescent="0.25">
      <c r="A3380" s="119" t="s">
        <v>3977</v>
      </c>
      <c r="B3380" s="119" t="s">
        <v>10222</v>
      </c>
      <c r="C3380" s="119" t="s">
        <v>66</v>
      </c>
      <c r="D3380" t="s">
        <v>51</v>
      </c>
      <c r="E3380" s="117">
        <v>36.75</v>
      </c>
    </row>
    <row r="3381" spans="1:5" x14ac:dyDescent="0.25">
      <c r="A3381" s="119" t="s">
        <v>7604</v>
      </c>
      <c r="B3381" s="119" t="s">
        <v>11624</v>
      </c>
      <c r="C3381" s="119" t="s">
        <v>66</v>
      </c>
      <c r="D3381" t="s">
        <v>45</v>
      </c>
      <c r="E3381" s="117">
        <v>81.569999999999993</v>
      </c>
    </row>
    <row r="3382" spans="1:5" x14ac:dyDescent="0.25">
      <c r="A3382" s="119" t="s">
        <v>3978</v>
      </c>
      <c r="B3382" s="119" t="s">
        <v>3979</v>
      </c>
      <c r="C3382" s="119" t="s">
        <v>66</v>
      </c>
      <c r="D3382" t="s">
        <v>45</v>
      </c>
      <c r="E3382" s="117">
        <v>70.040000000000006</v>
      </c>
    </row>
    <row r="3383" spans="1:5" x14ac:dyDescent="0.25">
      <c r="A3383" s="119" t="s">
        <v>3980</v>
      </c>
      <c r="B3383" s="119" t="s">
        <v>3981</v>
      </c>
      <c r="C3383" s="119" t="s">
        <v>66</v>
      </c>
      <c r="D3383" t="s">
        <v>45</v>
      </c>
      <c r="E3383" s="117">
        <v>42</v>
      </c>
    </row>
    <row r="3384" spans="1:5" x14ac:dyDescent="0.25">
      <c r="A3384" s="119" t="s">
        <v>3982</v>
      </c>
      <c r="B3384" s="119" t="s">
        <v>10223</v>
      </c>
      <c r="C3384" s="119" t="s">
        <v>66</v>
      </c>
      <c r="D3384" t="s">
        <v>51</v>
      </c>
      <c r="E3384" s="117">
        <v>3.68</v>
      </c>
    </row>
    <row r="3385" spans="1:5" x14ac:dyDescent="0.25">
      <c r="A3385" s="119" t="s">
        <v>3983</v>
      </c>
      <c r="B3385" s="119" t="s">
        <v>10224</v>
      </c>
      <c r="C3385" s="119" t="s">
        <v>66</v>
      </c>
      <c r="D3385" t="s">
        <v>51</v>
      </c>
      <c r="E3385" s="117">
        <v>7.35</v>
      </c>
    </row>
    <row r="3386" spans="1:5" x14ac:dyDescent="0.25">
      <c r="A3386" s="119" t="s">
        <v>3984</v>
      </c>
      <c r="B3386" s="119" t="s">
        <v>10225</v>
      </c>
      <c r="C3386" s="119" t="s">
        <v>66</v>
      </c>
      <c r="D3386" t="s">
        <v>51</v>
      </c>
      <c r="E3386" s="117">
        <v>33.6</v>
      </c>
    </row>
    <row r="3387" spans="1:5" x14ac:dyDescent="0.25">
      <c r="A3387" s="119" t="s">
        <v>3985</v>
      </c>
      <c r="B3387" s="119" t="s">
        <v>10226</v>
      </c>
      <c r="C3387" s="119" t="s">
        <v>66</v>
      </c>
      <c r="D3387" t="s">
        <v>51</v>
      </c>
      <c r="E3387" s="117">
        <v>8.4</v>
      </c>
    </row>
    <row r="3388" spans="1:5" x14ac:dyDescent="0.25">
      <c r="A3388" s="119" t="s">
        <v>3986</v>
      </c>
      <c r="B3388" s="119" t="s">
        <v>6504</v>
      </c>
      <c r="C3388" s="119" t="s">
        <v>66</v>
      </c>
      <c r="D3388" t="s">
        <v>51</v>
      </c>
      <c r="E3388" s="117">
        <v>5.25</v>
      </c>
    </row>
    <row r="3389" spans="1:5" x14ac:dyDescent="0.25">
      <c r="A3389" s="119" t="s">
        <v>3987</v>
      </c>
      <c r="B3389" s="119" t="s">
        <v>10227</v>
      </c>
      <c r="C3389" s="119" t="s">
        <v>66</v>
      </c>
      <c r="D3389" t="s">
        <v>45</v>
      </c>
      <c r="E3389" s="117">
        <v>16</v>
      </c>
    </row>
    <row r="3390" spans="1:5" x14ac:dyDescent="0.25">
      <c r="A3390" s="119" t="s">
        <v>3988</v>
      </c>
      <c r="B3390" s="119" t="s">
        <v>10228</v>
      </c>
      <c r="C3390" s="119" t="s">
        <v>66</v>
      </c>
      <c r="D3390" t="s">
        <v>51</v>
      </c>
      <c r="E3390" s="117">
        <v>11.55</v>
      </c>
    </row>
    <row r="3391" spans="1:5" x14ac:dyDescent="0.25">
      <c r="A3391" s="119" t="s">
        <v>3989</v>
      </c>
      <c r="B3391" s="119" t="s">
        <v>10229</v>
      </c>
      <c r="C3391" s="119" t="s">
        <v>66</v>
      </c>
      <c r="D3391" t="s">
        <v>6759</v>
      </c>
      <c r="E3391" s="117">
        <v>16.8</v>
      </c>
    </row>
    <row r="3392" spans="1:5" x14ac:dyDescent="0.25">
      <c r="A3392" s="119" t="s">
        <v>3990</v>
      </c>
      <c r="B3392" s="119" t="s">
        <v>3991</v>
      </c>
      <c r="C3392" s="119" t="s">
        <v>66</v>
      </c>
      <c r="D3392" t="s">
        <v>49</v>
      </c>
      <c r="E3392" s="117">
        <v>71.400000000000006</v>
      </c>
    </row>
    <row r="3393" spans="1:5" x14ac:dyDescent="0.25">
      <c r="A3393" s="119" t="s">
        <v>3992</v>
      </c>
      <c r="B3393" s="119" t="s">
        <v>10230</v>
      </c>
      <c r="C3393" s="119" t="s">
        <v>66</v>
      </c>
      <c r="D3393" t="s">
        <v>6759</v>
      </c>
      <c r="E3393" s="117">
        <v>99.75</v>
      </c>
    </row>
    <row r="3394" spans="1:5" x14ac:dyDescent="0.25">
      <c r="A3394" s="119" t="s">
        <v>3993</v>
      </c>
      <c r="B3394" s="119" t="s">
        <v>10231</v>
      </c>
      <c r="C3394" s="119" t="s">
        <v>66</v>
      </c>
      <c r="D3394" t="s">
        <v>51</v>
      </c>
      <c r="E3394" s="117">
        <v>4.7300000000000004</v>
      </c>
    </row>
    <row r="3395" spans="1:5" x14ac:dyDescent="0.25">
      <c r="A3395" s="119" t="s">
        <v>3994</v>
      </c>
      <c r="B3395" s="119" t="s">
        <v>10232</v>
      </c>
      <c r="C3395" s="119" t="s">
        <v>66</v>
      </c>
      <c r="D3395" t="s">
        <v>51</v>
      </c>
      <c r="E3395" s="117">
        <v>7.35</v>
      </c>
    </row>
    <row r="3396" spans="1:5" x14ac:dyDescent="0.25">
      <c r="A3396" s="119" t="s">
        <v>3995</v>
      </c>
      <c r="B3396" s="119" t="s">
        <v>10233</v>
      </c>
      <c r="C3396" s="119" t="s">
        <v>66</v>
      </c>
      <c r="D3396" t="s">
        <v>51</v>
      </c>
      <c r="E3396" s="117">
        <v>59</v>
      </c>
    </row>
    <row r="3397" spans="1:5" x14ac:dyDescent="0.25">
      <c r="A3397" s="119" t="s">
        <v>3996</v>
      </c>
      <c r="B3397" s="119" t="s">
        <v>10234</v>
      </c>
      <c r="C3397" s="119" t="s">
        <v>66</v>
      </c>
      <c r="D3397" t="s">
        <v>6760</v>
      </c>
      <c r="E3397" s="117">
        <v>47.25</v>
      </c>
    </row>
    <row r="3398" spans="1:5" x14ac:dyDescent="0.25">
      <c r="A3398" s="119" t="s">
        <v>3997</v>
      </c>
      <c r="B3398" s="119" t="s">
        <v>10235</v>
      </c>
      <c r="C3398" s="119" t="s">
        <v>66</v>
      </c>
      <c r="D3398" t="s">
        <v>49</v>
      </c>
      <c r="E3398" s="117">
        <v>42</v>
      </c>
    </row>
    <row r="3399" spans="1:5" x14ac:dyDescent="0.25">
      <c r="A3399" s="119" t="s">
        <v>3998</v>
      </c>
      <c r="B3399" s="119" t="s">
        <v>6505</v>
      </c>
      <c r="C3399" s="119" t="s">
        <v>66</v>
      </c>
      <c r="D3399" t="s">
        <v>49</v>
      </c>
      <c r="E3399" s="117">
        <v>23.1</v>
      </c>
    </row>
    <row r="3400" spans="1:5" x14ac:dyDescent="0.25">
      <c r="A3400" s="119" t="s">
        <v>3999</v>
      </c>
      <c r="B3400" s="119" t="s">
        <v>6505</v>
      </c>
      <c r="C3400" s="119" t="s">
        <v>66</v>
      </c>
      <c r="D3400" t="s">
        <v>6760</v>
      </c>
      <c r="E3400" s="117">
        <v>22.05</v>
      </c>
    </row>
    <row r="3401" spans="1:5" x14ac:dyDescent="0.25">
      <c r="A3401" s="119" t="s">
        <v>4000</v>
      </c>
      <c r="B3401" s="119" t="s">
        <v>6505</v>
      </c>
      <c r="C3401" s="119" t="s">
        <v>66</v>
      </c>
      <c r="D3401" t="s">
        <v>6760</v>
      </c>
      <c r="E3401" s="117">
        <v>20.48</v>
      </c>
    </row>
    <row r="3402" spans="1:5" x14ac:dyDescent="0.25">
      <c r="A3402" s="119" t="s">
        <v>4001</v>
      </c>
      <c r="B3402" s="119" t="s">
        <v>6505</v>
      </c>
      <c r="C3402" s="119" t="s">
        <v>66</v>
      </c>
      <c r="D3402" t="s">
        <v>6760</v>
      </c>
      <c r="E3402" s="117">
        <v>20.48</v>
      </c>
    </row>
    <row r="3403" spans="1:5" x14ac:dyDescent="0.25">
      <c r="A3403" s="119" t="s">
        <v>4002</v>
      </c>
      <c r="B3403" s="119" t="s">
        <v>6505</v>
      </c>
      <c r="C3403" s="119" t="s">
        <v>66</v>
      </c>
      <c r="D3403" t="s">
        <v>49</v>
      </c>
      <c r="E3403" s="117">
        <v>23.1</v>
      </c>
    </row>
    <row r="3404" spans="1:5" x14ac:dyDescent="0.25">
      <c r="A3404" s="119" t="s">
        <v>4003</v>
      </c>
      <c r="B3404" s="119" t="s">
        <v>6350</v>
      </c>
      <c r="C3404" s="119" t="s">
        <v>66</v>
      </c>
      <c r="D3404" t="s">
        <v>51</v>
      </c>
      <c r="E3404" s="117">
        <v>9.2899999999999991</v>
      </c>
    </row>
    <row r="3405" spans="1:5" x14ac:dyDescent="0.25">
      <c r="A3405" s="119" t="s">
        <v>4004</v>
      </c>
      <c r="B3405" s="119" t="s">
        <v>6351</v>
      </c>
      <c r="C3405" s="119" t="s">
        <v>66</v>
      </c>
      <c r="D3405" t="s">
        <v>6760</v>
      </c>
      <c r="E3405" s="117">
        <v>7.98</v>
      </c>
    </row>
    <row r="3406" spans="1:5" x14ac:dyDescent="0.25">
      <c r="A3406" s="119" t="s">
        <v>4005</v>
      </c>
      <c r="B3406" s="119" t="s">
        <v>6352</v>
      </c>
      <c r="C3406" s="119" t="s">
        <v>66</v>
      </c>
      <c r="D3406" t="s">
        <v>6760</v>
      </c>
      <c r="E3406" s="117">
        <v>9.86</v>
      </c>
    </row>
    <row r="3407" spans="1:5" x14ac:dyDescent="0.25">
      <c r="A3407" s="119" t="s">
        <v>4006</v>
      </c>
      <c r="B3407" s="119" t="s">
        <v>4007</v>
      </c>
      <c r="C3407" s="119" t="s">
        <v>66</v>
      </c>
      <c r="D3407" t="s">
        <v>51</v>
      </c>
      <c r="E3407" s="117">
        <v>12.11</v>
      </c>
    </row>
    <row r="3408" spans="1:5" x14ac:dyDescent="0.25">
      <c r="A3408" s="119" t="s">
        <v>4008</v>
      </c>
      <c r="B3408" s="119" t="s">
        <v>4009</v>
      </c>
      <c r="C3408" s="119" t="s">
        <v>66</v>
      </c>
      <c r="D3408" t="s">
        <v>6760</v>
      </c>
      <c r="E3408" s="117">
        <v>10.51</v>
      </c>
    </row>
    <row r="3409" spans="1:5" x14ac:dyDescent="0.25">
      <c r="A3409" s="119" t="s">
        <v>4010</v>
      </c>
      <c r="B3409" s="119" t="s">
        <v>4011</v>
      </c>
      <c r="C3409" s="119" t="s">
        <v>66</v>
      </c>
      <c r="D3409" t="s">
        <v>6760</v>
      </c>
      <c r="E3409" s="117">
        <v>13.99</v>
      </c>
    </row>
    <row r="3410" spans="1:5" x14ac:dyDescent="0.25">
      <c r="A3410" s="119" t="s">
        <v>4012</v>
      </c>
      <c r="B3410" s="119" t="s">
        <v>4013</v>
      </c>
      <c r="C3410" s="119" t="s">
        <v>66</v>
      </c>
      <c r="D3410" t="s">
        <v>49</v>
      </c>
      <c r="E3410" s="117">
        <v>31.92</v>
      </c>
    </row>
    <row r="3411" spans="1:5" x14ac:dyDescent="0.25">
      <c r="A3411" s="119" t="s">
        <v>4014</v>
      </c>
      <c r="B3411" s="119" t="s">
        <v>4015</v>
      </c>
      <c r="C3411" s="119" t="s">
        <v>66</v>
      </c>
      <c r="D3411" t="s">
        <v>49</v>
      </c>
      <c r="E3411" s="117">
        <v>27.22</v>
      </c>
    </row>
    <row r="3412" spans="1:5" x14ac:dyDescent="0.25">
      <c r="A3412" s="119" t="s">
        <v>4016</v>
      </c>
      <c r="B3412" s="119" t="s">
        <v>4017</v>
      </c>
      <c r="C3412" s="119" t="s">
        <v>66</v>
      </c>
      <c r="D3412" t="s">
        <v>6759</v>
      </c>
      <c r="E3412" s="117">
        <v>21.59</v>
      </c>
    </row>
    <row r="3413" spans="1:5" x14ac:dyDescent="0.25">
      <c r="A3413" s="119" t="s">
        <v>4018</v>
      </c>
      <c r="B3413" s="119" t="s">
        <v>10236</v>
      </c>
      <c r="C3413" s="119" t="s">
        <v>66</v>
      </c>
      <c r="D3413" t="s">
        <v>51</v>
      </c>
      <c r="E3413" s="117">
        <v>60.92</v>
      </c>
    </row>
    <row r="3414" spans="1:5" x14ac:dyDescent="0.25">
      <c r="A3414" s="119" t="s">
        <v>4019</v>
      </c>
      <c r="B3414" s="119" t="s">
        <v>4020</v>
      </c>
      <c r="C3414" s="119" t="s">
        <v>66</v>
      </c>
      <c r="D3414" t="s">
        <v>6760</v>
      </c>
      <c r="E3414" s="117">
        <v>55</v>
      </c>
    </row>
    <row r="3415" spans="1:5" x14ac:dyDescent="0.25">
      <c r="A3415" s="119" t="s">
        <v>4021</v>
      </c>
      <c r="B3415" s="119" t="s">
        <v>4022</v>
      </c>
      <c r="C3415" s="119" t="s">
        <v>66</v>
      </c>
      <c r="D3415" t="s">
        <v>6760</v>
      </c>
      <c r="E3415" s="117">
        <v>39.43</v>
      </c>
    </row>
    <row r="3416" spans="1:5" x14ac:dyDescent="0.25">
      <c r="A3416" s="119" t="s">
        <v>4023</v>
      </c>
      <c r="B3416" s="119" t="s">
        <v>10237</v>
      </c>
      <c r="C3416" s="119" t="s">
        <v>66</v>
      </c>
      <c r="D3416" t="s">
        <v>51</v>
      </c>
      <c r="E3416" s="117">
        <v>37.46</v>
      </c>
    </row>
    <row r="3417" spans="1:5" x14ac:dyDescent="0.25">
      <c r="A3417" s="119" t="s">
        <v>4024</v>
      </c>
      <c r="B3417" s="119" t="s">
        <v>4025</v>
      </c>
      <c r="C3417" s="119" t="s">
        <v>66</v>
      </c>
      <c r="D3417" t="s">
        <v>51</v>
      </c>
      <c r="E3417" s="117">
        <v>19.95</v>
      </c>
    </row>
    <row r="3418" spans="1:5" x14ac:dyDescent="0.25">
      <c r="A3418" s="119" t="s">
        <v>4026</v>
      </c>
      <c r="B3418" s="119" t="s">
        <v>4027</v>
      </c>
      <c r="C3418" s="119" t="s">
        <v>66</v>
      </c>
      <c r="D3418" t="s">
        <v>45</v>
      </c>
      <c r="E3418" s="117">
        <v>69.900000000000006</v>
      </c>
    </row>
    <row r="3419" spans="1:5" x14ac:dyDescent="0.25">
      <c r="A3419" s="119" t="s">
        <v>4028</v>
      </c>
      <c r="B3419" s="119" t="s">
        <v>10238</v>
      </c>
      <c r="C3419" s="119" t="s">
        <v>66</v>
      </c>
      <c r="D3419" t="s">
        <v>6759</v>
      </c>
      <c r="E3419" s="117">
        <v>9999</v>
      </c>
    </row>
    <row r="3420" spans="1:5" x14ac:dyDescent="0.25">
      <c r="A3420" s="119" t="s">
        <v>4029</v>
      </c>
      <c r="B3420" s="119" t="s">
        <v>10238</v>
      </c>
      <c r="C3420" s="119" t="s">
        <v>66</v>
      </c>
      <c r="D3420" t="s">
        <v>6759</v>
      </c>
      <c r="E3420" s="117">
        <v>9999</v>
      </c>
    </row>
    <row r="3421" spans="1:5" x14ac:dyDescent="0.25">
      <c r="A3421" s="119" t="s">
        <v>4030</v>
      </c>
      <c r="B3421" s="119" t="s">
        <v>10238</v>
      </c>
      <c r="C3421" s="119" t="s">
        <v>66</v>
      </c>
      <c r="D3421" t="s">
        <v>6759</v>
      </c>
      <c r="E3421" s="117">
        <v>9999</v>
      </c>
    </row>
    <row r="3422" spans="1:5" x14ac:dyDescent="0.25">
      <c r="A3422" s="119" t="s">
        <v>4031</v>
      </c>
      <c r="B3422" s="119" t="s">
        <v>4032</v>
      </c>
      <c r="C3422" s="119" t="s">
        <v>66</v>
      </c>
      <c r="D3422" t="s">
        <v>51</v>
      </c>
      <c r="E3422" s="117">
        <v>3.9</v>
      </c>
    </row>
    <row r="3423" spans="1:5" x14ac:dyDescent="0.25">
      <c r="A3423" s="119" t="s">
        <v>4033</v>
      </c>
      <c r="B3423" s="119" t="s">
        <v>4034</v>
      </c>
      <c r="C3423" s="119" t="s">
        <v>66</v>
      </c>
      <c r="D3423" t="s">
        <v>51</v>
      </c>
      <c r="E3423" s="117">
        <v>4.4000000000000004</v>
      </c>
    </row>
    <row r="3424" spans="1:5" x14ac:dyDescent="0.25">
      <c r="A3424" s="119" t="s">
        <v>4035</v>
      </c>
      <c r="B3424" s="119" t="s">
        <v>4036</v>
      </c>
      <c r="C3424" s="119" t="s">
        <v>66</v>
      </c>
      <c r="D3424" t="s">
        <v>51</v>
      </c>
      <c r="E3424" s="117">
        <v>4.7</v>
      </c>
    </row>
    <row r="3425" spans="1:5" x14ac:dyDescent="0.25">
      <c r="A3425" s="119" t="s">
        <v>4037</v>
      </c>
      <c r="B3425" s="119" t="s">
        <v>4038</v>
      </c>
      <c r="C3425" s="119" t="s">
        <v>66</v>
      </c>
      <c r="D3425" t="s">
        <v>51</v>
      </c>
      <c r="E3425" s="117">
        <v>4.9000000000000004</v>
      </c>
    </row>
    <row r="3426" spans="1:5" x14ac:dyDescent="0.25">
      <c r="A3426" s="119" t="s">
        <v>4039</v>
      </c>
      <c r="B3426" s="119" t="s">
        <v>4040</v>
      </c>
      <c r="C3426" s="119" t="s">
        <v>66</v>
      </c>
      <c r="D3426" t="s">
        <v>51</v>
      </c>
      <c r="E3426" s="117">
        <v>6.2</v>
      </c>
    </row>
    <row r="3427" spans="1:5" x14ac:dyDescent="0.25">
      <c r="A3427" s="119" t="s">
        <v>4041</v>
      </c>
      <c r="B3427" s="119" t="s">
        <v>4042</v>
      </c>
      <c r="C3427" s="119" t="s">
        <v>66</v>
      </c>
      <c r="D3427" t="s">
        <v>51</v>
      </c>
      <c r="E3427" s="117">
        <v>7.2</v>
      </c>
    </row>
    <row r="3428" spans="1:5" x14ac:dyDescent="0.25">
      <c r="A3428" s="119" t="s">
        <v>4043</v>
      </c>
      <c r="B3428" s="119" t="s">
        <v>4044</v>
      </c>
      <c r="C3428" s="119" t="s">
        <v>66</v>
      </c>
      <c r="D3428" t="s">
        <v>51</v>
      </c>
      <c r="E3428" s="117">
        <v>5.4</v>
      </c>
    </row>
    <row r="3429" spans="1:5" x14ac:dyDescent="0.25">
      <c r="A3429" s="119" t="s">
        <v>4045</v>
      </c>
      <c r="B3429" s="119" t="s">
        <v>4046</v>
      </c>
      <c r="C3429" s="119" t="s">
        <v>66</v>
      </c>
      <c r="D3429" t="s">
        <v>51</v>
      </c>
      <c r="E3429" s="117">
        <v>6.2</v>
      </c>
    </row>
    <row r="3430" spans="1:5" x14ac:dyDescent="0.25">
      <c r="A3430" s="119" t="s">
        <v>4047</v>
      </c>
      <c r="B3430" s="119" t="s">
        <v>4048</v>
      </c>
      <c r="C3430" s="119" t="s">
        <v>66</v>
      </c>
      <c r="D3430" t="s">
        <v>51</v>
      </c>
      <c r="E3430" s="117">
        <v>6.7</v>
      </c>
    </row>
    <row r="3431" spans="1:5" x14ac:dyDescent="0.25">
      <c r="A3431" s="119" t="s">
        <v>4049</v>
      </c>
      <c r="B3431" s="119" t="s">
        <v>4050</v>
      </c>
      <c r="C3431" s="119" t="s">
        <v>66</v>
      </c>
      <c r="D3431" t="s">
        <v>51</v>
      </c>
      <c r="E3431" s="117">
        <v>7.9</v>
      </c>
    </row>
    <row r="3432" spans="1:5" x14ac:dyDescent="0.25">
      <c r="A3432" s="119" t="s">
        <v>4051</v>
      </c>
      <c r="B3432" s="119" t="s">
        <v>4052</v>
      </c>
      <c r="C3432" s="119" t="s">
        <v>66</v>
      </c>
      <c r="D3432" t="s">
        <v>51</v>
      </c>
      <c r="E3432" s="117">
        <v>10.9</v>
      </c>
    </row>
    <row r="3433" spans="1:5" x14ac:dyDescent="0.25">
      <c r="A3433" s="119" t="s">
        <v>4053</v>
      </c>
      <c r="B3433" s="119" t="s">
        <v>4054</v>
      </c>
      <c r="C3433" s="119" t="s">
        <v>66</v>
      </c>
      <c r="D3433" t="s">
        <v>51</v>
      </c>
      <c r="E3433" s="117">
        <v>17</v>
      </c>
    </row>
    <row r="3434" spans="1:5" x14ac:dyDescent="0.25">
      <c r="A3434" s="119" t="s">
        <v>4055</v>
      </c>
      <c r="B3434" s="119" t="s">
        <v>4056</v>
      </c>
      <c r="C3434" s="119" t="s">
        <v>66</v>
      </c>
      <c r="D3434" t="s">
        <v>51</v>
      </c>
      <c r="E3434" s="117">
        <v>24.9</v>
      </c>
    </row>
    <row r="3435" spans="1:5" x14ac:dyDescent="0.25">
      <c r="A3435" s="119" t="s">
        <v>4057</v>
      </c>
      <c r="B3435" s="119" t="s">
        <v>4058</v>
      </c>
      <c r="C3435" s="119" t="s">
        <v>66</v>
      </c>
      <c r="D3435" t="s">
        <v>51</v>
      </c>
      <c r="E3435" s="117">
        <v>29.8</v>
      </c>
    </row>
    <row r="3436" spans="1:5" x14ac:dyDescent="0.25">
      <c r="A3436" s="119" t="s">
        <v>8242</v>
      </c>
      <c r="B3436" s="119" t="s">
        <v>10239</v>
      </c>
      <c r="C3436" s="119" t="s">
        <v>66</v>
      </c>
      <c r="D3436" t="s">
        <v>45</v>
      </c>
      <c r="E3436" s="117">
        <v>9999</v>
      </c>
    </row>
    <row r="3437" spans="1:5" x14ac:dyDescent="0.25">
      <c r="A3437" s="119" t="s">
        <v>8243</v>
      </c>
      <c r="B3437" s="119" t="s">
        <v>8244</v>
      </c>
      <c r="C3437" s="119" t="s">
        <v>66</v>
      </c>
      <c r="D3437" t="s">
        <v>45</v>
      </c>
      <c r="E3437" s="117">
        <v>9999</v>
      </c>
    </row>
    <row r="3438" spans="1:5" x14ac:dyDescent="0.25">
      <c r="A3438" s="119" t="s">
        <v>8245</v>
      </c>
      <c r="B3438" s="119" t="s">
        <v>10240</v>
      </c>
      <c r="C3438" s="119" t="s">
        <v>66</v>
      </c>
      <c r="D3438" t="s">
        <v>45</v>
      </c>
      <c r="E3438" s="117">
        <v>9999</v>
      </c>
    </row>
    <row r="3439" spans="1:5" x14ac:dyDescent="0.25">
      <c r="A3439" s="119" t="s">
        <v>8246</v>
      </c>
      <c r="B3439" s="119" t="s">
        <v>10241</v>
      </c>
      <c r="C3439" s="119" t="s">
        <v>66</v>
      </c>
      <c r="D3439" t="s">
        <v>45</v>
      </c>
      <c r="E3439" s="117">
        <v>9999</v>
      </c>
    </row>
    <row r="3440" spans="1:5" x14ac:dyDescent="0.25">
      <c r="A3440" s="119" t="s">
        <v>8247</v>
      </c>
      <c r="B3440" s="119" t="s">
        <v>10242</v>
      </c>
      <c r="C3440" s="119" t="s">
        <v>66</v>
      </c>
      <c r="D3440" t="s">
        <v>45</v>
      </c>
      <c r="E3440" s="117">
        <v>9999</v>
      </c>
    </row>
    <row r="3441" spans="1:5" x14ac:dyDescent="0.25">
      <c r="A3441" s="119" t="s">
        <v>8248</v>
      </c>
      <c r="B3441" s="119" t="s">
        <v>10243</v>
      </c>
      <c r="C3441" s="119" t="s">
        <v>66</v>
      </c>
      <c r="D3441" t="s">
        <v>45</v>
      </c>
      <c r="E3441" s="117">
        <v>9999</v>
      </c>
    </row>
    <row r="3442" spans="1:5" x14ac:dyDescent="0.25">
      <c r="A3442" s="119" t="s">
        <v>8249</v>
      </c>
      <c r="B3442" s="119" t="s">
        <v>8250</v>
      </c>
      <c r="C3442" s="119" t="s">
        <v>66</v>
      </c>
      <c r="D3442" t="s">
        <v>45</v>
      </c>
      <c r="E3442" s="117">
        <v>9999</v>
      </c>
    </row>
    <row r="3443" spans="1:5" x14ac:dyDescent="0.25">
      <c r="A3443" s="119" t="s">
        <v>8251</v>
      </c>
      <c r="B3443" s="119" t="s">
        <v>8250</v>
      </c>
      <c r="C3443" s="119" t="s">
        <v>66</v>
      </c>
      <c r="D3443" t="s">
        <v>45</v>
      </c>
      <c r="E3443" s="117">
        <v>9999</v>
      </c>
    </row>
    <row r="3444" spans="1:5" x14ac:dyDescent="0.25">
      <c r="A3444" s="119" t="s">
        <v>8252</v>
      </c>
      <c r="B3444" s="119" t="s">
        <v>10244</v>
      </c>
      <c r="C3444" s="119" t="s">
        <v>66</v>
      </c>
      <c r="D3444" t="s">
        <v>45</v>
      </c>
      <c r="E3444" s="117">
        <v>9999</v>
      </c>
    </row>
    <row r="3445" spans="1:5" x14ac:dyDescent="0.25">
      <c r="A3445" s="119" t="s">
        <v>4059</v>
      </c>
      <c r="B3445" s="119" t="s">
        <v>4060</v>
      </c>
      <c r="C3445" s="119" t="s">
        <v>66</v>
      </c>
      <c r="D3445" t="s">
        <v>51</v>
      </c>
      <c r="E3445" s="117">
        <v>19.95</v>
      </c>
    </row>
    <row r="3446" spans="1:5" x14ac:dyDescent="0.25">
      <c r="A3446" s="119" t="s">
        <v>4061</v>
      </c>
      <c r="B3446" s="119" t="s">
        <v>4062</v>
      </c>
      <c r="C3446" s="119" t="s">
        <v>66</v>
      </c>
      <c r="D3446" t="s">
        <v>51</v>
      </c>
      <c r="E3446" s="117">
        <v>15.5</v>
      </c>
    </row>
    <row r="3447" spans="1:5" x14ac:dyDescent="0.25">
      <c r="A3447" s="119" t="s">
        <v>4063</v>
      </c>
      <c r="B3447" s="119" t="s">
        <v>4064</v>
      </c>
      <c r="C3447" s="119" t="s">
        <v>66</v>
      </c>
      <c r="D3447" t="s">
        <v>51</v>
      </c>
      <c r="E3447" s="117">
        <v>39.799999999999997</v>
      </c>
    </row>
    <row r="3448" spans="1:5" x14ac:dyDescent="0.25">
      <c r="A3448" s="119" t="s">
        <v>4065</v>
      </c>
      <c r="B3448" s="119" t="s">
        <v>10245</v>
      </c>
      <c r="C3448" s="119" t="s">
        <v>66</v>
      </c>
      <c r="D3448" t="s">
        <v>51</v>
      </c>
      <c r="E3448" s="117">
        <v>29.5</v>
      </c>
    </row>
    <row r="3449" spans="1:5" x14ac:dyDescent="0.25">
      <c r="A3449" s="119" t="s">
        <v>4066</v>
      </c>
      <c r="B3449" s="119" t="s">
        <v>10246</v>
      </c>
      <c r="C3449" s="119" t="s">
        <v>66</v>
      </c>
      <c r="D3449" t="s">
        <v>51</v>
      </c>
      <c r="E3449" s="117">
        <v>44.5</v>
      </c>
    </row>
    <row r="3450" spans="1:5" x14ac:dyDescent="0.25">
      <c r="A3450" s="119" t="s">
        <v>4067</v>
      </c>
      <c r="B3450" s="119" t="s">
        <v>4068</v>
      </c>
      <c r="C3450" s="119" t="s">
        <v>66</v>
      </c>
      <c r="D3450" t="s">
        <v>51</v>
      </c>
      <c r="E3450" s="117">
        <v>32.5</v>
      </c>
    </row>
    <row r="3451" spans="1:5" x14ac:dyDescent="0.25">
      <c r="A3451" s="119" t="s">
        <v>4069</v>
      </c>
      <c r="B3451" s="119" t="s">
        <v>7605</v>
      </c>
      <c r="C3451" s="119" t="s">
        <v>66</v>
      </c>
      <c r="D3451" t="s">
        <v>51</v>
      </c>
      <c r="E3451" s="117">
        <v>19.899999999999999</v>
      </c>
    </row>
    <row r="3452" spans="1:5" x14ac:dyDescent="0.25">
      <c r="A3452" s="119" t="s">
        <v>4070</v>
      </c>
      <c r="B3452" s="119" t="s">
        <v>4071</v>
      </c>
      <c r="C3452" s="119" t="s">
        <v>66</v>
      </c>
      <c r="D3452" t="s">
        <v>51</v>
      </c>
      <c r="E3452" s="117">
        <v>11.73</v>
      </c>
    </row>
    <row r="3453" spans="1:5" x14ac:dyDescent="0.25">
      <c r="A3453" s="119" t="s">
        <v>4072</v>
      </c>
      <c r="B3453" s="119" t="s">
        <v>4073</v>
      </c>
      <c r="C3453" s="119" t="s">
        <v>66</v>
      </c>
      <c r="D3453" t="s">
        <v>51</v>
      </c>
      <c r="E3453" s="117">
        <v>13.99</v>
      </c>
    </row>
    <row r="3454" spans="1:5" x14ac:dyDescent="0.25">
      <c r="A3454" s="119" t="s">
        <v>4074</v>
      </c>
      <c r="B3454" s="119" t="s">
        <v>4075</v>
      </c>
      <c r="C3454" s="119" t="s">
        <v>66</v>
      </c>
      <c r="D3454" t="s">
        <v>51</v>
      </c>
      <c r="E3454" s="117">
        <v>15.86</v>
      </c>
    </row>
    <row r="3455" spans="1:5" x14ac:dyDescent="0.25">
      <c r="A3455" s="119" t="s">
        <v>4076</v>
      </c>
      <c r="B3455" s="119" t="s">
        <v>10247</v>
      </c>
      <c r="C3455" s="119" t="s">
        <v>66</v>
      </c>
      <c r="D3455" t="s">
        <v>51</v>
      </c>
      <c r="E3455" s="117">
        <v>18.68</v>
      </c>
    </row>
    <row r="3456" spans="1:5" x14ac:dyDescent="0.25">
      <c r="A3456" s="119" t="s">
        <v>4077</v>
      </c>
      <c r="B3456" s="119" t="s">
        <v>6302</v>
      </c>
      <c r="C3456" s="119" t="s">
        <v>66</v>
      </c>
      <c r="D3456" t="s">
        <v>6760</v>
      </c>
      <c r="E3456" s="117">
        <v>42.9</v>
      </c>
    </row>
    <row r="3457" spans="1:5" x14ac:dyDescent="0.25">
      <c r="A3457" s="119" t="s">
        <v>4078</v>
      </c>
      <c r="B3457" s="119" t="s">
        <v>4079</v>
      </c>
      <c r="C3457" s="119" t="s">
        <v>66</v>
      </c>
      <c r="D3457" t="s">
        <v>51</v>
      </c>
      <c r="E3457" s="117">
        <v>74.900000000000006</v>
      </c>
    </row>
    <row r="3458" spans="1:5" x14ac:dyDescent="0.25">
      <c r="A3458" s="119" t="s">
        <v>7606</v>
      </c>
      <c r="B3458" s="119" t="s">
        <v>11805</v>
      </c>
      <c r="C3458" s="119" t="s">
        <v>66</v>
      </c>
      <c r="D3458" t="s">
        <v>6760</v>
      </c>
      <c r="E3458" s="117">
        <v>32.86</v>
      </c>
    </row>
    <row r="3459" spans="1:5" x14ac:dyDescent="0.25">
      <c r="A3459" s="119" t="s">
        <v>7607</v>
      </c>
      <c r="B3459" s="119" t="s">
        <v>11806</v>
      </c>
      <c r="C3459" s="119" t="s">
        <v>66</v>
      </c>
      <c r="D3459" t="s">
        <v>6760</v>
      </c>
      <c r="E3459" s="117">
        <v>32.86</v>
      </c>
    </row>
    <row r="3460" spans="1:5" x14ac:dyDescent="0.25">
      <c r="A3460" s="119" t="s">
        <v>7608</v>
      </c>
      <c r="B3460" s="119" t="s">
        <v>11807</v>
      </c>
      <c r="C3460" s="119" t="s">
        <v>66</v>
      </c>
      <c r="D3460" t="s">
        <v>51</v>
      </c>
      <c r="E3460" s="117">
        <v>32.86</v>
      </c>
    </row>
    <row r="3461" spans="1:5" x14ac:dyDescent="0.25">
      <c r="A3461" s="119" t="s">
        <v>7609</v>
      </c>
      <c r="B3461" s="119" t="s">
        <v>11808</v>
      </c>
      <c r="C3461" s="119" t="s">
        <v>66</v>
      </c>
      <c r="D3461" t="s">
        <v>51</v>
      </c>
      <c r="E3461" s="117">
        <v>32.86</v>
      </c>
    </row>
    <row r="3462" spans="1:5" x14ac:dyDescent="0.25">
      <c r="A3462" s="119" t="s">
        <v>7610</v>
      </c>
      <c r="B3462" s="119" t="s">
        <v>11809</v>
      </c>
      <c r="C3462" s="119" t="s">
        <v>66</v>
      </c>
      <c r="D3462" t="s">
        <v>6760</v>
      </c>
      <c r="E3462" s="117">
        <v>32.86</v>
      </c>
    </row>
    <row r="3463" spans="1:5" x14ac:dyDescent="0.25">
      <c r="A3463" s="119" t="s">
        <v>7611</v>
      </c>
      <c r="B3463" s="119" t="s">
        <v>11810</v>
      </c>
      <c r="C3463" s="119" t="s">
        <v>66</v>
      </c>
      <c r="D3463" t="s">
        <v>6760</v>
      </c>
      <c r="E3463" s="117">
        <v>51.63</v>
      </c>
    </row>
    <row r="3464" spans="1:5" x14ac:dyDescent="0.25">
      <c r="A3464" s="119" t="s">
        <v>7612</v>
      </c>
      <c r="B3464" s="119" t="s">
        <v>11811</v>
      </c>
      <c r="C3464" s="119" t="s">
        <v>66</v>
      </c>
      <c r="D3464" t="s">
        <v>6760</v>
      </c>
      <c r="E3464" s="117">
        <v>51.63</v>
      </c>
    </row>
    <row r="3465" spans="1:5" x14ac:dyDescent="0.25">
      <c r="A3465" s="119" t="s">
        <v>7613</v>
      </c>
      <c r="B3465" s="119" t="s">
        <v>11812</v>
      </c>
      <c r="C3465" s="119" t="s">
        <v>66</v>
      </c>
      <c r="D3465" t="s">
        <v>51</v>
      </c>
      <c r="E3465" s="117">
        <v>51.63</v>
      </c>
    </row>
    <row r="3466" spans="1:5" x14ac:dyDescent="0.25">
      <c r="A3466" s="119" t="s">
        <v>7614</v>
      </c>
      <c r="B3466" s="119" t="s">
        <v>11813</v>
      </c>
      <c r="C3466" s="119" t="s">
        <v>66</v>
      </c>
      <c r="D3466" t="s">
        <v>51</v>
      </c>
      <c r="E3466" s="117">
        <v>51.63</v>
      </c>
    </row>
    <row r="3467" spans="1:5" x14ac:dyDescent="0.25">
      <c r="A3467" s="119" t="s">
        <v>7615</v>
      </c>
      <c r="B3467" s="119" t="s">
        <v>11814</v>
      </c>
      <c r="C3467" s="119" t="s">
        <v>66</v>
      </c>
      <c r="D3467" t="s">
        <v>51</v>
      </c>
      <c r="E3467" s="117">
        <v>51.63</v>
      </c>
    </row>
    <row r="3468" spans="1:5" x14ac:dyDescent="0.25">
      <c r="A3468" s="119" t="s">
        <v>7616</v>
      </c>
      <c r="B3468" s="119" t="s">
        <v>7617</v>
      </c>
      <c r="C3468" s="119" t="s">
        <v>66</v>
      </c>
      <c r="D3468" t="s">
        <v>6760</v>
      </c>
      <c r="E3468" s="117">
        <v>43.09</v>
      </c>
    </row>
    <row r="3469" spans="1:5" x14ac:dyDescent="0.25">
      <c r="A3469" s="119" t="s">
        <v>7618</v>
      </c>
      <c r="B3469" s="119" t="s">
        <v>7619</v>
      </c>
      <c r="C3469" s="119" t="s">
        <v>66</v>
      </c>
      <c r="D3469" t="s">
        <v>6760</v>
      </c>
      <c r="E3469" s="117">
        <v>43.09</v>
      </c>
    </row>
    <row r="3470" spans="1:5" x14ac:dyDescent="0.25">
      <c r="A3470" s="119" t="s">
        <v>7620</v>
      </c>
      <c r="B3470" s="119" t="s">
        <v>7621</v>
      </c>
      <c r="C3470" s="119" t="s">
        <v>66</v>
      </c>
      <c r="D3470" t="s">
        <v>6760</v>
      </c>
      <c r="E3470" s="117">
        <v>43.09</v>
      </c>
    </row>
    <row r="3471" spans="1:5" x14ac:dyDescent="0.25">
      <c r="A3471" s="119" t="s">
        <v>7622</v>
      </c>
      <c r="B3471" s="119" t="s">
        <v>7623</v>
      </c>
      <c r="C3471" s="119" t="s">
        <v>66</v>
      </c>
      <c r="D3471" t="s">
        <v>6760</v>
      </c>
      <c r="E3471" s="117">
        <v>43.09</v>
      </c>
    </row>
    <row r="3472" spans="1:5" x14ac:dyDescent="0.25">
      <c r="A3472" s="119" t="s">
        <v>4080</v>
      </c>
      <c r="B3472" s="119" t="s">
        <v>6767</v>
      </c>
      <c r="C3472" s="119" t="s">
        <v>66</v>
      </c>
      <c r="D3472" t="s">
        <v>51</v>
      </c>
      <c r="E3472" s="117">
        <v>9.9</v>
      </c>
    </row>
    <row r="3473" spans="1:5" x14ac:dyDescent="0.25">
      <c r="A3473" s="119" t="s">
        <v>4081</v>
      </c>
      <c r="B3473" s="119" t="s">
        <v>10248</v>
      </c>
      <c r="C3473" s="119" t="s">
        <v>66</v>
      </c>
      <c r="D3473" t="s">
        <v>51</v>
      </c>
      <c r="E3473" s="117">
        <v>15.49</v>
      </c>
    </row>
    <row r="3474" spans="1:5" x14ac:dyDescent="0.25">
      <c r="A3474" s="119" t="s">
        <v>4082</v>
      </c>
      <c r="B3474" s="119" t="s">
        <v>6768</v>
      </c>
      <c r="C3474" s="119" t="s">
        <v>66</v>
      </c>
      <c r="D3474" t="s">
        <v>49</v>
      </c>
      <c r="E3474" s="117">
        <v>41.9</v>
      </c>
    </row>
    <row r="3475" spans="1:5" x14ac:dyDescent="0.25">
      <c r="A3475" s="119" t="s">
        <v>4083</v>
      </c>
      <c r="B3475" s="119" t="s">
        <v>6769</v>
      </c>
      <c r="C3475" s="119" t="s">
        <v>66</v>
      </c>
      <c r="D3475" t="s">
        <v>6760</v>
      </c>
      <c r="E3475" s="117">
        <v>44.9</v>
      </c>
    </row>
    <row r="3476" spans="1:5" x14ac:dyDescent="0.25">
      <c r="A3476" s="119" t="s">
        <v>6325</v>
      </c>
      <c r="B3476" s="119" t="s">
        <v>7624</v>
      </c>
      <c r="C3476" s="119" t="s">
        <v>66</v>
      </c>
      <c r="D3476" t="s">
        <v>49</v>
      </c>
      <c r="E3476" s="117">
        <v>56.23</v>
      </c>
    </row>
    <row r="3477" spans="1:5" x14ac:dyDescent="0.25">
      <c r="A3477" s="119" t="s">
        <v>6326</v>
      </c>
      <c r="B3477" s="119" t="s">
        <v>7625</v>
      </c>
      <c r="C3477" s="119" t="s">
        <v>66</v>
      </c>
      <c r="D3477" t="s">
        <v>49</v>
      </c>
      <c r="E3477" s="117">
        <v>60.92</v>
      </c>
    </row>
    <row r="3478" spans="1:5" x14ac:dyDescent="0.25">
      <c r="A3478" s="119" t="s">
        <v>6327</v>
      </c>
      <c r="B3478" s="119" t="s">
        <v>7626</v>
      </c>
      <c r="C3478" s="119" t="s">
        <v>66</v>
      </c>
      <c r="D3478" t="s">
        <v>49</v>
      </c>
      <c r="E3478" s="117">
        <v>70.31</v>
      </c>
    </row>
    <row r="3479" spans="1:5" x14ac:dyDescent="0.25">
      <c r="A3479" s="119" t="s">
        <v>6382</v>
      </c>
      <c r="B3479" s="119" t="s">
        <v>7627</v>
      </c>
      <c r="C3479" s="119" t="s">
        <v>66</v>
      </c>
      <c r="D3479" t="s">
        <v>51</v>
      </c>
      <c r="E3479" s="117">
        <v>1.96</v>
      </c>
    </row>
    <row r="3480" spans="1:5" x14ac:dyDescent="0.25">
      <c r="A3480" s="119" t="s">
        <v>6383</v>
      </c>
      <c r="B3480" s="119" t="s">
        <v>7628</v>
      </c>
      <c r="C3480" s="119" t="s">
        <v>66</v>
      </c>
      <c r="D3480" t="s">
        <v>51</v>
      </c>
      <c r="E3480" s="117">
        <v>2.35</v>
      </c>
    </row>
    <row r="3481" spans="1:5" x14ac:dyDescent="0.25">
      <c r="A3481" s="119" t="s">
        <v>6384</v>
      </c>
      <c r="B3481" s="119" t="s">
        <v>7629</v>
      </c>
      <c r="C3481" s="119" t="s">
        <v>66</v>
      </c>
      <c r="D3481" t="s">
        <v>51</v>
      </c>
      <c r="E3481" s="117">
        <v>3.66</v>
      </c>
    </row>
    <row r="3482" spans="1:5" x14ac:dyDescent="0.25">
      <c r="A3482" s="119" t="s">
        <v>6385</v>
      </c>
      <c r="B3482" s="119" t="s">
        <v>7630</v>
      </c>
      <c r="C3482" s="119" t="s">
        <v>66</v>
      </c>
      <c r="D3482" t="s">
        <v>51</v>
      </c>
      <c r="E3482" s="117">
        <v>5.54</v>
      </c>
    </row>
    <row r="3483" spans="1:5" x14ac:dyDescent="0.25">
      <c r="A3483" s="119" t="s">
        <v>6376</v>
      </c>
      <c r="B3483" s="119" t="s">
        <v>6770</v>
      </c>
      <c r="C3483" s="119" t="s">
        <v>66</v>
      </c>
      <c r="D3483" t="s">
        <v>6760</v>
      </c>
      <c r="E3483" s="117">
        <v>12.9</v>
      </c>
    </row>
    <row r="3484" spans="1:5" x14ac:dyDescent="0.25">
      <c r="A3484" s="119" t="s">
        <v>6377</v>
      </c>
      <c r="B3484" s="119" t="s">
        <v>6771</v>
      </c>
      <c r="C3484" s="119" t="s">
        <v>66</v>
      </c>
      <c r="D3484" t="s">
        <v>49</v>
      </c>
      <c r="E3484" s="117">
        <v>16.899999999999999</v>
      </c>
    </row>
    <row r="3485" spans="1:5" x14ac:dyDescent="0.25">
      <c r="A3485" s="119" t="s">
        <v>6378</v>
      </c>
      <c r="B3485" s="119" t="s">
        <v>6772</v>
      </c>
      <c r="C3485" s="119" t="s">
        <v>66</v>
      </c>
      <c r="D3485" t="s">
        <v>51</v>
      </c>
      <c r="E3485" s="117">
        <v>12.9</v>
      </c>
    </row>
    <row r="3486" spans="1:5" x14ac:dyDescent="0.25">
      <c r="A3486" s="119" t="s">
        <v>6379</v>
      </c>
      <c r="B3486" s="119" t="s">
        <v>6773</v>
      </c>
      <c r="C3486" s="119" t="s">
        <v>66</v>
      </c>
      <c r="D3486" t="s">
        <v>51</v>
      </c>
      <c r="E3486" s="117">
        <v>16.899999999999999</v>
      </c>
    </row>
    <row r="3487" spans="1:5" x14ac:dyDescent="0.25">
      <c r="A3487" s="119" t="s">
        <v>6337</v>
      </c>
      <c r="B3487" s="119" t="s">
        <v>10249</v>
      </c>
      <c r="C3487" s="119" t="s">
        <v>66</v>
      </c>
      <c r="D3487" t="s">
        <v>6760</v>
      </c>
      <c r="E3487" s="117">
        <v>56.23</v>
      </c>
    </row>
    <row r="3488" spans="1:5" x14ac:dyDescent="0.25">
      <c r="A3488" s="119" t="s">
        <v>6338</v>
      </c>
      <c r="B3488" s="119" t="s">
        <v>7631</v>
      </c>
      <c r="C3488" s="119" t="s">
        <v>66</v>
      </c>
      <c r="D3488" t="s">
        <v>49</v>
      </c>
      <c r="E3488" s="117">
        <v>70.39</v>
      </c>
    </row>
    <row r="3489" spans="1:5" x14ac:dyDescent="0.25">
      <c r="A3489" s="119" t="s">
        <v>6339</v>
      </c>
      <c r="B3489" s="119" t="s">
        <v>10250</v>
      </c>
      <c r="C3489" s="119" t="s">
        <v>66</v>
      </c>
      <c r="D3489" t="s">
        <v>49</v>
      </c>
      <c r="E3489" s="117">
        <v>37.46</v>
      </c>
    </row>
    <row r="3490" spans="1:5" x14ac:dyDescent="0.25">
      <c r="A3490" s="119" t="s">
        <v>6340</v>
      </c>
      <c r="B3490" s="119" t="s">
        <v>10251</v>
      </c>
      <c r="C3490" s="119" t="s">
        <v>66</v>
      </c>
      <c r="D3490" t="s">
        <v>49</v>
      </c>
      <c r="E3490" s="117">
        <v>38.39</v>
      </c>
    </row>
    <row r="3491" spans="1:5" x14ac:dyDescent="0.25">
      <c r="A3491" s="119" t="s">
        <v>6293</v>
      </c>
      <c r="B3491" s="119" t="s">
        <v>10252</v>
      </c>
      <c r="C3491" s="119" t="s">
        <v>66</v>
      </c>
      <c r="D3491" t="s">
        <v>45</v>
      </c>
      <c r="E3491" s="117">
        <v>0</v>
      </c>
    </row>
    <row r="3492" spans="1:5" x14ac:dyDescent="0.25">
      <c r="A3492" s="119" t="s">
        <v>6294</v>
      </c>
      <c r="B3492" s="119" t="s">
        <v>10253</v>
      </c>
      <c r="C3492" s="119" t="s">
        <v>66</v>
      </c>
      <c r="D3492" t="s">
        <v>51</v>
      </c>
      <c r="E3492" s="117">
        <v>104.27</v>
      </c>
    </row>
    <row r="3493" spans="1:5" x14ac:dyDescent="0.25">
      <c r="A3493" s="119" t="s">
        <v>6295</v>
      </c>
      <c r="B3493" s="119" t="s">
        <v>11815</v>
      </c>
      <c r="C3493" s="119" t="s">
        <v>66</v>
      </c>
      <c r="D3493" t="s">
        <v>6760</v>
      </c>
      <c r="E3493" s="117">
        <v>139</v>
      </c>
    </row>
    <row r="3494" spans="1:5" x14ac:dyDescent="0.25">
      <c r="A3494" s="119" t="s">
        <v>6296</v>
      </c>
      <c r="B3494" s="119" t="s">
        <v>10254</v>
      </c>
      <c r="C3494" s="119" t="s">
        <v>66</v>
      </c>
      <c r="D3494" t="s">
        <v>51</v>
      </c>
      <c r="E3494" s="117">
        <v>204.33</v>
      </c>
    </row>
    <row r="3495" spans="1:5" x14ac:dyDescent="0.25">
      <c r="A3495" s="119" t="s">
        <v>6297</v>
      </c>
      <c r="B3495" s="119" t="s">
        <v>10255</v>
      </c>
      <c r="C3495" s="119" t="s">
        <v>66</v>
      </c>
      <c r="D3495" t="s">
        <v>45</v>
      </c>
      <c r="E3495" s="117">
        <v>0</v>
      </c>
    </row>
    <row r="3496" spans="1:5" x14ac:dyDescent="0.25">
      <c r="A3496" s="119" t="s">
        <v>6590</v>
      </c>
      <c r="B3496" s="119" t="s">
        <v>7632</v>
      </c>
      <c r="C3496" s="119" t="s">
        <v>66</v>
      </c>
      <c r="D3496" t="s">
        <v>51</v>
      </c>
      <c r="E3496" s="117">
        <v>3.99</v>
      </c>
    </row>
    <row r="3497" spans="1:5" x14ac:dyDescent="0.25">
      <c r="A3497" s="119" t="s">
        <v>6591</v>
      </c>
      <c r="B3497" s="119" t="s">
        <v>7633</v>
      </c>
      <c r="C3497" s="119" t="s">
        <v>66</v>
      </c>
      <c r="D3497" t="s">
        <v>51</v>
      </c>
      <c r="E3497" s="117">
        <v>4.32</v>
      </c>
    </row>
    <row r="3498" spans="1:5" x14ac:dyDescent="0.25">
      <c r="A3498" s="119" t="s">
        <v>6592</v>
      </c>
      <c r="B3498" s="119" t="s">
        <v>7634</v>
      </c>
      <c r="C3498" s="119" t="s">
        <v>66</v>
      </c>
      <c r="D3498" t="s">
        <v>51</v>
      </c>
      <c r="E3498" s="117">
        <v>4.68</v>
      </c>
    </row>
    <row r="3499" spans="1:5" x14ac:dyDescent="0.25">
      <c r="A3499" s="119" t="s">
        <v>6593</v>
      </c>
      <c r="B3499" s="119" t="s">
        <v>7635</v>
      </c>
      <c r="C3499" s="119" t="s">
        <v>66</v>
      </c>
      <c r="D3499" t="s">
        <v>51</v>
      </c>
      <c r="E3499" s="117">
        <v>4.88</v>
      </c>
    </row>
    <row r="3500" spans="1:5" x14ac:dyDescent="0.25">
      <c r="A3500" s="119" t="s">
        <v>6594</v>
      </c>
      <c r="B3500" s="119" t="s">
        <v>7636</v>
      </c>
      <c r="C3500" s="119" t="s">
        <v>66</v>
      </c>
      <c r="D3500" t="s">
        <v>51</v>
      </c>
      <c r="E3500" s="117">
        <v>6.1</v>
      </c>
    </row>
    <row r="3501" spans="1:5" x14ac:dyDescent="0.25">
      <c r="A3501" s="119" t="s">
        <v>6595</v>
      </c>
      <c r="B3501" s="119" t="s">
        <v>7637</v>
      </c>
      <c r="C3501" s="119" t="s">
        <v>66</v>
      </c>
      <c r="D3501" t="s">
        <v>51</v>
      </c>
      <c r="E3501" s="117">
        <v>6.56</v>
      </c>
    </row>
    <row r="3502" spans="1:5" x14ac:dyDescent="0.25">
      <c r="A3502" s="119" t="s">
        <v>6598</v>
      </c>
      <c r="B3502" s="119" t="s">
        <v>7638</v>
      </c>
      <c r="C3502" s="119" t="s">
        <v>66</v>
      </c>
      <c r="D3502" t="s">
        <v>51</v>
      </c>
      <c r="E3502" s="117">
        <v>4.32</v>
      </c>
    </row>
    <row r="3503" spans="1:5" x14ac:dyDescent="0.25">
      <c r="A3503" s="119" t="s">
        <v>6599</v>
      </c>
      <c r="B3503" s="119" t="s">
        <v>7639</v>
      </c>
      <c r="C3503" s="119" t="s">
        <v>66</v>
      </c>
      <c r="D3503" t="s">
        <v>51</v>
      </c>
      <c r="E3503" s="117">
        <v>4.88</v>
      </c>
    </row>
    <row r="3504" spans="1:5" x14ac:dyDescent="0.25">
      <c r="A3504" s="119" t="s">
        <v>6600</v>
      </c>
      <c r="B3504" s="119" t="s">
        <v>7640</v>
      </c>
      <c r="C3504" s="119" t="s">
        <v>66</v>
      </c>
      <c r="D3504" t="s">
        <v>51</v>
      </c>
      <c r="E3504" s="117">
        <v>5.54</v>
      </c>
    </row>
    <row r="3505" spans="1:5" x14ac:dyDescent="0.25">
      <c r="A3505" s="119" t="s">
        <v>6601</v>
      </c>
      <c r="B3505" s="119" t="s">
        <v>7641</v>
      </c>
      <c r="C3505" s="119" t="s">
        <v>66</v>
      </c>
      <c r="D3505" t="s">
        <v>51</v>
      </c>
      <c r="E3505" s="117">
        <v>6.2</v>
      </c>
    </row>
    <row r="3506" spans="1:5" x14ac:dyDescent="0.25">
      <c r="A3506" s="119" t="s">
        <v>6602</v>
      </c>
      <c r="B3506" s="119" t="s">
        <v>7642</v>
      </c>
      <c r="C3506" s="119" t="s">
        <v>66</v>
      </c>
      <c r="D3506" t="s">
        <v>51</v>
      </c>
      <c r="E3506" s="117">
        <v>7.5</v>
      </c>
    </row>
    <row r="3507" spans="1:5" x14ac:dyDescent="0.25">
      <c r="A3507" s="119" t="s">
        <v>6603</v>
      </c>
      <c r="B3507" s="119" t="s">
        <v>7643</v>
      </c>
      <c r="C3507" s="119" t="s">
        <v>66</v>
      </c>
      <c r="D3507" t="s">
        <v>51</v>
      </c>
      <c r="E3507" s="117">
        <v>11.17</v>
      </c>
    </row>
    <row r="3508" spans="1:5" x14ac:dyDescent="0.25">
      <c r="A3508" s="119" t="s">
        <v>6604</v>
      </c>
      <c r="B3508" s="119" t="s">
        <v>7644</v>
      </c>
      <c r="C3508" s="119" t="s">
        <v>66</v>
      </c>
      <c r="D3508" t="s">
        <v>51</v>
      </c>
      <c r="E3508" s="117">
        <v>14.93</v>
      </c>
    </row>
    <row r="3509" spans="1:5" x14ac:dyDescent="0.25">
      <c r="A3509" s="119" t="s">
        <v>6605</v>
      </c>
      <c r="B3509" s="119" t="s">
        <v>7645</v>
      </c>
      <c r="C3509" s="119" t="s">
        <v>66</v>
      </c>
      <c r="D3509" t="s">
        <v>51</v>
      </c>
      <c r="E3509" s="117">
        <v>21.12</v>
      </c>
    </row>
    <row r="3510" spans="1:5" x14ac:dyDescent="0.25">
      <c r="A3510" s="119" t="s">
        <v>6606</v>
      </c>
      <c r="B3510" s="119" t="s">
        <v>7641</v>
      </c>
      <c r="C3510" s="119" t="s">
        <v>66</v>
      </c>
      <c r="D3510" t="s">
        <v>51</v>
      </c>
      <c r="E3510" s="117">
        <v>29.57</v>
      </c>
    </row>
    <row r="3511" spans="1:5" x14ac:dyDescent="0.25">
      <c r="A3511" s="119" t="s">
        <v>6607</v>
      </c>
      <c r="B3511" s="119" t="s">
        <v>7646</v>
      </c>
      <c r="C3511" s="119" t="s">
        <v>66</v>
      </c>
      <c r="D3511" t="s">
        <v>51</v>
      </c>
      <c r="E3511" s="117">
        <v>9.3800000000000008</v>
      </c>
    </row>
    <row r="3512" spans="1:5" x14ac:dyDescent="0.25">
      <c r="A3512" s="119" t="s">
        <v>6608</v>
      </c>
      <c r="B3512" s="119" t="s">
        <v>7647</v>
      </c>
      <c r="C3512" s="119" t="s">
        <v>66</v>
      </c>
      <c r="D3512" t="s">
        <v>51</v>
      </c>
      <c r="E3512" s="117">
        <v>13.61</v>
      </c>
    </row>
    <row r="3513" spans="1:5" x14ac:dyDescent="0.25">
      <c r="A3513" s="119" t="s">
        <v>6609</v>
      </c>
      <c r="B3513" s="119" t="s">
        <v>7648</v>
      </c>
      <c r="C3513" s="119" t="s">
        <v>66</v>
      </c>
      <c r="D3513" t="s">
        <v>51</v>
      </c>
      <c r="E3513" s="117">
        <v>20.93</v>
      </c>
    </row>
    <row r="3514" spans="1:5" x14ac:dyDescent="0.25">
      <c r="A3514" s="119" t="s">
        <v>6610</v>
      </c>
      <c r="B3514" s="119" t="s">
        <v>7649</v>
      </c>
      <c r="C3514" s="119" t="s">
        <v>66</v>
      </c>
      <c r="D3514" t="s">
        <v>51</v>
      </c>
      <c r="E3514" s="117">
        <v>25.44</v>
      </c>
    </row>
    <row r="3515" spans="1:5" x14ac:dyDescent="0.25">
      <c r="A3515" s="119" t="s">
        <v>6611</v>
      </c>
      <c r="B3515" s="119" t="s">
        <v>7650</v>
      </c>
      <c r="C3515" s="119" t="s">
        <v>66</v>
      </c>
      <c r="D3515" t="s">
        <v>51</v>
      </c>
      <c r="E3515" s="117">
        <v>31.17</v>
      </c>
    </row>
    <row r="3516" spans="1:5" x14ac:dyDescent="0.25">
      <c r="A3516" s="119" t="s">
        <v>6612</v>
      </c>
      <c r="B3516" s="119" t="s">
        <v>7651</v>
      </c>
      <c r="C3516" s="119" t="s">
        <v>66</v>
      </c>
      <c r="D3516" t="s">
        <v>51</v>
      </c>
      <c r="E3516" s="117">
        <v>55.67</v>
      </c>
    </row>
    <row r="3517" spans="1:5" x14ac:dyDescent="0.25">
      <c r="A3517" s="119" t="s">
        <v>8125</v>
      </c>
      <c r="B3517" s="119" t="s">
        <v>8126</v>
      </c>
      <c r="C3517" s="119" t="s">
        <v>66</v>
      </c>
      <c r="D3517" t="s">
        <v>49</v>
      </c>
      <c r="E3517" s="117">
        <v>41.3</v>
      </c>
    </row>
    <row r="3518" spans="1:5" x14ac:dyDescent="0.25">
      <c r="A3518" s="119" t="s">
        <v>8127</v>
      </c>
      <c r="B3518" s="119" t="s">
        <v>8128</v>
      </c>
      <c r="C3518" s="119" t="s">
        <v>66</v>
      </c>
      <c r="D3518" t="s">
        <v>49</v>
      </c>
      <c r="E3518" s="117">
        <v>41.3</v>
      </c>
    </row>
    <row r="3519" spans="1:5" x14ac:dyDescent="0.25">
      <c r="A3519" s="119" t="s">
        <v>8129</v>
      </c>
      <c r="B3519" s="119" t="s">
        <v>8130</v>
      </c>
      <c r="C3519" s="119" t="s">
        <v>66</v>
      </c>
      <c r="D3519" t="s">
        <v>49</v>
      </c>
      <c r="E3519" s="117">
        <v>41.3</v>
      </c>
    </row>
    <row r="3520" spans="1:5" x14ac:dyDescent="0.25">
      <c r="A3520" s="119" t="s">
        <v>8131</v>
      </c>
      <c r="B3520" s="119" t="s">
        <v>8132</v>
      </c>
      <c r="C3520" s="119" t="s">
        <v>66</v>
      </c>
      <c r="D3520" t="s">
        <v>49</v>
      </c>
      <c r="E3520" s="117">
        <v>41.3</v>
      </c>
    </row>
    <row r="3521" spans="1:5" x14ac:dyDescent="0.25">
      <c r="A3521" s="119" t="s">
        <v>8133</v>
      </c>
      <c r="B3521" s="119" t="s">
        <v>8134</v>
      </c>
      <c r="C3521" s="119" t="s">
        <v>66</v>
      </c>
      <c r="D3521" t="s">
        <v>49</v>
      </c>
      <c r="E3521" s="117">
        <v>168.97</v>
      </c>
    </row>
    <row r="3522" spans="1:5" x14ac:dyDescent="0.25">
      <c r="A3522" s="119" t="s">
        <v>6859</v>
      </c>
      <c r="B3522" s="119" t="s">
        <v>11816</v>
      </c>
      <c r="C3522" s="119" t="s">
        <v>66</v>
      </c>
      <c r="D3522" t="s">
        <v>6760</v>
      </c>
      <c r="E3522" s="117">
        <v>30.88</v>
      </c>
    </row>
    <row r="3523" spans="1:5" x14ac:dyDescent="0.25">
      <c r="A3523" s="119" t="s">
        <v>6860</v>
      </c>
      <c r="B3523" s="119" t="s">
        <v>11817</v>
      </c>
      <c r="C3523" s="119" t="s">
        <v>66</v>
      </c>
      <c r="D3523" t="s">
        <v>49</v>
      </c>
      <c r="E3523" s="117">
        <v>42.24</v>
      </c>
    </row>
    <row r="3524" spans="1:5" x14ac:dyDescent="0.25">
      <c r="A3524" s="119" t="s">
        <v>6861</v>
      </c>
      <c r="B3524" s="119" t="s">
        <v>11818</v>
      </c>
      <c r="C3524" s="119" t="s">
        <v>66</v>
      </c>
      <c r="D3524" t="s">
        <v>6760</v>
      </c>
      <c r="E3524" s="117">
        <v>23.47</v>
      </c>
    </row>
    <row r="3525" spans="1:5" x14ac:dyDescent="0.25">
      <c r="A3525" s="119" t="s">
        <v>6862</v>
      </c>
      <c r="B3525" s="119" t="s">
        <v>11819</v>
      </c>
      <c r="C3525" s="119" t="s">
        <v>66</v>
      </c>
      <c r="D3525" t="s">
        <v>6760</v>
      </c>
      <c r="E3525" s="117">
        <v>102.32</v>
      </c>
    </row>
    <row r="3526" spans="1:5" x14ac:dyDescent="0.25">
      <c r="A3526" s="119" t="s">
        <v>6813</v>
      </c>
      <c r="B3526" s="119" t="s">
        <v>10256</v>
      </c>
      <c r="C3526" s="119" t="s">
        <v>66</v>
      </c>
      <c r="D3526" t="s">
        <v>51</v>
      </c>
      <c r="E3526" s="117">
        <v>102.32</v>
      </c>
    </row>
    <row r="3527" spans="1:5" x14ac:dyDescent="0.25">
      <c r="A3527" s="119" t="s">
        <v>8135</v>
      </c>
      <c r="B3527" s="119" t="s">
        <v>10257</v>
      </c>
      <c r="C3527" s="119" t="s">
        <v>66</v>
      </c>
      <c r="D3527" t="s">
        <v>45</v>
      </c>
      <c r="E3527" s="117">
        <v>9999</v>
      </c>
    </row>
    <row r="3528" spans="1:5" x14ac:dyDescent="0.25">
      <c r="A3528" s="119" t="s">
        <v>8136</v>
      </c>
      <c r="B3528" s="119" t="s">
        <v>11820</v>
      </c>
      <c r="C3528" s="119" t="s">
        <v>66</v>
      </c>
      <c r="D3528" t="s">
        <v>6760</v>
      </c>
      <c r="E3528" s="117">
        <v>37.799999999999997</v>
      </c>
    </row>
    <row r="3529" spans="1:5" x14ac:dyDescent="0.25">
      <c r="A3529" s="119" t="s">
        <v>6863</v>
      </c>
      <c r="B3529" s="119" t="s">
        <v>11821</v>
      </c>
      <c r="C3529" s="119" t="s">
        <v>66</v>
      </c>
      <c r="D3529" t="s">
        <v>6760</v>
      </c>
      <c r="E3529" s="117">
        <v>37.380000000000003</v>
      </c>
    </row>
    <row r="3530" spans="1:5" x14ac:dyDescent="0.25">
      <c r="A3530" s="119" t="s">
        <v>7652</v>
      </c>
      <c r="B3530" s="119" t="s">
        <v>11966</v>
      </c>
      <c r="C3530" s="119" t="s">
        <v>66</v>
      </c>
      <c r="D3530" t="s">
        <v>51</v>
      </c>
      <c r="E3530" s="117">
        <v>46</v>
      </c>
    </row>
    <row r="3531" spans="1:5" x14ac:dyDescent="0.25">
      <c r="A3531" s="119" t="s">
        <v>7653</v>
      </c>
      <c r="B3531" s="119" t="s">
        <v>11822</v>
      </c>
      <c r="C3531" s="119" t="s">
        <v>66</v>
      </c>
      <c r="D3531" t="s">
        <v>51</v>
      </c>
      <c r="E3531" s="117">
        <v>58.9</v>
      </c>
    </row>
    <row r="3532" spans="1:5" x14ac:dyDescent="0.25">
      <c r="A3532" s="119" t="s">
        <v>6864</v>
      </c>
      <c r="B3532" s="119" t="s">
        <v>10258</v>
      </c>
      <c r="C3532" s="119" t="s">
        <v>66</v>
      </c>
      <c r="D3532" t="s">
        <v>45</v>
      </c>
      <c r="E3532" s="117">
        <v>67.41</v>
      </c>
    </row>
    <row r="3533" spans="1:5" x14ac:dyDescent="0.25">
      <c r="A3533" s="119" t="s">
        <v>6865</v>
      </c>
      <c r="B3533" s="119" t="s">
        <v>11823</v>
      </c>
      <c r="C3533" s="119" t="s">
        <v>66</v>
      </c>
      <c r="D3533" t="s">
        <v>45</v>
      </c>
      <c r="E3533" s="117">
        <v>78.650000000000006</v>
      </c>
    </row>
    <row r="3534" spans="1:5" x14ac:dyDescent="0.25">
      <c r="A3534" s="119" t="s">
        <v>6866</v>
      </c>
      <c r="B3534" s="119" t="s">
        <v>11824</v>
      </c>
      <c r="C3534" s="119" t="s">
        <v>66</v>
      </c>
      <c r="D3534" t="s">
        <v>6759</v>
      </c>
      <c r="E3534" s="117">
        <v>75</v>
      </c>
    </row>
    <row r="3535" spans="1:5" x14ac:dyDescent="0.25">
      <c r="A3535" s="119" t="s">
        <v>8137</v>
      </c>
      <c r="B3535" s="119" t="s">
        <v>11825</v>
      </c>
      <c r="C3535" s="119" t="s">
        <v>66</v>
      </c>
      <c r="D3535" t="s">
        <v>6760</v>
      </c>
      <c r="E3535" s="117">
        <v>84.39</v>
      </c>
    </row>
    <row r="3536" spans="1:5" x14ac:dyDescent="0.25">
      <c r="A3536" s="119" t="s">
        <v>6728</v>
      </c>
      <c r="B3536" s="119" t="s">
        <v>3973</v>
      </c>
      <c r="C3536" s="119" t="s">
        <v>66</v>
      </c>
      <c r="D3536" t="s">
        <v>45</v>
      </c>
      <c r="E3536" s="117">
        <v>99999999</v>
      </c>
    </row>
    <row r="3537" spans="1:5" x14ac:dyDescent="0.25">
      <c r="A3537" s="119" t="s">
        <v>8138</v>
      </c>
      <c r="B3537" s="119" t="s">
        <v>11826</v>
      </c>
      <c r="C3537" s="119" t="s">
        <v>66</v>
      </c>
      <c r="D3537" t="s">
        <v>51</v>
      </c>
      <c r="E3537" s="117">
        <v>98.57</v>
      </c>
    </row>
    <row r="3538" spans="1:5" x14ac:dyDescent="0.25">
      <c r="A3538" s="119" t="s">
        <v>6867</v>
      </c>
      <c r="B3538" s="119" t="s">
        <v>11827</v>
      </c>
      <c r="C3538" s="119" t="s">
        <v>66</v>
      </c>
      <c r="D3538" t="s">
        <v>6759</v>
      </c>
      <c r="E3538" s="117">
        <v>149.26</v>
      </c>
    </row>
    <row r="3539" spans="1:5" x14ac:dyDescent="0.25">
      <c r="A3539" s="119" t="s">
        <v>6729</v>
      </c>
      <c r="B3539" s="119" t="s">
        <v>11617</v>
      </c>
      <c r="C3539" s="119" t="s">
        <v>66</v>
      </c>
      <c r="D3539" t="s">
        <v>49</v>
      </c>
      <c r="E3539" s="117">
        <v>116.4</v>
      </c>
    </row>
    <row r="3540" spans="1:5" x14ac:dyDescent="0.25">
      <c r="A3540" s="119" t="s">
        <v>6868</v>
      </c>
      <c r="B3540" s="119" t="s">
        <v>11828</v>
      </c>
      <c r="C3540" s="119" t="s">
        <v>66</v>
      </c>
      <c r="D3540" t="s">
        <v>49</v>
      </c>
      <c r="E3540" s="117">
        <v>186.81</v>
      </c>
    </row>
    <row r="3541" spans="1:5" x14ac:dyDescent="0.25">
      <c r="A3541" s="119" t="s">
        <v>6748</v>
      </c>
      <c r="B3541" s="119" t="s">
        <v>7654</v>
      </c>
      <c r="C3541" s="119" t="s">
        <v>66</v>
      </c>
      <c r="D3541" t="s">
        <v>45</v>
      </c>
      <c r="E3541" s="117">
        <v>87.3</v>
      </c>
    </row>
    <row r="3542" spans="1:5" x14ac:dyDescent="0.25">
      <c r="A3542" s="119" t="s">
        <v>7655</v>
      </c>
      <c r="B3542" s="119" t="s">
        <v>11829</v>
      </c>
      <c r="C3542" s="119" t="s">
        <v>66</v>
      </c>
      <c r="D3542" t="s">
        <v>51</v>
      </c>
      <c r="E3542" s="117">
        <v>111.71</v>
      </c>
    </row>
    <row r="3543" spans="1:5" x14ac:dyDescent="0.25">
      <c r="A3543" s="119" t="s">
        <v>6749</v>
      </c>
      <c r="B3543" s="119" t="s">
        <v>7656</v>
      </c>
      <c r="C3543" s="119" t="s">
        <v>66</v>
      </c>
      <c r="D3543" t="s">
        <v>45</v>
      </c>
      <c r="E3543" s="117">
        <v>169.91</v>
      </c>
    </row>
    <row r="3544" spans="1:5" x14ac:dyDescent="0.25">
      <c r="A3544" s="119" t="s">
        <v>6750</v>
      </c>
      <c r="B3544" s="119" t="s">
        <v>7657</v>
      </c>
      <c r="C3544" s="119" t="s">
        <v>66</v>
      </c>
      <c r="D3544" t="s">
        <v>6759</v>
      </c>
      <c r="E3544" s="117">
        <v>160.52000000000001</v>
      </c>
    </row>
    <row r="3545" spans="1:5" x14ac:dyDescent="0.25">
      <c r="A3545" s="119" t="s">
        <v>6828</v>
      </c>
      <c r="B3545" s="119" t="s">
        <v>10259</v>
      </c>
      <c r="C3545" s="119" t="s">
        <v>66</v>
      </c>
      <c r="D3545" t="s">
        <v>6759</v>
      </c>
      <c r="E3545" s="117">
        <v>75</v>
      </c>
    </row>
    <row r="3546" spans="1:5" x14ac:dyDescent="0.25">
      <c r="A3546" s="119" t="s">
        <v>6829</v>
      </c>
      <c r="B3546" s="119" t="s">
        <v>10260</v>
      </c>
      <c r="C3546" s="119" t="s">
        <v>66</v>
      </c>
      <c r="D3546" t="s">
        <v>6759</v>
      </c>
      <c r="E3546" s="117">
        <v>85</v>
      </c>
    </row>
    <row r="3547" spans="1:5" x14ac:dyDescent="0.25">
      <c r="A3547" s="119" t="s">
        <v>6830</v>
      </c>
      <c r="B3547" s="119" t="s">
        <v>10261</v>
      </c>
      <c r="C3547" s="119" t="s">
        <v>66</v>
      </c>
      <c r="D3547" t="s">
        <v>6759</v>
      </c>
      <c r="E3547" s="117">
        <v>95</v>
      </c>
    </row>
    <row r="3548" spans="1:5" x14ac:dyDescent="0.25">
      <c r="A3548" s="119" t="s">
        <v>6777</v>
      </c>
      <c r="B3548" s="119" t="s">
        <v>10262</v>
      </c>
      <c r="C3548" s="119" t="s">
        <v>66</v>
      </c>
      <c r="D3548" t="s">
        <v>45</v>
      </c>
      <c r="E3548" s="117">
        <v>999999999</v>
      </c>
    </row>
    <row r="3549" spans="1:5" x14ac:dyDescent="0.25">
      <c r="A3549" s="119" t="s">
        <v>6831</v>
      </c>
      <c r="B3549" s="119" t="s">
        <v>10263</v>
      </c>
      <c r="C3549" s="119" t="s">
        <v>66</v>
      </c>
      <c r="D3549" t="s">
        <v>6759</v>
      </c>
      <c r="E3549" s="117">
        <v>120</v>
      </c>
    </row>
    <row r="3550" spans="1:5" x14ac:dyDescent="0.25">
      <c r="A3550" s="119" t="s">
        <v>7658</v>
      </c>
      <c r="B3550" s="119" t="s">
        <v>10264</v>
      </c>
      <c r="C3550" s="119" t="s">
        <v>66</v>
      </c>
      <c r="D3550" t="s">
        <v>51</v>
      </c>
      <c r="E3550" s="117">
        <v>50</v>
      </c>
    </row>
    <row r="3551" spans="1:5" x14ac:dyDescent="0.25">
      <c r="A3551" s="119" t="s">
        <v>7659</v>
      </c>
      <c r="B3551" s="119" t="s">
        <v>10265</v>
      </c>
      <c r="C3551" s="119" t="s">
        <v>66</v>
      </c>
      <c r="D3551" t="s">
        <v>51</v>
      </c>
      <c r="E3551" s="117">
        <v>55</v>
      </c>
    </row>
    <row r="3552" spans="1:5" x14ac:dyDescent="0.25">
      <c r="A3552" s="119" t="s">
        <v>8204</v>
      </c>
      <c r="B3552" s="119" t="s">
        <v>8205</v>
      </c>
      <c r="C3552" s="119" t="s">
        <v>66</v>
      </c>
      <c r="D3552" t="s">
        <v>45</v>
      </c>
      <c r="E3552" s="117">
        <v>9999</v>
      </c>
    </row>
    <row r="3553" spans="1:5" x14ac:dyDescent="0.25">
      <c r="A3553" s="119" t="s">
        <v>8206</v>
      </c>
      <c r="B3553" s="119" t="s">
        <v>8207</v>
      </c>
      <c r="C3553" s="119" t="s">
        <v>66</v>
      </c>
      <c r="D3553" t="s">
        <v>45</v>
      </c>
      <c r="E3553" s="117">
        <v>9999</v>
      </c>
    </row>
    <row r="3554" spans="1:5" x14ac:dyDescent="0.25">
      <c r="A3554" s="119" t="s">
        <v>8208</v>
      </c>
      <c r="B3554" s="119" t="s">
        <v>8209</v>
      </c>
      <c r="C3554" s="119" t="s">
        <v>66</v>
      </c>
      <c r="D3554" t="s">
        <v>45</v>
      </c>
      <c r="E3554" s="117">
        <v>9999</v>
      </c>
    </row>
    <row r="3555" spans="1:5" x14ac:dyDescent="0.25">
      <c r="A3555" s="119" t="s">
        <v>8210</v>
      </c>
      <c r="B3555" s="119" t="s">
        <v>8211</v>
      </c>
      <c r="C3555" s="119" t="s">
        <v>66</v>
      </c>
      <c r="D3555" t="s">
        <v>45</v>
      </c>
      <c r="E3555" s="117">
        <v>9999</v>
      </c>
    </row>
    <row r="3556" spans="1:5" x14ac:dyDescent="0.25">
      <c r="A3556" s="119" t="s">
        <v>8212</v>
      </c>
      <c r="B3556" s="119" t="s">
        <v>8213</v>
      </c>
      <c r="C3556" s="119" t="s">
        <v>66</v>
      </c>
      <c r="D3556" t="s">
        <v>45</v>
      </c>
      <c r="E3556" s="117">
        <v>9999</v>
      </c>
    </row>
    <row r="3557" spans="1:5" x14ac:dyDescent="0.25">
      <c r="A3557" s="119" t="s">
        <v>8214</v>
      </c>
      <c r="B3557" s="119" t="s">
        <v>8215</v>
      </c>
      <c r="C3557" s="119" t="s">
        <v>66</v>
      </c>
      <c r="D3557" t="s">
        <v>6760</v>
      </c>
      <c r="E3557" s="117">
        <v>9999</v>
      </c>
    </row>
    <row r="3558" spans="1:5" x14ac:dyDescent="0.25">
      <c r="A3558" s="119" t="s">
        <v>8139</v>
      </c>
      <c r="B3558" s="119" t="s">
        <v>10266</v>
      </c>
      <c r="C3558" s="119" t="s">
        <v>66</v>
      </c>
      <c r="D3558" t="s">
        <v>45</v>
      </c>
      <c r="E3558" s="117">
        <v>9999</v>
      </c>
    </row>
    <row r="3559" spans="1:5" x14ac:dyDescent="0.25">
      <c r="A3559" s="119" t="s">
        <v>8140</v>
      </c>
      <c r="B3559" s="119" t="s">
        <v>10267</v>
      </c>
      <c r="C3559" s="119" t="s">
        <v>66</v>
      </c>
      <c r="D3559" t="s">
        <v>45</v>
      </c>
      <c r="E3559" s="117">
        <v>9999</v>
      </c>
    </row>
    <row r="3560" spans="1:5" x14ac:dyDescent="0.25">
      <c r="A3560" s="119" t="s">
        <v>8141</v>
      </c>
      <c r="B3560" s="119" t="s">
        <v>10268</v>
      </c>
      <c r="C3560" s="119" t="s">
        <v>66</v>
      </c>
      <c r="D3560" t="s">
        <v>45</v>
      </c>
      <c r="E3560" s="117">
        <v>9999</v>
      </c>
    </row>
    <row r="3561" spans="1:5" x14ac:dyDescent="0.25">
      <c r="A3561" s="119" t="s">
        <v>11668</v>
      </c>
      <c r="B3561" s="119" t="s">
        <v>11669</v>
      </c>
      <c r="C3561" s="119" t="s">
        <v>66</v>
      </c>
      <c r="D3561" t="s">
        <v>45</v>
      </c>
      <c r="E3561" s="117">
        <v>9999</v>
      </c>
    </row>
    <row r="3562" spans="1:5" x14ac:dyDescent="0.25">
      <c r="A3562" s="119" t="s">
        <v>11670</v>
      </c>
      <c r="B3562" s="119" t="s">
        <v>11671</v>
      </c>
      <c r="C3562" s="119" t="s">
        <v>66</v>
      </c>
      <c r="D3562" t="s">
        <v>51</v>
      </c>
      <c r="E3562" s="117">
        <v>111.71</v>
      </c>
    </row>
    <row r="3563" spans="1:5" x14ac:dyDescent="0.25">
      <c r="A3563" s="119" t="s">
        <v>11672</v>
      </c>
      <c r="B3563" s="119" t="s">
        <v>11671</v>
      </c>
      <c r="C3563" s="119" t="s">
        <v>66</v>
      </c>
      <c r="D3563" t="s">
        <v>51</v>
      </c>
      <c r="E3563" s="117">
        <v>111.71</v>
      </c>
    </row>
    <row r="3564" spans="1:5" x14ac:dyDescent="0.25">
      <c r="A3564" s="119" t="s">
        <v>11673</v>
      </c>
      <c r="B3564" s="119" t="s">
        <v>12240</v>
      </c>
      <c r="C3564" s="119" t="s">
        <v>66</v>
      </c>
      <c r="D3564" t="s">
        <v>51</v>
      </c>
      <c r="E3564" s="117">
        <v>111.71</v>
      </c>
    </row>
    <row r="3565" spans="1:5" x14ac:dyDescent="0.25">
      <c r="A3565" s="119" t="s">
        <v>11674</v>
      </c>
      <c r="B3565" s="119" t="s">
        <v>11675</v>
      </c>
      <c r="C3565" s="119" t="s">
        <v>66</v>
      </c>
      <c r="D3565" t="s">
        <v>45</v>
      </c>
      <c r="E3565" s="117">
        <v>9999</v>
      </c>
    </row>
    <row r="3566" spans="1:5" x14ac:dyDescent="0.25">
      <c r="A3566" s="119" t="s">
        <v>8235</v>
      </c>
      <c r="B3566" s="119" t="s">
        <v>8236</v>
      </c>
      <c r="C3566" s="119" t="s">
        <v>66</v>
      </c>
      <c r="D3566" t="s">
        <v>45</v>
      </c>
      <c r="E3566" s="117">
        <v>9999</v>
      </c>
    </row>
    <row r="3567" spans="1:5" x14ac:dyDescent="0.25">
      <c r="A3567" s="119" t="s">
        <v>11676</v>
      </c>
      <c r="B3567" s="119" t="s">
        <v>11677</v>
      </c>
      <c r="C3567" s="119" t="s">
        <v>66</v>
      </c>
      <c r="D3567" t="s">
        <v>45</v>
      </c>
      <c r="E3567" s="117">
        <v>9999</v>
      </c>
    </row>
    <row r="3568" spans="1:5" x14ac:dyDescent="0.25">
      <c r="A3568" s="119" t="s">
        <v>11948</v>
      </c>
      <c r="B3568" s="119" t="s">
        <v>11949</v>
      </c>
      <c r="C3568" s="119" t="s">
        <v>66</v>
      </c>
      <c r="D3568" t="s">
        <v>45</v>
      </c>
      <c r="E3568" s="117">
        <v>9999</v>
      </c>
    </row>
    <row r="3569" spans="1:5" x14ac:dyDescent="0.25">
      <c r="A3569" s="119" t="s">
        <v>11950</v>
      </c>
      <c r="B3569" s="119" t="s">
        <v>11951</v>
      </c>
      <c r="C3569" s="119" t="s">
        <v>66</v>
      </c>
      <c r="D3569" t="s">
        <v>45</v>
      </c>
      <c r="E3569" s="117">
        <v>9999</v>
      </c>
    </row>
    <row r="3570" spans="1:5" x14ac:dyDescent="0.25">
      <c r="A3570" s="119" t="s">
        <v>11952</v>
      </c>
      <c r="B3570" s="119" t="s">
        <v>11953</v>
      </c>
      <c r="C3570" s="119" t="s">
        <v>66</v>
      </c>
      <c r="D3570" t="s">
        <v>45</v>
      </c>
      <c r="E3570" s="117">
        <v>9999</v>
      </c>
    </row>
    <row r="3571" spans="1:5" x14ac:dyDescent="0.25">
      <c r="A3571" s="119" t="s">
        <v>11954</v>
      </c>
      <c r="B3571" s="119" t="s">
        <v>11955</v>
      </c>
      <c r="C3571" s="119" t="s">
        <v>66</v>
      </c>
      <c r="D3571" t="s">
        <v>45</v>
      </c>
      <c r="E3571" s="117">
        <v>9999</v>
      </c>
    </row>
    <row r="3572" spans="1:5" x14ac:dyDescent="0.25">
      <c r="A3572" s="119" t="s">
        <v>11956</v>
      </c>
      <c r="B3572" s="119" t="s">
        <v>11957</v>
      </c>
      <c r="C3572" s="119" t="s">
        <v>66</v>
      </c>
      <c r="D3572" t="s">
        <v>45</v>
      </c>
      <c r="E3572" s="117">
        <v>9999</v>
      </c>
    </row>
    <row r="3573" spans="1:5" x14ac:dyDescent="0.25">
      <c r="A3573" s="119" t="s">
        <v>4084</v>
      </c>
      <c r="B3573" s="119" t="s">
        <v>4085</v>
      </c>
      <c r="C3573" s="119" t="s">
        <v>66</v>
      </c>
      <c r="D3573" t="s">
        <v>6759</v>
      </c>
      <c r="E3573" s="117">
        <v>80.849999999999994</v>
      </c>
    </row>
    <row r="3574" spans="1:5" x14ac:dyDescent="0.25">
      <c r="A3574" s="119" t="s">
        <v>4086</v>
      </c>
      <c r="B3574" s="119" t="s">
        <v>10269</v>
      </c>
      <c r="C3574" s="119" t="s">
        <v>301</v>
      </c>
      <c r="D3574" t="s">
        <v>45</v>
      </c>
      <c r="E3574" s="117">
        <v>2512.44</v>
      </c>
    </row>
    <row r="3575" spans="1:5" x14ac:dyDescent="0.25">
      <c r="A3575" s="119" t="s">
        <v>4087</v>
      </c>
      <c r="B3575" s="119" t="s">
        <v>4088</v>
      </c>
      <c r="C3575" s="119" t="s">
        <v>301</v>
      </c>
      <c r="D3575" t="s">
        <v>45</v>
      </c>
      <c r="E3575" s="117">
        <v>2512.44</v>
      </c>
    </row>
    <row r="3576" spans="1:5" x14ac:dyDescent="0.25">
      <c r="A3576" s="119" t="s">
        <v>4089</v>
      </c>
      <c r="B3576" s="119" t="s">
        <v>10270</v>
      </c>
      <c r="C3576" s="119" t="s">
        <v>301</v>
      </c>
      <c r="D3576" t="s">
        <v>6759</v>
      </c>
      <c r="E3576" s="117">
        <v>941.3</v>
      </c>
    </row>
    <row r="3577" spans="1:5" x14ac:dyDescent="0.25">
      <c r="A3577" s="119" t="s">
        <v>4090</v>
      </c>
      <c r="B3577" s="119" t="s">
        <v>10271</v>
      </c>
      <c r="C3577" s="119" t="s">
        <v>301</v>
      </c>
      <c r="D3577" t="s">
        <v>45</v>
      </c>
      <c r="E3577" s="117">
        <v>871.32</v>
      </c>
    </row>
    <row r="3578" spans="1:5" x14ac:dyDescent="0.25">
      <c r="A3578" s="119" t="s">
        <v>4091</v>
      </c>
      <c r="B3578" s="119" t="s">
        <v>10272</v>
      </c>
      <c r="C3578" s="119" t="s">
        <v>301</v>
      </c>
      <c r="D3578" t="s">
        <v>45</v>
      </c>
      <c r="E3578" s="117">
        <v>358.77</v>
      </c>
    </row>
    <row r="3579" spans="1:5" x14ac:dyDescent="0.25">
      <c r="A3579" s="119" t="s">
        <v>4092</v>
      </c>
      <c r="B3579" s="119" t="s">
        <v>10273</v>
      </c>
      <c r="C3579" s="119" t="s">
        <v>301</v>
      </c>
      <c r="D3579" t="s">
        <v>45</v>
      </c>
      <c r="E3579" s="117">
        <v>0</v>
      </c>
    </row>
    <row r="3580" spans="1:5" x14ac:dyDescent="0.25">
      <c r="A3580" s="119" t="s">
        <v>4093</v>
      </c>
      <c r="B3580" s="119" t="s">
        <v>7660</v>
      </c>
      <c r="C3580" s="119" t="s">
        <v>301</v>
      </c>
      <c r="D3580" t="s">
        <v>45</v>
      </c>
      <c r="E3580" s="117">
        <v>700</v>
      </c>
    </row>
    <row r="3581" spans="1:5" x14ac:dyDescent="0.25">
      <c r="A3581" s="119" t="s">
        <v>4094</v>
      </c>
      <c r="B3581" s="119" t="s">
        <v>4095</v>
      </c>
      <c r="C3581" s="119" t="s">
        <v>301</v>
      </c>
      <c r="D3581" t="s">
        <v>45</v>
      </c>
      <c r="E3581" s="117">
        <v>0</v>
      </c>
    </row>
    <row r="3582" spans="1:5" x14ac:dyDescent="0.25">
      <c r="A3582" s="119" t="s">
        <v>4096</v>
      </c>
      <c r="B3582" s="119" t="s">
        <v>10274</v>
      </c>
      <c r="C3582" s="119" t="s">
        <v>301</v>
      </c>
      <c r="D3582" t="s">
        <v>6759</v>
      </c>
      <c r="E3582" s="117">
        <v>0</v>
      </c>
    </row>
    <row r="3583" spans="1:5" x14ac:dyDescent="0.25">
      <c r="A3583" s="119" t="s">
        <v>4097</v>
      </c>
      <c r="B3583" s="119" t="s">
        <v>10275</v>
      </c>
      <c r="C3583" s="119" t="s">
        <v>301</v>
      </c>
      <c r="D3583" t="s">
        <v>6759</v>
      </c>
      <c r="E3583" s="117">
        <v>2064.25</v>
      </c>
    </row>
    <row r="3584" spans="1:5" x14ac:dyDescent="0.25">
      <c r="A3584" s="119" t="s">
        <v>4098</v>
      </c>
      <c r="B3584" s="119" t="s">
        <v>10276</v>
      </c>
      <c r="C3584" s="119" t="s">
        <v>301</v>
      </c>
      <c r="D3584" t="s">
        <v>49</v>
      </c>
      <c r="E3584" s="117">
        <v>3315.78</v>
      </c>
    </row>
    <row r="3585" spans="1:5" x14ac:dyDescent="0.25">
      <c r="A3585" s="119" t="s">
        <v>4099</v>
      </c>
      <c r="B3585" s="119" t="s">
        <v>10277</v>
      </c>
      <c r="C3585" s="119" t="s">
        <v>301</v>
      </c>
      <c r="D3585" t="s">
        <v>6759</v>
      </c>
      <c r="E3585" s="117">
        <v>0</v>
      </c>
    </row>
    <row r="3586" spans="1:5" x14ac:dyDescent="0.25">
      <c r="A3586" s="119" t="s">
        <v>6580</v>
      </c>
      <c r="B3586" s="119" t="s">
        <v>10278</v>
      </c>
      <c r="C3586" s="119" t="s">
        <v>301</v>
      </c>
      <c r="D3586" t="s">
        <v>6759</v>
      </c>
      <c r="E3586" s="117">
        <v>1970.38</v>
      </c>
    </row>
    <row r="3587" spans="1:5" x14ac:dyDescent="0.25">
      <c r="A3587" s="119" t="s">
        <v>6582</v>
      </c>
      <c r="B3587" s="119" t="s">
        <v>6581</v>
      </c>
      <c r="C3587" s="119" t="s">
        <v>301</v>
      </c>
      <c r="D3587" t="s">
        <v>6759</v>
      </c>
      <c r="E3587" s="117">
        <v>9999</v>
      </c>
    </row>
    <row r="3588" spans="1:5" x14ac:dyDescent="0.25">
      <c r="A3588" s="119" t="s">
        <v>7661</v>
      </c>
      <c r="B3588" s="119" t="s">
        <v>10279</v>
      </c>
      <c r="C3588" s="119" t="s">
        <v>301</v>
      </c>
      <c r="D3588" t="s">
        <v>6759</v>
      </c>
      <c r="E3588" s="117">
        <v>1876.51</v>
      </c>
    </row>
    <row r="3589" spans="1:5" x14ac:dyDescent="0.25">
      <c r="A3589" s="119" t="s">
        <v>7662</v>
      </c>
      <c r="B3589" s="119" t="s">
        <v>6581</v>
      </c>
      <c r="C3589" s="119" t="s">
        <v>301</v>
      </c>
      <c r="D3589" t="s">
        <v>6759</v>
      </c>
      <c r="E3589" s="117">
        <v>9999</v>
      </c>
    </row>
    <row r="3590" spans="1:5" x14ac:dyDescent="0.25">
      <c r="A3590" s="119" t="s">
        <v>8142</v>
      </c>
      <c r="B3590" s="119" t="s">
        <v>10280</v>
      </c>
      <c r="C3590" s="119" t="s">
        <v>301</v>
      </c>
      <c r="D3590" t="s">
        <v>6759</v>
      </c>
      <c r="E3590" s="117">
        <v>2345.87</v>
      </c>
    </row>
    <row r="3591" spans="1:5" x14ac:dyDescent="0.25">
      <c r="A3591" s="119" t="s">
        <v>8143</v>
      </c>
      <c r="B3591" s="119" t="s">
        <v>8144</v>
      </c>
      <c r="C3591" s="119" t="s">
        <v>301</v>
      </c>
      <c r="D3591" t="s">
        <v>6759</v>
      </c>
      <c r="E3591" s="117">
        <v>9999</v>
      </c>
    </row>
    <row r="3592" spans="1:5" x14ac:dyDescent="0.25">
      <c r="A3592" s="119" t="s">
        <v>6312</v>
      </c>
      <c r="B3592" s="119" t="s">
        <v>10281</v>
      </c>
      <c r="C3592" s="119" t="s">
        <v>301</v>
      </c>
      <c r="D3592" t="s">
        <v>6759</v>
      </c>
      <c r="E3592" s="117">
        <v>2158.12</v>
      </c>
    </row>
    <row r="3593" spans="1:5" x14ac:dyDescent="0.25">
      <c r="A3593" s="119" t="s">
        <v>6577</v>
      </c>
      <c r="B3593" s="119" t="s">
        <v>6578</v>
      </c>
      <c r="C3593" s="119" t="s">
        <v>301</v>
      </c>
      <c r="D3593" t="s">
        <v>6759</v>
      </c>
      <c r="E3593" s="117">
        <v>9999</v>
      </c>
    </row>
    <row r="3594" spans="1:5" x14ac:dyDescent="0.25">
      <c r="A3594" s="119" t="s">
        <v>4100</v>
      </c>
      <c r="B3594" s="119" t="s">
        <v>10282</v>
      </c>
      <c r="C3594" s="119" t="s">
        <v>301</v>
      </c>
      <c r="D3594" t="s">
        <v>49</v>
      </c>
      <c r="E3594" s="117">
        <v>467.2</v>
      </c>
    </row>
    <row r="3595" spans="1:5" x14ac:dyDescent="0.25">
      <c r="A3595" s="119" t="s">
        <v>4101</v>
      </c>
      <c r="B3595" s="119" t="s">
        <v>10283</v>
      </c>
      <c r="C3595" s="119" t="s">
        <v>301</v>
      </c>
      <c r="D3595" t="s">
        <v>49</v>
      </c>
      <c r="E3595" s="117">
        <v>671.64</v>
      </c>
    </row>
    <row r="3596" spans="1:5" x14ac:dyDescent="0.25">
      <c r="A3596" s="119" t="s">
        <v>4103</v>
      </c>
      <c r="B3596" s="119" t="s">
        <v>4102</v>
      </c>
      <c r="C3596" s="119" t="s">
        <v>301</v>
      </c>
      <c r="D3596" t="s">
        <v>45</v>
      </c>
      <c r="E3596" s="117">
        <v>671.64</v>
      </c>
    </row>
    <row r="3597" spans="1:5" x14ac:dyDescent="0.25">
      <c r="A3597" s="119" t="s">
        <v>4104</v>
      </c>
      <c r="B3597" s="119" t="s">
        <v>10284</v>
      </c>
      <c r="C3597" s="119" t="s">
        <v>301</v>
      </c>
      <c r="D3597" t="s">
        <v>6760</v>
      </c>
      <c r="E3597" s="117">
        <v>442.56</v>
      </c>
    </row>
    <row r="3598" spans="1:5" x14ac:dyDescent="0.25">
      <c r="A3598" s="119" t="s">
        <v>4105</v>
      </c>
      <c r="B3598" s="119" t="s">
        <v>4106</v>
      </c>
      <c r="C3598" s="119" t="s">
        <v>301</v>
      </c>
      <c r="D3598" t="s">
        <v>45</v>
      </c>
      <c r="E3598" s="117">
        <v>0</v>
      </c>
    </row>
    <row r="3599" spans="1:5" x14ac:dyDescent="0.25">
      <c r="A3599" s="119" t="s">
        <v>4107</v>
      </c>
      <c r="B3599" s="119" t="s">
        <v>10285</v>
      </c>
      <c r="C3599" s="119" t="s">
        <v>301</v>
      </c>
      <c r="D3599" t="s">
        <v>6759</v>
      </c>
      <c r="E3599" s="117">
        <v>1359.23</v>
      </c>
    </row>
    <row r="3600" spans="1:5" x14ac:dyDescent="0.25">
      <c r="A3600" s="119" t="s">
        <v>4108</v>
      </c>
      <c r="B3600" s="119" t="s">
        <v>4109</v>
      </c>
      <c r="C3600" s="119" t="s">
        <v>301</v>
      </c>
      <c r="D3600" t="s">
        <v>45</v>
      </c>
      <c r="E3600" s="117">
        <v>0</v>
      </c>
    </row>
    <row r="3601" spans="1:5" x14ac:dyDescent="0.25">
      <c r="A3601" s="119" t="s">
        <v>4110</v>
      </c>
      <c r="B3601" s="119" t="s">
        <v>4111</v>
      </c>
      <c r="C3601" s="119" t="s">
        <v>66</v>
      </c>
      <c r="D3601" t="s">
        <v>45</v>
      </c>
      <c r="E3601" s="117">
        <v>0</v>
      </c>
    </row>
    <row r="3602" spans="1:5" x14ac:dyDescent="0.25">
      <c r="A3602" s="119" t="s">
        <v>8145</v>
      </c>
      <c r="B3602" s="119" t="s">
        <v>8440</v>
      </c>
      <c r="C3602" s="119" t="s">
        <v>66</v>
      </c>
      <c r="D3602" t="s">
        <v>45</v>
      </c>
      <c r="E3602" s="117">
        <v>9999</v>
      </c>
    </row>
    <row r="3603" spans="1:5" x14ac:dyDescent="0.25">
      <c r="A3603" s="119" t="s">
        <v>4112</v>
      </c>
      <c r="B3603" s="119" t="s">
        <v>10286</v>
      </c>
      <c r="C3603" s="119" t="s">
        <v>301</v>
      </c>
      <c r="D3603" t="s">
        <v>6759</v>
      </c>
      <c r="E3603" s="117">
        <v>501.7</v>
      </c>
    </row>
    <row r="3604" spans="1:5" x14ac:dyDescent="0.25">
      <c r="A3604" s="119" t="s">
        <v>4113</v>
      </c>
      <c r="B3604" s="119" t="s">
        <v>4114</v>
      </c>
      <c r="C3604" s="119" t="s">
        <v>301</v>
      </c>
      <c r="D3604" t="s">
        <v>45</v>
      </c>
      <c r="E3604" s="117">
        <v>0</v>
      </c>
    </row>
    <row r="3605" spans="1:5" x14ac:dyDescent="0.25">
      <c r="A3605" s="119" t="s">
        <v>4115</v>
      </c>
      <c r="B3605" s="119" t="s">
        <v>10287</v>
      </c>
      <c r="C3605" s="119" t="s">
        <v>301</v>
      </c>
      <c r="D3605" t="s">
        <v>49</v>
      </c>
      <c r="E3605" s="117">
        <v>930.46</v>
      </c>
    </row>
    <row r="3606" spans="1:5" x14ac:dyDescent="0.25">
      <c r="A3606" s="119" t="s">
        <v>4116</v>
      </c>
      <c r="B3606" s="119" t="s">
        <v>4117</v>
      </c>
      <c r="C3606" s="119" t="s">
        <v>301</v>
      </c>
      <c r="D3606" t="s">
        <v>45</v>
      </c>
      <c r="E3606" s="117">
        <v>0</v>
      </c>
    </row>
    <row r="3607" spans="1:5" x14ac:dyDescent="0.25">
      <c r="A3607" s="119" t="s">
        <v>4118</v>
      </c>
      <c r="B3607" s="119" t="s">
        <v>4119</v>
      </c>
      <c r="C3607" s="119" t="s">
        <v>301</v>
      </c>
      <c r="D3607" t="s">
        <v>45</v>
      </c>
      <c r="E3607" s="117">
        <v>0</v>
      </c>
    </row>
    <row r="3608" spans="1:5" x14ac:dyDescent="0.25">
      <c r="A3608" s="119" t="s">
        <v>4120</v>
      </c>
      <c r="B3608" s="119" t="s">
        <v>10288</v>
      </c>
      <c r="C3608" s="119" t="s">
        <v>301</v>
      </c>
      <c r="D3608" t="s">
        <v>45</v>
      </c>
      <c r="E3608" s="117">
        <v>3143.27</v>
      </c>
    </row>
    <row r="3609" spans="1:5" x14ac:dyDescent="0.25">
      <c r="A3609" s="119" t="s">
        <v>4121</v>
      </c>
      <c r="B3609" s="119" t="s">
        <v>10289</v>
      </c>
      <c r="C3609" s="119" t="s">
        <v>301</v>
      </c>
      <c r="D3609" t="s">
        <v>45</v>
      </c>
      <c r="E3609" s="117">
        <v>0</v>
      </c>
    </row>
    <row r="3610" spans="1:5" x14ac:dyDescent="0.25">
      <c r="A3610" s="119" t="s">
        <v>4122</v>
      </c>
      <c r="B3610" s="119" t="s">
        <v>10290</v>
      </c>
      <c r="C3610" s="119" t="s">
        <v>301</v>
      </c>
      <c r="D3610" t="s">
        <v>45</v>
      </c>
      <c r="E3610" s="117">
        <v>688.98</v>
      </c>
    </row>
    <row r="3611" spans="1:5" x14ac:dyDescent="0.25">
      <c r="A3611" s="119" t="s">
        <v>4123</v>
      </c>
      <c r="B3611" s="119" t="s">
        <v>10291</v>
      </c>
      <c r="C3611" s="119" t="s">
        <v>301</v>
      </c>
      <c r="D3611" t="s">
        <v>45</v>
      </c>
      <c r="E3611" s="117">
        <v>0</v>
      </c>
    </row>
    <row r="3612" spans="1:5" x14ac:dyDescent="0.25">
      <c r="A3612" s="119" t="s">
        <v>4124</v>
      </c>
      <c r="B3612" s="119" t="s">
        <v>10292</v>
      </c>
      <c r="C3612" s="119" t="s">
        <v>301</v>
      </c>
      <c r="D3612" t="s">
        <v>45</v>
      </c>
      <c r="E3612" s="117">
        <v>650</v>
      </c>
    </row>
    <row r="3613" spans="1:5" x14ac:dyDescent="0.25">
      <c r="A3613" s="119" t="s">
        <v>4125</v>
      </c>
      <c r="B3613" s="119" t="s">
        <v>2858</v>
      </c>
      <c r="C3613" s="119" t="s">
        <v>301</v>
      </c>
      <c r="D3613" t="s">
        <v>45</v>
      </c>
      <c r="E3613" s="117">
        <v>639.69000000000005</v>
      </c>
    </row>
    <row r="3614" spans="1:5" x14ac:dyDescent="0.25">
      <c r="A3614" s="119" t="s">
        <v>4126</v>
      </c>
      <c r="B3614" s="119" t="s">
        <v>10293</v>
      </c>
      <c r="C3614" s="119" t="s">
        <v>301</v>
      </c>
      <c r="D3614" t="s">
        <v>6760</v>
      </c>
      <c r="E3614" s="117">
        <v>1004.39</v>
      </c>
    </row>
    <row r="3615" spans="1:5" x14ac:dyDescent="0.25">
      <c r="A3615" s="119" t="s">
        <v>4127</v>
      </c>
      <c r="B3615" s="119" t="s">
        <v>10294</v>
      </c>
      <c r="C3615" s="119" t="s">
        <v>301</v>
      </c>
      <c r="D3615" t="s">
        <v>6759</v>
      </c>
      <c r="E3615" s="117">
        <v>984.67</v>
      </c>
    </row>
    <row r="3616" spans="1:5" x14ac:dyDescent="0.25">
      <c r="A3616" s="119" t="s">
        <v>4128</v>
      </c>
      <c r="B3616" s="119" t="s">
        <v>10295</v>
      </c>
      <c r="C3616" s="119" t="s">
        <v>301</v>
      </c>
      <c r="D3616" t="s">
        <v>49</v>
      </c>
      <c r="E3616" s="117">
        <v>984.67</v>
      </c>
    </row>
    <row r="3617" spans="1:5" x14ac:dyDescent="0.25">
      <c r="A3617" s="119" t="s">
        <v>4129</v>
      </c>
      <c r="B3617" s="119" t="s">
        <v>10296</v>
      </c>
      <c r="C3617" s="119" t="s">
        <v>301</v>
      </c>
      <c r="D3617" t="s">
        <v>6760</v>
      </c>
      <c r="E3617" s="117">
        <v>984.67</v>
      </c>
    </row>
    <row r="3618" spans="1:5" x14ac:dyDescent="0.25">
      <c r="A3618" s="119" t="s">
        <v>4130</v>
      </c>
      <c r="B3618" s="119" t="s">
        <v>10297</v>
      </c>
      <c r="C3618" s="119" t="s">
        <v>301</v>
      </c>
      <c r="D3618" t="s">
        <v>6759</v>
      </c>
      <c r="E3618" s="117">
        <v>984.67</v>
      </c>
    </row>
    <row r="3619" spans="1:5" x14ac:dyDescent="0.25">
      <c r="A3619" s="119" t="s">
        <v>4131</v>
      </c>
      <c r="B3619" s="119" t="s">
        <v>10298</v>
      </c>
      <c r="C3619" s="119" t="s">
        <v>301</v>
      </c>
      <c r="D3619" t="s">
        <v>49</v>
      </c>
      <c r="E3619" s="117">
        <v>984.67</v>
      </c>
    </row>
    <row r="3620" spans="1:5" x14ac:dyDescent="0.25">
      <c r="A3620" s="119" t="s">
        <v>4132</v>
      </c>
      <c r="B3620" s="119" t="s">
        <v>10299</v>
      </c>
      <c r="C3620" s="119" t="s">
        <v>301</v>
      </c>
      <c r="D3620" t="s">
        <v>45</v>
      </c>
      <c r="E3620" s="117">
        <v>661.5</v>
      </c>
    </row>
    <row r="3621" spans="1:5" x14ac:dyDescent="0.25">
      <c r="A3621" s="119" t="s">
        <v>4133</v>
      </c>
      <c r="B3621" s="119" t="s">
        <v>10300</v>
      </c>
      <c r="C3621" s="119" t="s">
        <v>301</v>
      </c>
      <c r="D3621" t="s">
        <v>45</v>
      </c>
      <c r="E3621" s="117">
        <v>304.45999999999998</v>
      </c>
    </row>
    <row r="3622" spans="1:5" x14ac:dyDescent="0.25">
      <c r="A3622" s="119" t="s">
        <v>4134</v>
      </c>
      <c r="B3622" s="119" t="s">
        <v>10301</v>
      </c>
      <c r="C3622" s="119" t="s">
        <v>301</v>
      </c>
      <c r="D3622" t="s">
        <v>51</v>
      </c>
      <c r="E3622" s="117">
        <v>372.1</v>
      </c>
    </row>
    <row r="3623" spans="1:5" x14ac:dyDescent="0.25">
      <c r="A3623" s="119" t="s">
        <v>4135</v>
      </c>
      <c r="B3623" s="119" t="s">
        <v>10302</v>
      </c>
      <c r="C3623" s="119" t="s">
        <v>301</v>
      </c>
      <c r="D3623" t="s">
        <v>49</v>
      </c>
      <c r="E3623" s="117">
        <v>372.1</v>
      </c>
    </row>
    <row r="3624" spans="1:5" x14ac:dyDescent="0.25">
      <c r="A3624" s="119" t="s">
        <v>4136</v>
      </c>
      <c r="B3624" s="119" t="s">
        <v>10303</v>
      </c>
      <c r="C3624" s="119" t="s">
        <v>301</v>
      </c>
      <c r="D3624" t="s">
        <v>45</v>
      </c>
      <c r="E3624" s="117">
        <v>372.1</v>
      </c>
    </row>
    <row r="3625" spans="1:5" x14ac:dyDescent="0.25">
      <c r="A3625" s="119" t="s">
        <v>4137</v>
      </c>
      <c r="B3625" s="119" t="s">
        <v>10304</v>
      </c>
      <c r="C3625" s="119" t="s">
        <v>301</v>
      </c>
      <c r="D3625" t="s">
        <v>6759</v>
      </c>
      <c r="E3625" s="117">
        <v>534.45000000000005</v>
      </c>
    </row>
    <row r="3626" spans="1:5" x14ac:dyDescent="0.25">
      <c r="A3626" s="119" t="s">
        <v>4138</v>
      </c>
      <c r="B3626" s="119" t="s">
        <v>10305</v>
      </c>
      <c r="C3626" s="119" t="s">
        <v>301</v>
      </c>
      <c r="D3626" t="s">
        <v>45</v>
      </c>
      <c r="E3626" s="117">
        <v>0</v>
      </c>
    </row>
    <row r="3627" spans="1:5" x14ac:dyDescent="0.25">
      <c r="A3627" s="119" t="s">
        <v>4139</v>
      </c>
      <c r="B3627" s="119" t="s">
        <v>10306</v>
      </c>
      <c r="C3627" s="119" t="s">
        <v>301</v>
      </c>
      <c r="D3627" t="s">
        <v>45</v>
      </c>
      <c r="E3627" s="117">
        <v>1164.75</v>
      </c>
    </row>
    <row r="3628" spans="1:5" x14ac:dyDescent="0.25">
      <c r="A3628" s="119" t="s">
        <v>4140</v>
      </c>
      <c r="B3628" s="119" t="s">
        <v>10307</v>
      </c>
      <c r="C3628" s="119" t="s">
        <v>301</v>
      </c>
      <c r="D3628" t="s">
        <v>45</v>
      </c>
      <c r="E3628" s="117">
        <v>1164.75</v>
      </c>
    </row>
    <row r="3629" spans="1:5" x14ac:dyDescent="0.25">
      <c r="A3629" s="119" t="s">
        <v>4141</v>
      </c>
      <c r="B3629" s="119" t="s">
        <v>10308</v>
      </c>
      <c r="C3629" s="119" t="s">
        <v>301</v>
      </c>
      <c r="D3629" t="s">
        <v>45</v>
      </c>
      <c r="E3629" s="117">
        <v>628.95000000000005</v>
      </c>
    </row>
    <row r="3630" spans="1:5" x14ac:dyDescent="0.25">
      <c r="A3630" s="119" t="s">
        <v>4142</v>
      </c>
      <c r="B3630" s="119" t="s">
        <v>10309</v>
      </c>
      <c r="C3630" s="119" t="s">
        <v>301</v>
      </c>
      <c r="D3630" t="s">
        <v>45</v>
      </c>
      <c r="E3630" s="117">
        <v>0</v>
      </c>
    </row>
    <row r="3631" spans="1:5" x14ac:dyDescent="0.25">
      <c r="A3631" s="119" t="s">
        <v>4144</v>
      </c>
      <c r="B3631" s="119" t="s">
        <v>10310</v>
      </c>
      <c r="C3631" s="119" t="s">
        <v>301</v>
      </c>
      <c r="D3631" t="s">
        <v>6759</v>
      </c>
      <c r="E3631" s="117">
        <v>628.95000000000005</v>
      </c>
    </row>
    <row r="3632" spans="1:5" x14ac:dyDescent="0.25">
      <c r="A3632" s="119" t="s">
        <v>4145</v>
      </c>
      <c r="B3632" s="119" t="s">
        <v>10309</v>
      </c>
      <c r="C3632" s="119" t="s">
        <v>301</v>
      </c>
      <c r="D3632" t="s">
        <v>45</v>
      </c>
      <c r="E3632" s="117">
        <v>0</v>
      </c>
    </row>
    <row r="3633" spans="1:5" x14ac:dyDescent="0.25">
      <c r="A3633" s="119" t="s">
        <v>4146</v>
      </c>
      <c r="B3633" s="119" t="s">
        <v>10311</v>
      </c>
      <c r="C3633" s="119" t="s">
        <v>301</v>
      </c>
      <c r="D3633" t="s">
        <v>6759</v>
      </c>
      <c r="E3633" s="117">
        <v>829</v>
      </c>
    </row>
    <row r="3634" spans="1:5" x14ac:dyDescent="0.25">
      <c r="A3634" s="119" t="s">
        <v>4147</v>
      </c>
      <c r="B3634" s="119" t="s">
        <v>4143</v>
      </c>
      <c r="C3634" s="119" t="s">
        <v>301</v>
      </c>
      <c r="D3634" t="s">
        <v>6759</v>
      </c>
      <c r="E3634" s="117">
        <v>1</v>
      </c>
    </row>
    <row r="3635" spans="1:5" x14ac:dyDescent="0.25">
      <c r="A3635" s="119" t="s">
        <v>4148</v>
      </c>
      <c r="B3635" s="119" t="s">
        <v>10312</v>
      </c>
      <c r="C3635" s="119" t="s">
        <v>301</v>
      </c>
      <c r="D3635" t="s">
        <v>49</v>
      </c>
      <c r="E3635" s="117">
        <v>829</v>
      </c>
    </row>
    <row r="3636" spans="1:5" x14ac:dyDescent="0.25">
      <c r="A3636" s="119" t="s">
        <v>4149</v>
      </c>
      <c r="B3636" s="119" t="s">
        <v>4143</v>
      </c>
      <c r="C3636" s="119" t="s">
        <v>301</v>
      </c>
      <c r="D3636" t="s">
        <v>6759</v>
      </c>
      <c r="E3636" s="117">
        <v>1</v>
      </c>
    </row>
    <row r="3637" spans="1:5" x14ac:dyDescent="0.25">
      <c r="A3637" s="119" t="s">
        <v>4150</v>
      </c>
      <c r="B3637" s="119" t="s">
        <v>10313</v>
      </c>
      <c r="C3637" s="119" t="s">
        <v>301</v>
      </c>
      <c r="D3637" t="s">
        <v>6760</v>
      </c>
      <c r="E3637" s="117">
        <v>899</v>
      </c>
    </row>
    <row r="3638" spans="1:5" x14ac:dyDescent="0.25">
      <c r="A3638" s="119" t="s">
        <v>4151</v>
      </c>
      <c r="B3638" s="119" t="s">
        <v>4143</v>
      </c>
      <c r="C3638" s="119" t="s">
        <v>301</v>
      </c>
      <c r="D3638" t="s">
        <v>45</v>
      </c>
      <c r="E3638" s="117">
        <v>1</v>
      </c>
    </row>
    <row r="3639" spans="1:5" x14ac:dyDescent="0.25">
      <c r="A3639" s="119" t="s">
        <v>4152</v>
      </c>
      <c r="B3639" s="119" t="s">
        <v>10314</v>
      </c>
      <c r="C3639" s="119" t="s">
        <v>301</v>
      </c>
      <c r="D3639" t="s">
        <v>49</v>
      </c>
      <c r="E3639" s="117">
        <v>899</v>
      </c>
    </row>
    <row r="3640" spans="1:5" x14ac:dyDescent="0.25">
      <c r="A3640" s="119" t="s">
        <v>4153</v>
      </c>
      <c r="B3640" s="119" t="s">
        <v>4143</v>
      </c>
      <c r="C3640" s="119" t="s">
        <v>301</v>
      </c>
      <c r="D3640" t="s">
        <v>6759</v>
      </c>
      <c r="E3640" s="117">
        <v>1</v>
      </c>
    </row>
    <row r="3641" spans="1:5" x14ac:dyDescent="0.25">
      <c r="A3641" s="119" t="s">
        <v>12224</v>
      </c>
      <c r="B3641" s="119" t="s">
        <v>11905</v>
      </c>
      <c r="C3641" s="119" t="s">
        <v>301</v>
      </c>
      <c r="D3641" t="s">
        <v>45</v>
      </c>
      <c r="E3641" s="117">
        <v>99999999</v>
      </c>
    </row>
    <row r="3642" spans="1:5" x14ac:dyDescent="0.25">
      <c r="A3642" s="119" t="s">
        <v>12201</v>
      </c>
      <c r="B3642" s="119" t="s">
        <v>11905</v>
      </c>
      <c r="C3642" s="119" t="s">
        <v>301</v>
      </c>
      <c r="D3642" t="s">
        <v>45</v>
      </c>
      <c r="E3642" s="117">
        <v>9999</v>
      </c>
    </row>
    <row r="3643" spans="1:5" x14ac:dyDescent="0.25">
      <c r="A3643" s="119" t="s">
        <v>4154</v>
      </c>
      <c r="B3643" s="119" t="s">
        <v>10315</v>
      </c>
      <c r="C3643" s="119" t="s">
        <v>301</v>
      </c>
      <c r="D3643" t="s">
        <v>45</v>
      </c>
      <c r="E3643" s="117">
        <v>0</v>
      </c>
    </row>
    <row r="3644" spans="1:5" x14ac:dyDescent="0.25">
      <c r="A3644" s="119" t="s">
        <v>4155</v>
      </c>
      <c r="B3644" s="119" t="s">
        <v>10316</v>
      </c>
      <c r="C3644" s="119" t="s">
        <v>301</v>
      </c>
      <c r="D3644" t="s">
        <v>45</v>
      </c>
      <c r="E3644" s="117">
        <v>1474.95</v>
      </c>
    </row>
    <row r="3645" spans="1:5" x14ac:dyDescent="0.25">
      <c r="A3645" s="119" t="s">
        <v>7663</v>
      </c>
      <c r="B3645" s="119" t="s">
        <v>7664</v>
      </c>
      <c r="C3645" s="119" t="s">
        <v>66</v>
      </c>
      <c r="D3645" t="s">
        <v>6759</v>
      </c>
      <c r="E3645" s="117">
        <v>9999</v>
      </c>
    </row>
    <row r="3646" spans="1:5" x14ac:dyDescent="0.25">
      <c r="A3646" s="119" t="s">
        <v>4156</v>
      </c>
      <c r="B3646" s="119" t="s">
        <v>4157</v>
      </c>
      <c r="C3646" s="119" t="s">
        <v>301</v>
      </c>
      <c r="D3646" t="s">
        <v>45</v>
      </c>
      <c r="E3646" s="117">
        <v>225.72</v>
      </c>
    </row>
    <row r="3647" spans="1:5" x14ac:dyDescent="0.25">
      <c r="A3647" s="119" t="s">
        <v>4158</v>
      </c>
      <c r="B3647" s="119" t="s">
        <v>10317</v>
      </c>
      <c r="C3647" s="119" t="s">
        <v>301</v>
      </c>
      <c r="D3647" t="s">
        <v>45</v>
      </c>
      <c r="E3647" s="117">
        <v>0</v>
      </c>
    </row>
    <row r="3648" spans="1:5" x14ac:dyDescent="0.25">
      <c r="A3648" s="119" t="s">
        <v>4159</v>
      </c>
      <c r="B3648" s="119" t="s">
        <v>10318</v>
      </c>
      <c r="C3648" s="119" t="s">
        <v>301</v>
      </c>
      <c r="D3648" t="s">
        <v>6759</v>
      </c>
      <c r="E3648" s="117">
        <v>590.4</v>
      </c>
    </row>
    <row r="3649" spans="1:5" x14ac:dyDescent="0.25">
      <c r="A3649" s="119" t="s">
        <v>4160</v>
      </c>
      <c r="B3649" s="119" t="s">
        <v>10317</v>
      </c>
      <c r="C3649" s="119" t="s">
        <v>301</v>
      </c>
      <c r="D3649" t="s">
        <v>45</v>
      </c>
      <c r="E3649" s="117">
        <v>0</v>
      </c>
    </row>
    <row r="3650" spans="1:5" x14ac:dyDescent="0.25">
      <c r="A3650" s="119" t="s">
        <v>4161</v>
      </c>
      <c r="B3650" s="119" t="s">
        <v>10319</v>
      </c>
      <c r="C3650" s="119" t="s">
        <v>301</v>
      </c>
      <c r="D3650" t="s">
        <v>45</v>
      </c>
      <c r="E3650" s="117">
        <v>0</v>
      </c>
    </row>
    <row r="3651" spans="1:5" x14ac:dyDescent="0.25">
      <c r="A3651" s="119" t="s">
        <v>4162</v>
      </c>
      <c r="B3651" s="119" t="s">
        <v>10320</v>
      </c>
      <c r="C3651" s="119" t="s">
        <v>301</v>
      </c>
      <c r="D3651" t="s">
        <v>49</v>
      </c>
      <c r="E3651" s="117">
        <v>974.82</v>
      </c>
    </row>
    <row r="3652" spans="1:5" x14ac:dyDescent="0.25">
      <c r="A3652" s="119" t="s">
        <v>4163</v>
      </c>
      <c r="B3652" s="119" t="s">
        <v>4164</v>
      </c>
      <c r="C3652" s="119" t="s">
        <v>301</v>
      </c>
      <c r="D3652" t="s">
        <v>45</v>
      </c>
      <c r="E3652" s="117">
        <v>0</v>
      </c>
    </row>
    <row r="3653" spans="1:5" x14ac:dyDescent="0.25">
      <c r="A3653" s="119" t="s">
        <v>4165</v>
      </c>
      <c r="B3653" s="119" t="s">
        <v>10321</v>
      </c>
      <c r="C3653" s="119" t="s">
        <v>301</v>
      </c>
      <c r="D3653" t="s">
        <v>45</v>
      </c>
      <c r="E3653" s="117">
        <v>1442.19</v>
      </c>
    </row>
    <row r="3654" spans="1:5" x14ac:dyDescent="0.25">
      <c r="A3654" s="119" t="s">
        <v>4166</v>
      </c>
      <c r="B3654" s="119" t="s">
        <v>10322</v>
      </c>
      <c r="C3654" s="119" t="s">
        <v>301</v>
      </c>
      <c r="D3654" t="s">
        <v>45</v>
      </c>
      <c r="E3654" s="117">
        <v>1442.19</v>
      </c>
    </row>
    <row r="3655" spans="1:5" x14ac:dyDescent="0.25">
      <c r="A3655" s="119" t="s">
        <v>4167</v>
      </c>
      <c r="B3655" s="119" t="s">
        <v>10323</v>
      </c>
      <c r="C3655" s="119" t="s">
        <v>301</v>
      </c>
      <c r="D3655" t="s">
        <v>45</v>
      </c>
      <c r="E3655" s="117">
        <v>0</v>
      </c>
    </row>
    <row r="3656" spans="1:5" x14ac:dyDescent="0.25">
      <c r="A3656" s="119" t="s">
        <v>4168</v>
      </c>
      <c r="B3656" s="119" t="s">
        <v>10324</v>
      </c>
      <c r="C3656" s="119" t="s">
        <v>301</v>
      </c>
      <c r="D3656" t="s">
        <v>6759</v>
      </c>
      <c r="E3656" s="117">
        <v>728.41</v>
      </c>
    </row>
    <row r="3657" spans="1:5" x14ac:dyDescent="0.25">
      <c r="A3657" s="119" t="s">
        <v>4169</v>
      </c>
      <c r="B3657" s="119" t="s">
        <v>10325</v>
      </c>
      <c r="C3657" s="119" t="s">
        <v>301</v>
      </c>
      <c r="D3657" t="s">
        <v>45</v>
      </c>
      <c r="E3657" s="117">
        <v>2236.46</v>
      </c>
    </row>
    <row r="3658" spans="1:5" x14ac:dyDescent="0.25">
      <c r="A3658" s="119" t="s">
        <v>4170</v>
      </c>
      <c r="B3658" s="119" t="s">
        <v>10326</v>
      </c>
      <c r="C3658" s="119" t="s">
        <v>301</v>
      </c>
      <c r="D3658" t="s">
        <v>49</v>
      </c>
      <c r="E3658" s="117">
        <v>1231.08</v>
      </c>
    </row>
    <row r="3659" spans="1:5" x14ac:dyDescent="0.25">
      <c r="A3659" s="119" t="s">
        <v>4171</v>
      </c>
      <c r="B3659" s="119" t="s">
        <v>10327</v>
      </c>
      <c r="C3659" s="119" t="s">
        <v>301</v>
      </c>
      <c r="D3659" t="s">
        <v>45</v>
      </c>
      <c r="E3659" s="117">
        <v>0</v>
      </c>
    </row>
    <row r="3660" spans="1:5" x14ac:dyDescent="0.25">
      <c r="A3660" s="119" t="s">
        <v>4172</v>
      </c>
      <c r="B3660" s="119" t="s">
        <v>10328</v>
      </c>
      <c r="C3660" s="119" t="s">
        <v>301</v>
      </c>
      <c r="D3660" t="s">
        <v>45</v>
      </c>
      <c r="E3660" s="117">
        <v>0</v>
      </c>
    </row>
    <row r="3661" spans="1:5" x14ac:dyDescent="0.25">
      <c r="A3661" s="119" t="s">
        <v>4173</v>
      </c>
      <c r="B3661" s="119" t="s">
        <v>10329</v>
      </c>
      <c r="C3661" s="119" t="s">
        <v>301</v>
      </c>
      <c r="D3661" t="s">
        <v>6759</v>
      </c>
      <c r="E3661" s="117">
        <v>4955.9399999999996</v>
      </c>
    </row>
    <row r="3662" spans="1:5" x14ac:dyDescent="0.25">
      <c r="A3662" s="119" t="s">
        <v>4174</v>
      </c>
      <c r="B3662" s="119" t="s">
        <v>10330</v>
      </c>
      <c r="C3662" s="119" t="s">
        <v>301</v>
      </c>
      <c r="D3662" t="s">
        <v>6759</v>
      </c>
      <c r="E3662" s="117">
        <v>27999</v>
      </c>
    </row>
    <row r="3663" spans="1:5" x14ac:dyDescent="0.25">
      <c r="A3663" s="119" t="s">
        <v>4175</v>
      </c>
      <c r="B3663" s="119" t="s">
        <v>10331</v>
      </c>
      <c r="C3663" s="119" t="s">
        <v>301</v>
      </c>
      <c r="D3663" t="s">
        <v>6759</v>
      </c>
      <c r="E3663" s="117">
        <v>1</v>
      </c>
    </row>
    <row r="3664" spans="1:5" x14ac:dyDescent="0.25">
      <c r="A3664" s="119" t="s">
        <v>4176</v>
      </c>
      <c r="B3664" s="119" t="s">
        <v>10332</v>
      </c>
      <c r="C3664" s="119" t="s">
        <v>301</v>
      </c>
      <c r="D3664" t="s">
        <v>6759</v>
      </c>
      <c r="E3664" s="117">
        <v>27999</v>
      </c>
    </row>
    <row r="3665" spans="1:5" x14ac:dyDescent="0.25">
      <c r="A3665" s="119" t="s">
        <v>4177</v>
      </c>
      <c r="B3665" s="119" t="s">
        <v>10331</v>
      </c>
      <c r="C3665" s="119" t="s">
        <v>301</v>
      </c>
      <c r="D3665" t="s">
        <v>6759</v>
      </c>
      <c r="E3665" s="117">
        <v>4955.9399999999996</v>
      </c>
    </row>
    <row r="3666" spans="1:5" x14ac:dyDescent="0.25">
      <c r="A3666" s="119" t="s">
        <v>4178</v>
      </c>
      <c r="B3666" s="119" t="s">
        <v>10333</v>
      </c>
      <c r="C3666" s="119" t="s">
        <v>301</v>
      </c>
      <c r="D3666" t="s">
        <v>6759</v>
      </c>
      <c r="E3666" s="117">
        <v>25999</v>
      </c>
    </row>
    <row r="3667" spans="1:5" x14ac:dyDescent="0.25">
      <c r="A3667" s="119" t="s">
        <v>4180</v>
      </c>
      <c r="B3667" s="119" t="s">
        <v>4179</v>
      </c>
      <c r="C3667" s="119" t="s">
        <v>301</v>
      </c>
      <c r="D3667" t="s">
        <v>45</v>
      </c>
      <c r="E3667" s="117">
        <v>999999</v>
      </c>
    </row>
    <row r="3668" spans="1:5" x14ac:dyDescent="0.25">
      <c r="A3668" s="119" t="s">
        <v>4181</v>
      </c>
      <c r="B3668" s="119" t="s">
        <v>10334</v>
      </c>
      <c r="C3668" s="119" t="s">
        <v>301</v>
      </c>
      <c r="D3668" t="s">
        <v>6759</v>
      </c>
      <c r="E3668" s="117">
        <v>25999</v>
      </c>
    </row>
    <row r="3669" spans="1:5" x14ac:dyDescent="0.25">
      <c r="A3669" s="119" t="s">
        <v>4182</v>
      </c>
      <c r="B3669" s="119" t="s">
        <v>4179</v>
      </c>
      <c r="C3669" s="119" t="s">
        <v>301</v>
      </c>
      <c r="D3669" t="s">
        <v>6759</v>
      </c>
      <c r="E3669" s="117">
        <v>999999</v>
      </c>
    </row>
    <row r="3670" spans="1:5" x14ac:dyDescent="0.25">
      <c r="A3670" s="119" t="s">
        <v>4183</v>
      </c>
      <c r="B3670" s="119" t="s">
        <v>10335</v>
      </c>
      <c r="C3670" s="119" t="s">
        <v>301</v>
      </c>
      <c r="D3670" t="s">
        <v>6759</v>
      </c>
      <c r="E3670" s="117">
        <v>25999</v>
      </c>
    </row>
    <row r="3671" spans="1:5" x14ac:dyDescent="0.25">
      <c r="A3671" s="119" t="s">
        <v>4184</v>
      </c>
      <c r="B3671" s="119" t="s">
        <v>6895</v>
      </c>
      <c r="C3671" s="119" t="s">
        <v>301</v>
      </c>
      <c r="D3671" t="s">
        <v>45</v>
      </c>
      <c r="E3671" s="117">
        <v>25999</v>
      </c>
    </row>
    <row r="3672" spans="1:5" x14ac:dyDescent="0.25">
      <c r="A3672" s="119" t="s">
        <v>4185</v>
      </c>
      <c r="B3672" s="119" t="s">
        <v>7665</v>
      </c>
      <c r="C3672" s="119" t="s">
        <v>301</v>
      </c>
      <c r="D3672" t="s">
        <v>45</v>
      </c>
      <c r="E3672" s="117">
        <v>3251.68</v>
      </c>
    </row>
    <row r="3673" spans="1:5" x14ac:dyDescent="0.25">
      <c r="A3673" s="119" t="s">
        <v>4186</v>
      </c>
      <c r="B3673" s="119" t="s">
        <v>10336</v>
      </c>
      <c r="C3673" s="119" t="s">
        <v>301</v>
      </c>
      <c r="D3673" t="s">
        <v>45</v>
      </c>
      <c r="E3673" s="117">
        <v>720</v>
      </c>
    </row>
    <row r="3674" spans="1:5" x14ac:dyDescent="0.25">
      <c r="A3674" s="119" t="s">
        <v>4187</v>
      </c>
      <c r="B3674" s="119" t="s">
        <v>4188</v>
      </c>
      <c r="C3674" s="119" t="s">
        <v>301</v>
      </c>
      <c r="D3674" t="s">
        <v>6759</v>
      </c>
      <c r="E3674" s="117">
        <v>99999</v>
      </c>
    </row>
    <row r="3675" spans="1:5" x14ac:dyDescent="0.25">
      <c r="A3675" s="119" t="s">
        <v>4189</v>
      </c>
      <c r="B3675" s="119" t="s">
        <v>10337</v>
      </c>
      <c r="C3675" s="119" t="s">
        <v>301</v>
      </c>
      <c r="D3675" t="s">
        <v>6759</v>
      </c>
      <c r="E3675" s="117">
        <v>720</v>
      </c>
    </row>
    <row r="3676" spans="1:5" x14ac:dyDescent="0.25">
      <c r="A3676" s="119" t="s">
        <v>4190</v>
      </c>
      <c r="B3676" s="119" t="s">
        <v>10338</v>
      </c>
      <c r="C3676" s="119" t="s">
        <v>301</v>
      </c>
      <c r="D3676" t="s">
        <v>6759</v>
      </c>
      <c r="E3676" s="117">
        <v>720</v>
      </c>
    </row>
    <row r="3677" spans="1:5" x14ac:dyDescent="0.25">
      <c r="A3677" s="119" t="s">
        <v>4191</v>
      </c>
      <c r="B3677" s="119" t="s">
        <v>4192</v>
      </c>
      <c r="C3677" s="119" t="s">
        <v>301</v>
      </c>
      <c r="D3677" t="s">
        <v>45</v>
      </c>
      <c r="E3677" s="117">
        <v>1181.81</v>
      </c>
    </row>
    <row r="3678" spans="1:5" x14ac:dyDescent="0.25">
      <c r="A3678" s="119" t="s">
        <v>4193</v>
      </c>
      <c r="B3678" s="119" t="s">
        <v>4194</v>
      </c>
      <c r="C3678" s="119" t="s">
        <v>301</v>
      </c>
      <c r="D3678" t="s">
        <v>45</v>
      </c>
      <c r="E3678" s="117">
        <v>0</v>
      </c>
    </row>
    <row r="3679" spans="1:5" x14ac:dyDescent="0.25">
      <c r="A3679" s="119" t="s">
        <v>4195</v>
      </c>
      <c r="B3679" s="119" t="s">
        <v>10339</v>
      </c>
      <c r="C3679" s="119" t="s">
        <v>301</v>
      </c>
      <c r="D3679" t="s">
        <v>45</v>
      </c>
      <c r="E3679" s="117">
        <v>3695.23</v>
      </c>
    </row>
    <row r="3680" spans="1:5" x14ac:dyDescent="0.25">
      <c r="A3680" s="119" t="s">
        <v>4196</v>
      </c>
      <c r="B3680" s="119" t="s">
        <v>4197</v>
      </c>
      <c r="C3680" s="119" t="s">
        <v>301</v>
      </c>
      <c r="D3680" t="s">
        <v>45</v>
      </c>
      <c r="E3680" s="117">
        <v>1180</v>
      </c>
    </row>
    <row r="3681" spans="1:5" x14ac:dyDescent="0.25">
      <c r="A3681" s="119" t="s">
        <v>4198</v>
      </c>
      <c r="B3681" s="119" t="s">
        <v>10340</v>
      </c>
      <c r="C3681" s="119" t="s">
        <v>301</v>
      </c>
      <c r="D3681" t="s">
        <v>45</v>
      </c>
      <c r="E3681" s="117">
        <v>2349.81</v>
      </c>
    </row>
    <row r="3682" spans="1:5" x14ac:dyDescent="0.25">
      <c r="A3682" s="119" t="s">
        <v>4199</v>
      </c>
      <c r="B3682" s="119" t="s">
        <v>10341</v>
      </c>
      <c r="C3682" s="119" t="s">
        <v>301</v>
      </c>
      <c r="D3682" t="s">
        <v>45</v>
      </c>
      <c r="E3682" s="117">
        <v>1507.08</v>
      </c>
    </row>
    <row r="3683" spans="1:5" x14ac:dyDescent="0.25">
      <c r="A3683" s="119" t="s">
        <v>4200</v>
      </c>
      <c r="B3683" s="119" t="s">
        <v>10342</v>
      </c>
      <c r="C3683" s="119" t="s">
        <v>301</v>
      </c>
      <c r="D3683" t="s">
        <v>45</v>
      </c>
      <c r="E3683" s="117">
        <v>1435.31</v>
      </c>
    </row>
    <row r="3684" spans="1:5" x14ac:dyDescent="0.25">
      <c r="A3684" s="119" t="s">
        <v>4201</v>
      </c>
      <c r="B3684" s="119" t="s">
        <v>10343</v>
      </c>
      <c r="C3684" s="119" t="s">
        <v>301</v>
      </c>
      <c r="D3684" t="s">
        <v>45</v>
      </c>
      <c r="E3684" s="117">
        <v>481.99</v>
      </c>
    </row>
    <row r="3685" spans="1:5" x14ac:dyDescent="0.25">
      <c r="A3685" s="119" t="s">
        <v>4202</v>
      </c>
      <c r="B3685" s="119" t="s">
        <v>10344</v>
      </c>
      <c r="C3685" s="119" t="s">
        <v>301</v>
      </c>
      <c r="D3685" t="s">
        <v>45</v>
      </c>
      <c r="E3685" s="117">
        <v>0</v>
      </c>
    </row>
    <row r="3686" spans="1:5" x14ac:dyDescent="0.25">
      <c r="A3686" s="119" t="s">
        <v>4203</v>
      </c>
      <c r="B3686" s="119" t="s">
        <v>10345</v>
      </c>
      <c r="C3686" s="119" t="s">
        <v>301</v>
      </c>
      <c r="D3686" t="s">
        <v>45</v>
      </c>
      <c r="E3686" s="117">
        <v>950.18</v>
      </c>
    </row>
    <row r="3687" spans="1:5" x14ac:dyDescent="0.25">
      <c r="A3687" s="119" t="s">
        <v>4204</v>
      </c>
      <c r="B3687" s="119" t="s">
        <v>10346</v>
      </c>
      <c r="C3687" s="119" t="s">
        <v>301</v>
      </c>
      <c r="D3687" t="s">
        <v>45</v>
      </c>
      <c r="E3687" s="117">
        <v>275</v>
      </c>
    </row>
    <row r="3688" spans="1:5" x14ac:dyDescent="0.25">
      <c r="A3688" s="119" t="s">
        <v>4205</v>
      </c>
      <c r="B3688" s="119" t="s">
        <v>10347</v>
      </c>
      <c r="C3688" s="119" t="s">
        <v>301</v>
      </c>
      <c r="D3688" t="s">
        <v>45</v>
      </c>
      <c r="E3688" s="117">
        <v>536.19000000000005</v>
      </c>
    </row>
    <row r="3689" spans="1:5" x14ac:dyDescent="0.25">
      <c r="A3689" s="119" t="s">
        <v>4206</v>
      </c>
      <c r="B3689" s="119" t="s">
        <v>10348</v>
      </c>
      <c r="C3689" s="119" t="s">
        <v>301</v>
      </c>
      <c r="D3689" t="s">
        <v>45</v>
      </c>
      <c r="E3689" s="117">
        <v>491.84</v>
      </c>
    </row>
    <row r="3690" spans="1:5" x14ac:dyDescent="0.25">
      <c r="A3690" s="119" t="s">
        <v>4207</v>
      </c>
      <c r="B3690" s="119" t="s">
        <v>10349</v>
      </c>
      <c r="C3690" s="119" t="s">
        <v>301</v>
      </c>
      <c r="D3690" t="s">
        <v>45</v>
      </c>
      <c r="E3690" s="117">
        <v>0</v>
      </c>
    </row>
    <row r="3691" spans="1:5" x14ac:dyDescent="0.25">
      <c r="A3691" s="119" t="s">
        <v>4208</v>
      </c>
      <c r="B3691" s="119" t="s">
        <v>10350</v>
      </c>
      <c r="C3691" s="119" t="s">
        <v>301</v>
      </c>
      <c r="D3691" t="s">
        <v>45</v>
      </c>
      <c r="E3691" s="117">
        <v>1951.6</v>
      </c>
    </row>
    <row r="3692" spans="1:5" x14ac:dyDescent="0.25">
      <c r="A3692" s="119" t="s">
        <v>4209</v>
      </c>
      <c r="B3692" s="119" t="s">
        <v>10351</v>
      </c>
      <c r="C3692" s="119" t="s">
        <v>301</v>
      </c>
      <c r="D3692" t="s">
        <v>45</v>
      </c>
      <c r="E3692" s="117">
        <v>925.53</v>
      </c>
    </row>
    <row r="3693" spans="1:5" x14ac:dyDescent="0.25">
      <c r="A3693" s="119" t="s">
        <v>4210</v>
      </c>
      <c r="B3693" s="119" t="s">
        <v>10352</v>
      </c>
      <c r="C3693" s="119" t="s">
        <v>301</v>
      </c>
      <c r="D3693" t="s">
        <v>45</v>
      </c>
      <c r="E3693" s="117">
        <v>358.77</v>
      </c>
    </row>
    <row r="3694" spans="1:5" x14ac:dyDescent="0.25">
      <c r="A3694" s="119" t="s">
        <v>4211</v>
      </c>
      <c r="B3694" s="119" t="s">
        <v>10353</v>
      </c>
      <c r="C3694" s="119" t="s">
        <v>301</v>
      </c>
      <c r="D3694" t="s">
        <v>45</v>
      </c>
      <c r="E3694" s="117">
        <v>1313.27</v>
      </c>
    </row>
    <row r="3695" spans="1:5" x14ac:dyDescent="0.25">
      <c r="A3695" s="119" t="s">
        <v>4212</v>
      </c>
      <c r="B3695" s="119" t="s">
        <v>10354</v>
      </c>
      <c r="C3695" s="119" t="s">
        <v>301</v>
      </c>
      <c r="D3695" t="s">
        <v>45</v>
      </c>
      <c r="E3695" s="117">
        <v>501.7</v>
      </c>
    </row>
    <row r="3696" spans="1:5" x14ac:dyDescent="0.25">
      <c r="A3696" s="119" t="s">
        <v>4213</v>
      </c>
      <c r="B3696" s="119" t="s">
        <v>4214</v>
      </c>
      <c r="C3696" s="119" t="s">
        <v>301</v>
      </c>
      <c r="D3696" t="s">
        <v>45</v>
      </c>
      <c r="E3696" s="117">
        <v>0</v>
      </c>
    </row>
    <row r="3697" spans="1:5" x14ac:dyDescent="0.25">
      <c r="A3697" s="119" t="s">
        <v>4215</v>
      </c>
      <c r="B3697" s="119" t="s">
        <v>10355</v>
      </c>
      <c r="C3697" s="119" t="s">
        <v>301</v>
      </c>
      <c r="D3697" t="s">
        <v>45</v>
      </c>
      <c r="E3697" s="117">
        <v>580.55999999999995</v>
      </c>
    </row>
    <row r="3698" spans="1:5" x14ac:dyDescent="0.25">
      <c r="A3698" s="119" t="s">
        <v>4216</v>
      </c>
      <c r="B3698" s="119" t="s">
        <v>10356</v>
      </c>
      <c r="C3698" s="119" t="s">
        <v>301</v>
      </c>
      <c r="D3698" t="s">
        <v>45</v>
      </c>
      <c r="E3698" s="117">
        <v>0</v>
      </c>
    </row>
    <row r="3699" spans="1:5" x14ac:dyDescent="0.25">
      <c r="A3699" s="119" t="s">
        <v>4217</v>
      </c>
      <c r="B3699" s="119" t="s">
        <v>10357</v>
      </c>
      <c r="C3699" s="119" t="s">
        <v>301</v>
      </c>
      <c r="D3699" t="s">
        <v>45</v>
      </c>
      <c r="E3699" s="117">
        <v>467.2</v>
      </c>
    </row>
    <row r="3700" spans="1:5" x14ac:dyDescent="0.25">
      <c r="A3700" s="119" t="s">
        <v>4218</v>
      </c>
      <c r="B3700" s="119" t="s">
        <v>10358</v>
      </c>
      <c r="C3700" s="119" t="s">
        <v>301</v>
      </c>
      <c r="D3700" t="s">
        <v>6759</v>
      </c>
      <c r="E3700" s="117">
        <v>1033.96</v>
      </c>
    </row>
    <row r="3701" spans="1:5" x14ac:dyDescent="0.25">
      <c r="A3701" s="119" t="s">
        <v>4219</v>
      </c>
      <c r="B3701" s="119" t="s">
        <v>10359</v>
      </c>
      <c r="C3701" s="119" t="s">
        <v>301</v>
      </c>
      <c r="D3701" t="s">
        <v>45</v>
      </c>
      <c r="E3701" s="117">
        <v>0</v>
      </c>
    </row>
    <row r="3702" spans="1:5" x14ac:dyDescent="0.25">
      <c r="A3702" s="119" t="s">
        <v>4220</v>
      </c>
      <c r="B3702" s="119" t="s">
        <v>4221</v>
      </c>
      <c r="C3702" s="119" t="s">
        <v>301</v>
      </c>
      <c r="D3702" t="s">
        <v>45</v>
      </c>
      <c r="E3702" s="117">
        <v>462.27</v>
      </c>
    </row>
    <row r="3703" spans="1:5" x14ac:dyDescent="0.25">
      <c r="A3703" s="119" t="s">
        <v>4222</v>
      </c>
      <c r="B3703" s="119" t="s">
        <v>4223</v>
      </c>
      <c r="C3703" s="119" t="s">
        <v>301</v>
      </c>
      <c r="D3703" t="s">
        <v>45</v>
      </c>
      <c r="E3703" s="117">
        <v>0</v>
      </c>
    </row>
    <row r="3704" spans="1:5" x14ac:dyDescent="0.25">
      <c r="A3704" s="119" t="s">
        <v>4224</v>
      </c>
      <c r="B3704" s="119" t="s">
        <v>10360</v>
      </c>
      <c r="C3704" s="119" t="s">
        <v>301</v>
      </c>
      <c r="D3704" t="s">
        <v>6759</v>
      </c>
      <c r="E3704" s="117">
        <v>2300</v>
      </c>
    </row>
    <row r="3705" spans="1:5" x14ac:dyDescent="0.25">
      <c r="A3705" s="119" t="s">
        <v>4225</v>
      </c>
      <c r="B3705" s="119" t="s">
        <v>10361</v>
      </c>
      <c r="C3705" s="119" t="s">
        <v>301</v>
      </c>
      <c r="D3705" t="s">
        <v>49</v>
      </c>
      <c r="E3705" s="117">
        <v>950</v>
      </c>
    </row>
    <row r="3706" spans="1:5" x14ac:dyDescent="0.25">
      <c r="A3706" s="119" t="s">
        <v>4226</v>
      </c>
      <c r="B3706" s="119" t="s">
        <v>6506</v>
      </c>
      <c r="C3706" s="119" t="s">
        <v>301</v>
      </c>
      <c r="D3706" t="s">
        <v>45</v>
      </c>
      <c r="E3706" s="117">
        <v>999999</v>
      </c>
    </row>
    <row r="3707" spans="1:5" x14ac:dyDescent="0.25">
      <c r="A3707" s="119" t="s">
        <v>11657</v>
      </c>
      <c r="B3707" s="119" t="s">
        <v>8147</v>
      </c>
      <c r="C3707" s="119" t="s">
        <v>301</v>
      </c>
      <c r="D3707" t="s">
        <v>45</v>
      </c>
      <c r="E3707" s="117">
        <v>0</v>
      </c>
    </row>
    <row r="3708" spans="1:5" x14ac:dyDescent="0.25">
      <c r="A3708" s="119" t="s">
        <v>8146</v>
      </c>
      <c r="B3708" s="119" t="s">
        <v>8147</v>
      </c>
      <c r="C3708" s="119" t="s">
        <v>301</v>
      </c>
      <c r="D3708" t="s">
        <v>45</v>
      </c>
      <c r="E3708" s="117">
        <v>0</v>
      </c>
    </row>
    <row r="3709" spans="1:5" x14ac:dyDescent="0.25">
      <c r="A3709" s="119" t="s">
        <v>4227</v>
      </c>
      <c r="B3709" s="119" t="s">
        <v>4228</v>
      </c>
      <c r="C3709" s="119" t="s">
        <v>301</v>
      </c>
      <c r="D3709" t="s">
        <v>45</v>
      </c>
      <c r="E3709" s="117">
        <v>2910.6</v>
      </c>
    </row>
    <row r="3710" spans="1:5" x14ac:dyDescent="0.25">
      <c r="A3710" s="119" t="s">
        <v>4229</v>
      </c>
      <c r="B3710" s="119" t="s">
        <v>4228</v>
      </c>
      <c r="C3710" s="119" t="s">
        <v>301</v>
      </c>
      <c r="D3710" t="s">
        <v>45</v>
      </c>
      <c r="E3710" s="117">
        <v>0</v>
      </c>
    </row>
    <row r="3711" spans="1:5" x14ac:dyDescent="0.25">
      <c r="A3711" s="119" t="s">
        <v>4230</v>
      </c>
      <c r="B3711" s="119" t="s">
        <v>10362</v>
      </c>
      <c r="C3711" s="119" t="s">
        <v>301</v>
      </c>
      <c r="D3711" t="s">
        <v>45</v>
      </c>
      <c r="E3711" s="117">
        <v>2600</v>
      </c>
    </row>
    <row r="3712" spans="1:5" x14ac:dyDescent="0.25">
      <c r="A3712" s="119" t="s">
        <v>4231</v>
      </c>
      <c r="B3712" s="119" t="s">
        <v>4228</v>
      </c>
      <c r="C3712" s="119" t="s">
        <v>301</v>
      </c>
      <c r="D3712" t="s">
        <v>6759</v>
      </c>
      <c r="E3712" s="117">
        <v>9999999</v>
      </c>
    </row>
    <row r="3713" spans="1:5" x14ac:dyDescent="0.25">
      <c r="A3713" s="119" t="s">
        <v>4232</v>
      </c>
      <c r="B3713" s="119" t="s">
        <v>4233</v>
      </c>
      <c r="C3713" s="119" t="s">
        <v>66</v>
      </c>
      <c r="D3713" t="s">
        <v>6759</v>
      </c>
      <c r="E3713" s="117">
        <v>1085.3</v>
      </c>
    </row>
    <row r="3714" spans="1:5" x14ac:dyDescent="0.25">
      <c r="A3714" s="119" t="s">
        <v>4234</v>
      </c>
      <c r="B3714" s="119" t="s">
        <v>4235</v>
      </c>
      <c r="C3714" s="119" t="s">
        <v>66</v>
      </c>
      <c r="D3714" t="s">
        <v>45</v>
      </c>
      <c r="E3714" s="117">
        <v>1321.32</v>
      </c>
    </row>
    <row r="3715" spans="1:5" x14ac:dyDescent="0.25">
      <c r="A3715" s="119" t="s">
        <v>4236</v>
      </c>
      <c r="B3715" s="119" t="s">
        <v>10363</v>
      </c>
      <c r="C3715" s="119" t="s">
        <v>301</v>
      </c>
      <c r="D3715" t="s">
        <v>51</v>
      </c>
      <c r="E3715" s="117">
        <v>250.36</v>
      </c>
    </row>
    <row r="3716" spans="1:5" x14ac:dyDescent="0.25">
      <c r="A3716" s="119" t="s">
        <v>4237</v>
      </c>
      <c r="B3716" s="119" t="s">
        <v>10364</v>
      </c>
      <c r="C3716" s="119" t="s">
        <v>301</v>
      </c>
      <c r="D3716" t="s">
        <v>45</v>
      </c>
      <c r="E3716" s="117">
        <v>0</v>
      </c>
    </row>
    <row r="3717" spans="1:5" x14ac:dyDescent="0.25">
      <c r="A3717" s="119" t="s">
        <v>4238</v>
      </c>
      <c r="B3717" s="119" t="s">
        <v>10365</v>
      </c>
      <c r="C3717" s="119" t="s">
        <v>301</v>
      </c>
      <c r="D3717" t="s">
        <v>6759</v>
      </c>
      <c r="E3717" s="117">
        <v>3231.97</v>
      </c>
    </row>
    <row r="3718" spans="1:5" x14ac:dyDescent="0.25">
      <c r="A3718" s="119" t="s">
        <v>4239</v>
      </c>
      <c r="B3718" s="119" t="s">
        <v>10366</v>
      </c>
      <c r="C3718" s="119" t="s">
        <v>301</v>
      </c>
      <c r="D3718" t="s">
        <v>49</v>
      </c>
      <c r="E3718" s="117">
        <v>1206.45</v>
      </c>
    </row>
    <row r="3719" spans="1:5" x14ac:dyDescent="0.25">
      <c r="A3719" s="119" t="s">
        <v>4240</v>
      </c>
      <c r="B3719" s="119" t="s">
        <v>10367</v>
      </c>
      <c r="C3719" s="119" t="s">
        <v>301</v>
      </c>
      <c r="D3719" t="s">
        <v>6759</v>
      </c>
      <c r="E3719" s="117">
        <v>767.82</v>
      </c>
    </row>
    <row r="3720" spans="1:5" x14ac:dyDescent="0.25">
      <c r="A3720" s="119" t="s">
        <v>4241</v>
      </c>
      <c r="B3720" s="119" t="s">
        <v>10368</v>
      </c>
      <c r="C3720" s="119" t="s">
        <v>301</v>
      </c>
      <c r="D3720" t="s">
        <v>45</v>
      </c>
      <c r="E3720" s="117">
        <v>0</v>
      </c>
    </row>
    <row r="3721" spans="1:5" x14ac:dyDescent="0.25">
      <c r="A3721" s="119" t="s">
        <v>7666</v>
      </c>
      <c r="B3721" s="119" t="s">
        <v>10369</v>
      </c>
      <c r="C3721" s="119" t="s">
        <v>301</v>
      </c>
      <c r="D3721" t="s">
        <v>49</v>
      </c>
      <c r="E3721" s="117">
        <v>1078.5899999999999</v>
      </c>
    </row>
    <row r="3722" spans="1:5" x14ac:dyDescent="0.25">
      <c r="A3722" s="119" t="s">
        <v>7667</v>
      </c>
      <c r="B3722" s="119" t="s">
        <v>7668</v>
      </c>
      <c r="C3722" s="119" t="s">
        <v>301</v>
      </c>
      <c r="D3722" t="s">
        <v>6759</v>
      </c>
      <c r="E3722" s="117">
        <v>999999</v>
      </c>
    </row>
    <row r="3723" spans="1:5" x14ac:dyDescent="0.25">
      <c r="A3723" s="119" t="s">
        <v>4242</v>
      </c>
      <c r="B3723" s="119" t="s">
        <v>4243</v>
      </c>
      <c r="C3723" s="119" t="s">
        <v>301</v>
      </c>
      <c r="D3723" t="s">
        <v>45</v>
      </c>
      <c r="E3723" s="117">
        <v>0</v>
      </c>
    </row>
    <row r="3724" spans="1:5" x14ac:dyDescent="0.25">
      <c r="A3724" s="119" t="s">
        <v>4244</v>
      </c>
      <c r="B3724" s="119" t="s">
        <v>10370</v>
      </c>
      <c r="C3724" s="119" t="s">
        <v>301</v>
      </c>
      <c r="D3724" t="s">
        <v>45</v>
      </c>
      <c r="E3724" s="117">
        <v>0</v>
      </c>
    </row>
    <row r="3725" spans="1:5" x14ac:dyDescent="0.25">
      <c r="A3725" s="119" t="s">
        <v>4245</v>
      </c>
      <c r="B3725" s="119" t="s">
        <v>10371</v>
      </c>
      <c r="C3725" s="119" t="s">
        <v>301</v>
      </c>
      <c r="D3725" t="s">
        <v>45</v>
      </c>
      <c r="E3725" s="117">
        <v>271.06</v>
      </c>
    </row>
    <row r="3726" spans="1:5" x14ac:dyDescent="0.25">
      <c r="A3726" s="119" t="s">
        <v>4246</v>
      </c>
      <c r="B3726" s="119" t="s">
        <v>4247</v>
      </c>
      <c r="C3726" s="119" t="s">
        <v>301</v>
      </c>
      <c r="D3726" t="s">
        <v>45</v>
      </c>
      <c r="E3726" s="117">
        <v>0</v>
      </c>
    </row>
    <row r="3727" spans="1:5" x14ac:dyDescent="0.25">
      <c r="A3727" s="119" t="s">
        <v>4248</v>
      </c>
      <c r="B3727" s="119" t="s">
        <v>10372</v>
      </c>
      <c r="C3727" s="119" t="s">
        <v>301</v>
      </c>
      <c r="D3727" t="s">
        <v>45</v>
      </c>
      <c r="E3727" s="117">
        <v>0</v>
      </c>
    </row>
    <row r="3728" spans="1:5" x14ac:dyDescent="0.25">
      <c r="A3728" s="119" t="s">
        <v>4249</v>
      </c>
      <c r="B3728" s="119" t="s">
        <v>10373</v>
      </c>
      <c r="C3728" s="119" t="s">
        <v>301</v>
      </c>
      <c r="D3728" t="s">
        <v>45</v>
      </c>
      <c r="E3728" s="117">
        <v>481.99</v>
      </c>
    </row>
    <row r="3729" spans="1:5" x14ac:dyDescent="0.25">
      <c r="A3729" s="119" t="s">
        <v>4250</v>
      </c>
      <c r="B3729" s="119" t="s">
        <v>4251</v>
      </c>
      <c r="C3729" s="119" t="s">
        <v>301</v>
      </c>
      <c r="D3729" t="s">
        <v>45</v>
      </c>
      <c r="E3729" s="117">
        <v>0</v>
      </c>
    </row>
    <row r="3730" spans="1:5" x14ac:dyDescent="0.25">
      <c r="A3730" s="119" t="s">
        <v>4252</v>
      </c>
      <c r="B3730" s="119" t="s">
        <v>10374</v>
      </c>
      <c r="C3730" s="119" t="s">
        <v>301</v>
      </c>
      <c r="D3730" t="s">
        <v>45</v>
      </c>
      <c r="E3730" s="117">
        <v>836.83</v>
      </c>
    </row>
    <row r="3731" spans="1:5" x14ac:dyDescent="0.25">
      <c r="A3731" s="119" t="s">
        <v>4253</v>
      </c>
      <c r="B3731" s="119" t="s">
        <v>10375</v>
      </c>
      <c r="C3731" s="119" t="s">
        <v>301</v>
      </c>
      <c r="D3731" t="s">
        <v>45</v>
      </c>
      <c r="E3731" s="117">
        <v>201.08</v>
      </c>
    </row>
    <row r="3732" spans="1:5" x14ac:dyDescent="0.25">
      <c r="A3732" s="119" t="s">
        <v>4254</v>
      </c>
      <c r="B3732" s="119" t="s">
        <v>10376</v>
      </c>
      <c r="C3732" s="119" t="s">
        <v>301</v>
      </c>
      <c r="D3732" t="s">
        <v>45</v>
      </c>
      <c r="E3732" s="117">
        <v>0</v>
      </c>
    </row>
    <row r="3733" spans="1:5" x14ac:dyDescent="0.25">
      <c r="A3733" s="119" t="s">
        <v>4255</v>
      </c>
      <c r="B3733" s="119" t="s">
        <v>10377</v>
      </c>
      <c r="C3733" s="119" t="s">
        <v>301</v>
      </c>
      <c r="D3733" t="s">
        <v>45</v>
      </c>
      <c r="E3733" s="117">
        <v>285.83999999999997</v>
      </c>
    </row>
    <row r="3734" spans="1:5" x14ac:dyDescent="0.25">
      <c r="A3734" s="119" t="s">
        <v>4256</v>
      </c>
      <c r="B3734" s="119" t="s">
        <v>10378</v>
      </c>
      <c r="C3734" s="119" t="s">
        <v>301</v>
      </c>
      <c r="D3734" t="s">
        <v>45</v>
      </c>
      <c r="E3734" s="117">
        <v>0</v>
      </c>
    </row>
    <row r="3735" spans="1:5" x14ac:dyDescent="0.25">
      <c r="A3735" s="119" t="s">
        <v>4257</v>
      </c>
      <c r="B3735" s="119" t="s">
        <v>10379</v>
      </c>
      <c r="C3735" s="119" t="s">
        <v>301</v>
      </c>
      <c r="D3735" t="s">
        <v>45</v>
      </c>
      <c r="E3735" s="117">
        <v>871.32</v>
      </c>
    </row>
    <row r="3736" spans="1:5" x14ac:dyDescent="0.25">
      <c r="A3736" s="119" t="s">
        <v>4258</v>
      </c>
      <c r="B3736" s="119" t="s">
        <v>10380</v>
      </c>
      <c r="C3736" s="119" t="s">
        <v>301</v>
      </c>
      <c r="D3736" t="s">
        <v>6759</v>
      </c>
      <c r="E3736" s="117">
        <v>491.84</v>
      </c>
    </row>
    <row r="3737" spans="1:5" x14ac:dyDescent="0.25">
      <c r="A3737" s="119" t="s">
        <v>4259</v>
      </c>
      <c r="B3737" s="119" t="s">
        <v>10381</v>
      </c>
      <c r="C3737" s="119" t="s">
        <v>301</v>
      </c>
      <c r="D3737" t="s">
        <v>45</v>
      </c>
      <c r="E3737" s="117">
        <v>0</v>
      </c>
    </row>
    <row r="3738" spans="1:5" x14ac:dyDescent="0.25">
      <c r="A3738" s="119" t="s">
        <v>4260</v>
      </c>
      <c r="B3738" s="119" t="s">
        <v>7669</v>
      </c>
      <c r="C3738" s="119" t="s">
        <v>301</v>
      </c>
      <c r="D3738" t="s">
        <v>6759</v>
      </c>
      <c r="E3738" s="117">
        <v>895.97</v>
      </c>
    </row>
    <row r="3739" spans="1:5" x14ac:dyDescent="0.25">
      <c r="A3739" s="119" t="s">
        <v>4261</v>
      </c>
      <c r="B3739" s="119" t="s">
        <v>10382</v>
      </c>
      <c r="C3739" s="119" t="s">
        <v>301</v>
      </c>
      <c r="D3739" t="s">
        <v>6759</v>
      </c>
      <c r="E3739" s="117">
        <v>235.57</v>
      </c>
    </row>
    <row r="3740" spans="1:5" x14ac:dyDescent="0.25">
      <c r="A3740" s="119" t="s">
        <v>4262</v>
      </c>
      <c r="B3740" s="119" t="s">
        <v>10383</v>
      </c>
      <c r="C3740" s="119" t="s">
        <v>301</v>
      </c>
      <c r="D3740" t="s">
        <v>45</v>
      </c>
      <c r="E3740" s="117">
        <v>698.83</v>
      </c>
    </row>
    <row r="3741" spans="1:5" x14ac:dyDescent="0.25">
      <c r="A3741" s="119" t="s">
        <v>4263</v>
      </c>
      <c r="B3741" s="119" t="s">
        <v>10384</v>
      </c>
      <c r="C3741" s="119" t="s">
        <v>301</v>
      </c>
      <c r="D3741" t="s">
        <v>45</v>
      </c>
      <c r="E3741" s="117">
        <v>0</v>
      </c>
    </row>
    <row r="3742" spans="1:5" x14ac:dyDescent="0.25">
      <c r="A3742" s="119" t="s">
        <v>4264</v>
      </c>
      <c r="B3742" s="119" t="s">
        <v>10385</v>
      </c>
      <c r="C3742" s="119" t="s">
        <v>301</v>
      </c>
      <c r="D3742" t="s">
        <v>45</v>
      </c>
      <c r="E3742" s="117">
        <v>738.26</v>
      </c>
    </row>
    <row r="3743" spans="1:5" x14ac:dyDescent="0.25">
      <c r="A3743" s="119" t="s">
        <v>4265</v>
      </c>
      <c r="B3743" s="119" t="s">
        <v>4266</v>
      </c>
      <c r="C3743" s="119" t="s">
        <v>301</v>
      </c>
      <c r="D3743" t="s">
        <v>45</v>
      </c>
      <c r="E3743" s="117">
        <v>0</v>
      </c>
    </row>
    <row r="3744" spans="1:5" x14ac:dyDescent="0.25">
      <c r="A3744" s="119" t="s">
        <v>4267</v>
      </c>
      <c r="B3744" s="119" t="s">
        <v>10386</v>
      </c>
      <c r="C3744" s="119" t="s">
        <v>301</v>
      </c>
      <c r="D3744" t="s">
        <v>45</v>
      </c>
      <c r="E3744" s="117">
        <v>555.91</v>
      </c>
    </row>
    <row r="3745" spans="1:5" x14ac:dyDescent="0.25">
      <c r="A3745" s="119" t="s">
        <v>4268</v>
      </c>
      <c r="B3745" s="119" t="s">
        <v>10387</v>
      </c>
      <c r="C3745" s="119" t="s">
        <v>301</v>
      </c>
      <c r="D3745" t="s">
        <v>45</v>
      </c>
      <c r="E3745" s="117">
        <v>0</v>
      </c>
    </row>
    <row r="3746" spans="1:5" x14ac:dyDescent="0.25">
      <c r="A3746" s="119" t="s">
        <v>4269</v>
      </c>
      <c r="B3746" s="119" t="s">
        <v>10388</v>
      </c>
      <c r="C3746" s="119" t="s">
        <v>301</v>
      </c>
      <c r="D3746" t="s">
        <v>45</v>
      </c>
      <c r="E3746" s="117">
        <v>472.13</v>
      </c>
    </row>
    <row r="3747" spans="1:5" x14ac:dyDescent="0.25">
      <c r="A3747" s="119" t="s">
        <v>4270</v>
      </c>
      <c r="B3747" s="119" t="s">
        <v>10389</v>
      </c>
      <c r="C3747" s="119" t="s">
        <v>301</v>
      </c>
      <c r="D3747" t="s">
        <v>45</v>
      </c>
      <c r="E3747" s="117">
        <v>472.13</v>
      </c>
    </row>
    <row r="3748" spans="1:5" x14ac:dyDescent="0.25">
      <c r="A3748" s="119" t="s">
        <v>4271</v>
      </c>
      <c r="B3748" s="119" t="s">
        <v>10390</v>
      </c>
      <c r="C3748" s="119" t="s">
        <v>301</v>
      </c>
      <c r="D3748" t="s">
        <v>45</v>
      </c>
      <c r="E3748" s="117">
        <v>472.13</v>
      </c>
    </row>
    <row r="3749" spans="1:5" x14ac:dyDescent="0.25">
      <c r="A3749" s="119" t="s">
        <v>4272</v>
      </c>
      <c r="B3749" s="119" t="s">
        <v>10391</v>
      </c>
      <c r="C3749" s="119" t="s">
        <v>301</v>
      </c>
      <c r="D3749" t="s">
        <v>45</v>
      </c>
      <c r="E3749" s="117">
        <v>0</v>
      </c>
    </row>
    <row r="3750" spans="1:5" x14ac:dyDescent="0.25">
      <c r="A3750" s="119" t="s">
        <v>4273</v>
      </c>
      <c r="B3750" s="119" t="s">
        <v>10392</v>
      </c>
      <c r="C3750" s="119" t="s">
        <v>301</v>
      </c>
      <c r="D3750" t="s">
        <v>45</v>
      </c>
      <c r="E3750" s="117">
        <v>472.13</v>
      </c>
    </row>
    <row r="3751" spans="1:5" x14ac:dyDescent="0.25">
      <c r="A3751" s="119" t="s">
        <v>4274</v>
      </c>
      <c r="B3751" s="119" t="s">
        <v>10393</v>
      </c>
      <c r="C3751" s="119" t="s">
        <v>301</v>
      </c>
      <c r="D3751" t="s">
        <v>6759</v>
      </c>
      <c r="E3751" s="117">
        <v>472.13</v>
      </c>
    </row>
    <row r="3752" spans="1:5" x14ac:dyDescent="0.25">
      <c r="A3752" s="119" t="s">
        <v>4275</v>
      </c>
      <c r="B3752" s="119" t="s">
        <v>10394</v>
      </c>
      <c r="C3752" s="119" t="s">
        <v>301</v>
      </c>
      <c r="D3752" t="s">
        <v>45</v>
      </c>
      <c r="E3752" s="117">
        <v>555.91</v>
      </c>
    </row>
    <row r="3753" spans="1:5" x14ac:dyDescent="0.25">
      <c r="A3753" s="119" t="s">
        <v>4276</v>
      </c>
      <c r="B3753" s="119" t="s">
        <v>10395</v>
      </c>
      <c r="C3753" s="119" t="s">
        <v>301</v>
      </c>
      <c r="D3753" t="s">
        <v>45</v>
      </c>
      <c r="E3753" s="117">
        <v>555.91</v>
      </c>
    </row>
    <row r="3754" spans="1:5" x14ac:dyDescent="0.25">
      <c r="A3754" s="119" t="s">
        <v>4277</v>
      </c>
      <c r="B3754" s="119" t="s">
        <v>10396</v>
      </c>
      <c r="C3754" s="119" t="s">
        <v>301</v>
      </c>
      <c r="D3754" t="s">
        <v>6759</v>
      </c>
      <c r="E3754" s="117">
        <v>555.91</v>
      </c>
    </row>
    <row r="3755" spans="1:5" x14ac:dyDescent="0.25">
      <c r="A3755" s="119" t="s">
        <v>4278</v>
      </c>
      <c r="B3755" s="119" t="s">
        <v>10397</v>
      </c>
      <c r="C3755" s="119" t="s">
        <v>301</v>
      </c>
      <c r="D3755" t="s">
        <v>6759</v>
      </c>
      <c r="E3755" s="117">
        <v>555.91</v>
      </c>
    </row>
    <row r="3756" spans="1:5" x14ac:dyDescent="0.25">
      <c r="A3756" s="119" t="s">
        <v>4279</v>
      </c>
      <c r="B3756" s="119" t="s">
        <v>10398</v>
      </c>
      <c r="C3756" s="119" t="s">
        <v>301</v>
      </c>
      <c r="D3756" t="s">
        <v>45</v>
      </c>
      <c r="E3756" s="117">
        <v>555.91</v>
      </c>
    </row>
    <row r="3757" spans="1:5" x14ac:dyDescent="0.25">
      <c r="A3757" s="119" t="s">
        <v>4280</v>
      </c>
      <c r="B3757" s="119" t="s">
        <v>10399</v>
      </c>
      <c r="C3757" s="119" t="s">
        <v>301</v>
      </c>
      <c r="D3757" t="s">
        <v>45</v>
      </c>
      <c r="E3757" s="117">
        <v>555.91</v>
      </c>
    </row>
    <row r="3758" spans="1:5" x14ac:dyDescent="0.25">
      <c r="A3758" s="119" t="s">
        <v>4281</v>
      </c>
      <c r="B3758" s="119" t="s">
        <v>10400</v>
      </c>
      <c r="C3758" s="119" t="s">
        <v>301</v>
      </c>
      <c r="D3758" t="s">
        <v>45</v>
      </c>
      <c r="E3758" s="117">
        <v>595.34</v>
      </c>
    </row>
    <row r="3759" spans="1:5" x14ac:dyDescent="0.25">
      <c r="A3759" s="119" t="s">
        <v>4282</v>
      </c>
      <c r="B3759" s="119" t="s">
        <v>10401</v>
      </c>
      <c r="C3759" s="119" t="s">
        <v>301</v>
      </c>
      <c r="D3759" t="s">
        <v>45</v>
      </c>
      <c r="E3759" s="117">
        <v>595.34</v>
      </c>
    </row>
    <row r="3760" spans="1:5" x14ac:dyDescent="0.25">
      <c r="A3760" s="119" t="s">
        <v>4283</v>
      </c>
      <c r="B3760" s="119" t="s">
        <v>10402</v>
      </c>
      <c r="C3760" s="119" t="s">
        <v>301</v>
      </c>
      <c r="D3760" t="s">
        <v>45</v>
      </c>
      <c r="E3760" s="117">
        <v>595.34</v>
      </c>
    </row>
    <row r="3761" spans="1:5" x14ac:dyDescent="0.25">
      <c r="A3761" s="119" t="s">
        <v>4284</v>
      </c>
      <c r="B3761" s="119" t="s">
        <v>10403</v>
      </c>
      <c r="C3761" s="119" t="s">
        <v>301</v>
      </c>
      <c r="D3761" t="s">
        <v>6759</v>
      </c>
      <c r="E3761" s="117">
        <v>723.47</v>
      </c>
    </row>
    <row r="3762" spans="1:5" x14ac:dyDescent="0.25">
      <c r="A3762" s="119" t="s">
        <v>4285</v>
      </c>
      <c r="B3762" s="119" t="s">
        <v>10404</v>
      </c>
      <c r="C3762" s="119" t="s">
        <v>301</v>
      </c>
      <c r="D3762" t="s">
        <v>45</v>
      </c>
      <c r="E3762" s="117">
        <v>0</v>
      </c>
    </row>
    <row r="3763" spans="1:5" x14ac:dyDescent="0.25">
      <c r="A3763" s="119" t="s">
        <v>4286</v>
      </c>
      <c r="B3763" s="119" t="s">
        <v>10405</v>
      </c>
      <c r="C3763" s="119" t="s">
        <v>301</v>
      </c>
      <c r="D3763" t="s">
        <v>45</v>
      </c>
      <c r="E3763" s="117">
        <v>723.47</v>
      </c>
    </row>
    <row r="3764" spans="1:5" x14ac:dyDescent="0.25">
      <c r="A3764" s="119" t="s">
        <v>4287</v>
      </c>
      <c r="B3764" s="119" t="s">
        <v>10406</v>
      </c>
      <c r="C3764" s="119" t="s">
        <v>301</v>
      </c>
      <c r="D3764" t="s">
        <v>45</v>
      </c>
      <c r="E3764" s="117">
        <v>501.7</v>
      </c>
    </row>
    <row r="3765" spans="1:5" x14ac:dyDescent="0.25">
      <c r="A3765" s="119" t="s">
        <v>4288</v>
      </c>
      <c r="B3765" s="119" t="s">
        <v>10407</v>
      </c>
      <c r="C3765" s="119" t="s">
        <v>301</v>
      </c>
      <c r="D3765" t="s">
        <v>45</v>
      </c>
      <c r="E3765" s="117">
        <v>501.7</v>
      </c>
    </row>
    <row r="3766" spans="1:5" x14ac:dyDescent="0.25">
      <c r="A3766" s="119" t="s">
        <v>4289</v>
      </c>
      <c r="B3766" s="119" t="s">
        <v>10408</v>
      </c>
      <c r="C3766" s="119" t="s">
        <v>301</v>
      </c>
      <c r="D3766" t="s">
        <v>45</v>
      </c>
      <c r="E3766" s="117">
        <v>0</v>
      </c>
    </row>
    <row r="3767" spans="1:5" x14ac:dyDescent="0.25">
      <c r="A3767" s="119" t="s">
        <v>4290</v>
      </c>
      <c r="B3767" s="119" t="s">
        <v>4291</v>
      </c>
      <c r="C3767" s="119" t="s">
        <v>301</v>
      </c>
      <c r="D3767" t="s">
        <v>45</v>
      </c>
      <c r="E3767" s="117">
        <v>0</v>
      </c>
    </row>
    <row r="3768" spans="1:5" x14ac:dyDescent="0.25">
      <c r="A3768" s="119" t="s">
        <v>4292</v>
      </c>
      <c r="B3768" s="119" t="s">
        <v>10409</v>
      </c>
      <c r="C3768" s="119" t="s">
        <v>301</v>
      </c>
      <c r="D3768" t="s">
        <v>45</v>
      </c>
      <c r="E3768" s="117">
        <v>501.7</v>
      </c>
    </row>
    <row r="3769" spans="1:5" x14ac:dyDescent="0.25">
      <c r="A3769" s="119" t="s">
        <v>4293</v>
      </c>
      <c r="B3769" s="119" t="s">
        <v>10410</v>
      </c>
      <c r="C3769" s="119" t="s">
        <v>301</v>
      </c>
      <c r="D3769" t="s">
        <v>45</v>
      </c>
      <c r="E3769" s="117">
        <v>644.62</v>
      </c>
    </row>
    <row r="3770" spans="1:5" x14ac:dyDescent="0.25">
      <c r="A3770" s="119" t="s">
        <v>4294</v>
      </c>
      <c r="B3770" s="119" t="s">
        <v>10411</v>
      </c>
      <c r="C3770" s="119" t="s">
        <v>301</v>
      </c>
      <c r="D3770" t="s">
        <v>45</v>
      </c>
      <c r="E3770" s="117">
        <v>644.62</v>
      </c>
    </row>
    <row r="3771" spans="1:5" x14ac:dyDescent="0.25">
      <c r="A3771" s="119" t="s">
        <v>4295</v>
      </c>
      <c r="B3771" s="119" t="s">
        <v>10412</v>
      </c>
      <c r="C3771" s="119" t="s">
        <v>301</v>
      </c>
      <c r="D3771" t="s">
        <v>6759</v>
      </c>
      <c r="E3771" s="117">
        <v>644.62</v>
      </c>
    </row>
    <row r="3772" spans="1:5" x14ac:dyDescent="0.25">
      <c r="A3772" s="119" t="s">
        <v>4296</v>
      </c>
      <c r="B3772" s="119" t="s">
        <v>10413</v>
      </c>
      <c r="C3772" s="119" t="s">
        <v>301</v>
      </c>
      <c r="D3772" t="s">
        <v>6759</v>
      </c>
      <c r="E3772" s="117">
        <v>644.62</v>
      </c>
    </row>
    <row r="3773" spans="1:5" x14ac:dyDescent="0.25">
      <c r="A3773" s="119" t="s">
        <v>4297</v>
      </c>
      <c r="B3773" s="119" t="s">
        <v>10414</v>
      </c>
      <c r="C3773" s="119" t="s">
        <v>301</v>
      </c>
      <c r="D3773" t="s">
        <v>6759</v>
      </c>
      <c r="E3773" s="117">
        <v>644.62</v>
      </c>
    </row>
    <row r="3774" spans="1:5" x14ac:dyDescent="0.25">
      <c r="A3774" s="119" t="s">
        <v>4298</v>
      </c>
      <c r="B3774" s="119" t="s">
        <v>10415</v>
      </c>
      <c r="C3774" s="119" t="s">
        <v>301</v>
      </c>
      <c r="D3774" t="s">
        <v>45</v>
      </c>
      <c r="E3774" s="117">
        <v>644.62</v>
      </c>
    </row>
    <row r="3775" spans="1:5" x14ac:dyDescent="0.25">
      <c r="A3775" s="119" t="s">
        <v>4299</v>
      </c>
      <c r="B3775" s="119" t="s">
        <v>10416</v>
      </c>
      <c r="C3775" s="119" t="s">
        <v>301</v>
      </c>
      <c r="D3775" t="s">
        <v>45</v>
      </c>
      <c r="E3775" s="117">
        <v>555.91</v>
      </c>
    </row>
    <row r="3776" spans="1:5" x14ac:dyDescent="0.25">
      <c r="A3776" s="119" t="s">
        <v>4300</v>
      </c>
      <c r="B3776" s="119" t="s">
        <v>10417</v>
      </c>
      <c r="C3776" s="119" t="s">
        <v>301</v>
      </c>
      <c r="D3776" t="s">
        <v>45</v>
      </c>
      <c r="E3776" s="117">
        <v>555.91</v>
      </c>
    </row>
    <row r="3777" spans="1:5" x14ac:dyDescent="0.25">
      <c r="A3777" s="119" t="s">
        <v>4301</v>
      </c>
      <c r="B3777" s="119" t="s">
        <v>10418</v>
      </c>
      <c r="C3777" s="119" t="s">
        <v>301</v>
      </c>
      <c r="D3777" t="s">
        <v>45</v>
      </c>
      <c r="E3777" s="117">
        <v>0</v>
      </c>
    </row>
    <row r="3778" spans="1:5" x14ac:dyDescent="0.25">
      <c r="A3778" s="119" t="s">
        <v>4302</v>
      </c>
      <c r="B3778" s="119" t="s">
        <v>10419</v>
      </c>
      <c r="C3778" s="119" t="s">
        <v>301</v>
      </c>
      <c r="D3778" t="s">
        <v>45</v>
      </c>
      <c r="E3778" s="117">
        <v>555.91</v>
      </c>
    </row>
    <row r="3779" spans="1:5" x14ac:dyDescent="0.25">
      <c r="A3779" s="119" t="s">
        <v>4303</v>
      </c>
      <c r="B3779" s="119" t="s">
        <v>10420</v>
      </c>
      <c r="C3779" s="119" t="s">
        <v>301</v>
      </c>
      <c r="D3779" t="s">
        <v>45</v>
      </c>
      <c r="E3779" s="117">
        <v>0</v>
      </c>
    </row>
    <row r="3780" spans="1:5" x14ac:dyDescent="0.25">
      <c r="A3780" s="119" t="s">
        <v>4304</v>
      </c>
      <c r="B3780" s="119" t="s">
        <v>10421</v>
      </c>
      <c r="C3780" s="119" t="s">
        <v>301</v>
      </c>
      <c r="D3780" t="s">
        <v>45</v>
      </c>
      <c r="E3780" s="117">
        <v>723.47</v>
      </c>
    </row>
    <row r="3781" spans="1:5" x14ac:dyDescent="0.25">
      <c r="A3781" s="119" t="s">
        <v>4305</v>
      </c>
      <c r="B3781" s="119" t="s">
        <v>10422</v>
      </c>
      <c r="C3781" s="119" t="s">
        <v>301</v>
      </c>
      <c r="D3781" t="s">
        <v>45</v>
      </c>
      <c r="E3781" s="117">
        <v>723.47</v>
      </c>
    </row>
    <row r="3782" spans="1:5" x14ac:dyDescent="0.25">
      <c r="A3782" s="119" t="s">
        <v>4306</v>
      </c>
      <c r="B3782" s="119" t="s">
        <v>10403</v>
      </c>
      <c r="C3782" s="119" t="s">
        <v>301</v>
      </c>
      <c r="D3782" t="s">
        <v>6759</v>
      </c>
      <c r="E3782" s="117">
        <v>723.47</v>
      </c>
    </row>
    <row r="3783" spans="1:5" x14ac:dyDescent="0.25">
      <c r="A3783" s="119" t="s">
        <v>4307</v>
      </c>
      <c r="B3783" s="119" t="s">
        <v>10404</v>
      </c>
      <c r="C3783" s="119" t="s">
        <v>301</v>
      </c>
      <c r="D3783" t="s">
        <v>49</v>
      </c>
      <c r="E3783" s="117">
        <v>723.47</v>
      </c>
    </row>
    <row r="3784" spans="1:5" x14ac:dyDescent="0.25">
      <c r="A3784" s="119" t="s">
        <v>4308</v>
      </c>
      <c r="B3784" s="119" t="s">
        <v>10405</v>
      </c>
      <c r="C3784" s="119" t="s">
        <v>301</v>
      </c>
      <c r="D3784" t="s">
        <v>45</v>
      </c>
      <c r="E3784" s="117">
        <v>723.47</v>
      </c>
    </row>
    <row r="3785" spans="1:5" x14ac:dyDescent="0.25">
      <c r="A3785" s="119" t="s">
        <v>4309</v>
      </c>
      <c r="B3785" s="119" t="s">
        <v>7670</v>
      </c>
      <c r="C3785" s="119" t="s">
        <v>301</v>
      </c>
      <c r="D3785" t="s">
        <v>45</v>
      </c>
      <c r="E3785" s="117">
        <v>3133.41</v>
      </c>
    </row>
    <row r="3786" spans="1:5" x14ac:dyDescent="0.25">
      <c r="A3786" s="119" t="s">
        <v>4310</v>
      </c>
      <c r="B3786" s="119" t="s">
        <v>4311</v>
      </c>
      <c r="C3786" s="119" t="s">
        <v>301</v>
      </c>
      <c r="D3786" t="s">
        <v>45</v>
      </c>
      <c r="E3786" s="117">
        <v>0</v>
      </c>
    </row>
    <row r="3787" spans="1:5" x14ac:dyDescent="0.25">
      <c r="A3787" s="119" t="s">
        <v>4312</v>
      </c>
      <c r="B3787" s="119" t="s">
        <v>7671</v>
      </c>
      <c r="C3787" s="119" t="s">
        <v>301</v>
      </c>
      <c r="D3787" t="s">
        <v>6759</v>
      </c>
      <c r="E3787" s="117">
        <v>3133.41</v>
      </c>
    </row>
    <row r="3788" spans="1:5" x14ac:dyDescent="0.25">
      <c r="A3788" s="119" t="s">
        <v>4313</v>
      </c>
      <c r="B3788" s="119" t="s">
        <v>4311</v>
      </c>
      <c r="C3788" s="119" t="s">
        <v>301</v>
      </c>
      <c r="D3788" t="s">
        <v>45</v>
      </c>
      <c r="E3788" s="117">
        <v>0</v>
      </c>
    </row>
    <row r="3789" spans="1:5" x14ac:dyDescent="0.25">
      <c r="A3789" s="119" t="s">
        <v>4314</v>
      </c>
      <c r="B3789" s="119" t="s">
        <v>10423</v>
      </c>
      <c r="C3789" s="119" t="s">
        <v>301</v>
      </c>
      <c r="D3789" t="s">
        <v>45</v>
      </c>
      <c r="E3789" s="117">
        <v>0</v>
      </c>
    </row>
    <row r="3790" spans="1:5" x14ac:dyDescent="0.25">
      <c r="A3790" s="119" t="s">
        <v>4315</v>
      </c>
      <c r="B3790" s="119" t="s">
        <v>10424</v>
      </c>
      <c r="C3790" s="119" t="s">
        <v>301</v>
      </c>
      <c r="D3790" t="s">
        <v>49</v>
      </c>
      <c r="E3790" s="117">
        <v>1792.92</v>
      </c>
    </row>
    <row r="3791" spans="1:5" x14ac:dyDescent="0.25">
      <c r="A3791" s="119" t="s">
        <v>4316</v>
      </c>
      <c r="B3791" s="119" t="s">
        <v>4317</v>
      </c>
      <c r="C3791" s="119" t="s">
        <v>301</v>
      </c>
      <c r="D3791" t="s">
        <v>45</v>
      </c>
      <c r="E3791" s="117">
        <v>0</v>
      </c>
    </row>
    <row r="3792" spans="1:5" x14ac:dyDescent="0.25">
      <c r="A3792" s="119" t="s">
        <v>4318</v>
      </c>
      <c r="B3792" s="119" t="s">
        <v>7672</v>
      </c>
      <c r="C3792" s="119" t="s">
        <v>301</v>
      </c>
      <c r="D3792" t="s">
        <v>6759</v>
      </c>
      <c r="E3792" s="117">
        <v>1674.63</v>
      </c>
    </row>
    <row r="3793" spans="1:5" x14ac:dyDescent="0.25">
      <c r="A3793" s="119" t="s">
        <v>4319</v>
      </c>
      <c r="B3793" s="119" t="s">
        <v>4320</v>
      </c>
      <c r="C3793" s="119" t="s">
        <v>301</v>
      </c>
      <c r="D3793" t="s">
        <v>45</v>
      </c>
      <c r="E3793" s="117">
        <v>0</v>
      </c>
    </row>
    <row r="3794" spans="1:5" x14ac:dyDescent="0.25">
      <c r="A3794" s="119" t="s">
        <v>4321</v>
      </c>
      <c r="B3794" s="119" t="s">
        <v>7673</v>
      </c>
      <c r="C3794" s="119" t="s">
        <v>301</v>
      </c>
      <c r="D3794" t="s">
        <v>49</v>
      </c>
      <c r="E3794" s="117">
        <v>1723.92</v>
      </c>
    </row>
    <row r="3795" spans="1:5" x14ac:dyDescent="0.25">
      <c r="A3795" s="119" t="s">
        <v>4322</v>
      </c>
      <c r="B3795" s="119" t="s">
        <v>4320</v>
      </c>
      <c r="C3795" s="119" t="s">
        <v>301</v>
      </c>
      <c r="D3795" t="s">
        <v>45</v>
      </c>
      <c r="E3795" s="117">
        <v>0</v>
      </c>
    </row>
    <row r="3796" spans="1:5" x14ac:dyDescent="0.25">
      <c r="A3796" s="119" t="s">
        <v>4323</v>
      </c>
      <c r="B3796" s="119" t="s">
        <v>10425</v>
      </c>
      <c r="C3796" s="119" t="s">
        <v>301</v>
      </c>
      <c r="D3796" t="s">
        <v>45</v>
      </c>
      <c r="E3796" s="117">
        <v>797.4</v>
      </c>
    </row>
    <row r="3797" spans="1:5" x14ac:dyDescent="0.25">
      <c r="A3797" s="119" t="s">
        <v>4324</v>
      </c>
      <c r="B3797" s="119" t="s">
        <v>10426</v>
      </c>
      <c r="C3797" s="119" t="s">
        <v>301</v>
      </c>
      <c r="D3797" t="s">
        <v>45</v>
      </c>
      <c r="E3797" s="117">
        <v>0</v>
      </c>
    </row>
    <row r="3798" spans="1:5" x14ac:dyDescent="0.25">
      <c r="A3798" s="119" t="s">
        <v>4325</v>
      </c>
      <c r="B3798" s="119" t="s">
        <v>10427</v>
      </c>
      <c r="C3798" s="119" t="s">
        <v>301</v>
      </c>
      <c r="D3798" t="s">
        <v>49</v>
      </c>
      <c r="E3798" s="117">
        <v>797.4</v>
      </c>
    </row>
    <row r="3799" spans="1:5" x14ac:dyDescent="0.25">
      <c r="A3799" s="119" t="s">
        <v>4326</v>
      </c>
      <c r="B3799" s="119" t="s">
        <v>10426</v>
      </c>
      <c r="C3799" s="119" t="s">
        <v>301</v>
      </c>
      <c r="D3799" t="s">
        <v>45</v>
      </c>
      <c r="E3799" s="117">
        <v>0</v>
      </c>
    </row>
    <row r="3800" spans="1:5" x14ac:dyDescent="0.25">
      <c r="A3800" s="119" t="s">
        <v>4327</v>
      </c>
      <c r="B3800" s="119" t="s">
        <v>10428</v>
      </c>
      <c r="C3800" s="119" t="s">
        <v>301</v>
      </c>
      <c r="D3800" t="s">
        <v>45</v>
      </c>
      <c r="E3800" s="117">
        <v>1618.36</v>
      </c>
    </row>
    <row r="3801" spans="1:5" x14ac:dyDescent="0.25">
      <c r="A3801" s="119" t="s">
        <v>4328</v>
      </c>
      <c r="B3801" s="119" t="s">
        <v>10429</v>
      </c>
      <c r="C3801" s="119" t="s">
        <v>301</v>
      </c>
      <c r="D3801" t="s">
        <v>45</v>
      </c>
      <c r="E3801" s="117">
        <v>861.46</v>
      </c>
    </row>
    <row r="3802" spans="1:5" x14ac:dyDescent="0.25">
      <c r="A3802" s="119" t="s">
        <v>4329</v>
      </c>
      <c r="B3802" s="119" t="s">
        <v>7674</v>
      </c>
      <c r="C3802" s="119" t="s">
        <v>301</v>
      </c>
      <c r="D3802" t="s">
        <v>6759</v>
      </c>
      <c r="E3802" s="117">
        <v>1861.91</v>
      </c>
    </row>
    <row r="3803" spans="1:5" x14ac:dyDescent="0.25">
      <c r="A3803" s="119" t="s">
        <v>4330</v>
      </c>
      <c r="B3803" s="119" t="s">
        <v>4331</v>
      </c>
      <c r="C3803" s="119" t="s">
        <v>301</v>
      </c>
      <c r="D3803" t="s">
        <v>45</v>
      </c>
      <c r="E3803" s="117">
        <v>0</v>
      </c>
    </row>
    <row r="3804" spans="1:5" x14ac:dyDescent="0.25">
      <c r="A3804" s="119" t="s">
        <v>4332</v>
      </c>
      <c r="B3804" s="119" t="s">
        <v>7675</v>
      </c>
      <c r="C3804" s="119" t="s">
        <v>301</v>
      </c>
      <c r="D3804" t="s">
        <v>6759</v>
      </c>
      <c r="E3804" s="117">
        <v>1861.91</v>
      </c>
    </row>
    <row r="3805" spans="1:5" x14ac:dyDescent="0.25">
      <c r="A3805" s="119" t="s">
        <v>4333</v>
      </c>
      <c r="B3805" s="119" t="s">
        <v>4331</v>
      </c>
      <c r="C3805" s="119" t="s">
        <v>301</v>
      </c>
      <c r="D3805" t="s">
        <v>45</v>
      </c>
      <c r="E3805" s="117">
        <v>0</v>
      </c>
    </row>
    <row r="3806" spans="1:5" x14ac:dyDescent="0.25">
      <c r="A3806" s="119" t="s">
        <v>4334</v>
      </c>
      <c r="B3806" s="119" t="s">
        <v>7676</v>
      </c>
      <c r="C3806" s="119" t="s">
        <v>301</v>
      </c>
      <c r="D3806" t="s">
        <v>6759</v>
      </c>
      <c r="E3806" s="117">
        <v>1861.91</v>
      </c>
    </row>
    <row r="3807" spans="1:5" x14ac:dyDescent="0.25">
      <c r="A3807" s="119" t="s">
        <v>4335</v>
      </c>
      <c r="B3807" s="119" t="s">
        <v>4331</v>
      </c>
      <c r="C3807" s="119" t="s">
        <v>301</v>
      </c>
      <c r="D3807" t="s">
        <v>45</v>
      </c>
      <c r="E3807" s="117">
        <v>0</v>
      </c>
    </row>
    <row r="3808" spans="1:5" x14ac:dyDescent="0.25">
      <c r="A3808" s="119" t="s">
        <v>4336</v>
      </c>
      <c r="B3808" s="119" t="s">
        <v>4331</v>
      </c>
      <c r="C3808" s="119" t="s">
        <v>301</v>
      </c>
      <c r="D3808" t="s">
        <v>45</v>
      </c>
      <c r="E3808" s="117">
        <v>1773.25</v>
      </c>
    </row>
    <row r="3809" spans="1:5" x14ac:dyDescent="0.25">
      <c r="A3809" s="119" t="s">
        <v>4337</v>
      </c>
      <c r="B3809" s="119" t="s">
        <v>4331</v>
      </c>
      <c r="C3809" s="119" t="s">
        <v>301</v>
      </c>
      <c r="D3809" t="s">
        <v>6759</v>
      </c>
      <c r="E3809" s="117">
        <v>999999</v>
      </c>
    </row>
    <row r="3810" spans="1:5" x14ac:dyDescent="0.25">
      <c r="A3810" s="119" t="s">
        <v>4338</v>
      </c>
      <c r="B3810" s="119" t="s">
        <v>4339</v>
      </c>
      <c r="C3810" s="119" t="s">
        <v>301</v>
      </c>
      <c r="D3810" t="s">
        <v>49</v>
      </c>
      <c r="E3810" s="117">
        <v>521.41</v>
      </c>
    </row>
    <row r="3811" spans="1:5" x14ac:dyDescent="0.25">
      <c r="A3811" s="119" t="s">
        <v>4340</v>
      </c>
      <c r="B3811" s="119" t="s">
        <v>4341</v>
      </c>
      <c r="C3811" s="119" t="s">
        <v>301</v>
      </c>
      <c r="D3811" t="s">
        <v>49</v>
      </c>
      <c r="E3811" s="117">
        <v>521.41</v>
      </c>
    </row>
    <row r="3812" spans="1:5" x14ac:dyDescent="0.25">
      <c r="A3812" s="119" t="s">
        <v>4342</v>
      </c>
      <c r="B3812" s="119" t="s">
        <v>10430</v>
      </c>
      <c r="C3812" s="119" t="s">
        <v>301</v>
      </c>
      <c r="D3812" t="s">
        <v>6759</v>
      </c>
      <c r="E3812" s="117">
        <v>650</v>
      </c>
    </row>
    <row r="3813" spans="1:5" x14ac:dyDescent="0.25">
      <c r="A3813" s="119" t="s">
        <v>4343</v>
      </c>
      <c r="B3813" s="119" t="s">
        <v>10431</v>
      </c>
      <c r="C3813" s="119" t="s">
        <v>301</v>
      </c>
      <c r="D3813" t="s">
        <v>6759</v>
      </c>
      <c r="E3813" s="117">
        <v>650</v>
      </c>
    </row>
    <row r="3814" spans="1:5" x14ac:dyDescent="0.25">
      <c r="A3814" s="119" t="s">
        <v>4344</v>
      </c>
      <c r="B3814" s="119" t="s">
        <v>10432</v>
      </c>
      <c r="C3814" s="119" t="s">
        <v>301</v>
      </c>
      <c r="D3814" t="s">
        <v>6759</v>
      </c>
      <c r="E3814" s="117">
        <v>3202.32</v>
      </c>
    </row>
    <row r="3815" spans="1:5" x14ac:dyDescent="0.25">
      <c r="A3815" s="119" t="s">
        <v>4345</v>
      </c>
      <c r="B3815" s="119" t="s">
        <v>4228</v>
      </c>
      <c r="C3815" s="119" t="s">
        <v>301</v>
      </c>
      <c r="D3815" t="s">
        <v>45</v>
      </c>
      <c r="E3815" s="117">
        <v>0</v>
      </c>
    </row>
    <row r="3816" spans="1:5" x14ac:dyDescent="0.25">
      <c r="A3816" s="119" t="s">
        <v>4346</v>
      </c>
      <c r="B3816" s="119" t="s">
        <v>10433</v>
      </c>
      <c r="C3816" s="119" t="s">
        <v>301</v>
      </c>
      <c r="D3816" t="s">
        <v>6760</v>
      </c>
      <c r="E3816" s="117">
        <v>2600</v>
      </c>
    </row>
    <row r="3817" spans="1:5" x14ac:dyDescent="0.25">
      <c r="A3817" s="119" t="s">
        <v>4347</v>
      </c>
      <c r="B3817" s="119" t="s">
        <v>4228</v>
      </c>
      <c r="C3817" s="119" t="s">
        <v>301</v>
      </c>
      <c r="D3817" t="s">
        <v>45</v>
      </c>
      <c r="E3817" s="117">
        <v>9999999</v>
      </c>
    </row>
    <row r="3818" spans="1:5" x14ac:dyDescent="0.25">
      <c r="A3818" s="119" t="s">
        <v>4348</v>
      </c>
      <c r="B3818" s="119" t="s">
        <v>10434</v>
      </c>
      <c r="C3818" s="119" t="s">
        <v>301</v>
      </c>
      <c r="D3818" t="s">
        <v>51</v>
      </c>
      <c r="E3818" s="117">
        <v>1231.08</v>
      </c>
    </row>
    <row r="3819" spans="1:5" x14ac:dyDescent="0.25">
      <c r="A3819" s="119" t="s">
        <v>4349</v>
      </c>
      <c r="B3819" s="119" t="s">
        <v>10435</v>
      </c>
      <c r="C3819" s="119" t="s">
        <v>301</v>
      </c>
      <c r="D3819" t="s">
        <v>45</v>
      </c>
      <c r="E3819" s="117">
        <v>442.56</v>
      </c>
    </row>
    <row r="3820" spans="1:5" x14ac:dyDescent="0.25">
      <c r="A3820" s="119" t="s">
        <v>4350</v>
      </c>
      <c r="B3820" s="119" t="s">
        <v>10436</v>
      </c>
      <c r="C3820" s="119" t="s">
        <v>301</v>
      </c>
      <c r="D3820" t="s">
        <v>45</v>
      </c>
      <c r="E3820" s="117">
        <v>0</v>
      </c>
    </row>
    <row r="3821" spans="1:5" x14ac:dyDescent="0.25">
      <c r="A3821" s="119" t="s">
        <v>4351</v>
      </c>
      <c r="B3821" s="119" t="s">
        <v>10437</v>
      </c>
      <c r="C3821" s="119" t="s">
        <v>301</v>
      </c>
      <c r="D3821" t="s">
        <v>45</v>
      </c>
      <c r="E3821" s="117">
        <v>1852.05</v>
      </c>
    </row>
    <row r="3822" spans="1:5" x14ac:dyDescent="0.25">
      <c r="A3822" s="119" t="s">
        <v>4352</v>
      </c>
      <c r="B3822" s="119" t="s">
        <v>10438</v>
      </c>
      <c r="C3822" s="119" t="s">
        <v>301</v>
      </c>
      <c r="D3822" t="s">
        <v>45</v>
      </c>
      <c r="E3822" s="117">
        <v>0</v>
      </c>
    </row>
    <row r="3823" spans="1:5" x14ac:dyDescent="0.25">
      <c r="A3823" s="119" t="s">
        <v>4353</v>
      </c>
      <c r="B3823" s="119" t="s">
        <v>10439</v>
      </c>
      <c r="C3823" s="119" t="s">
        <v>301</v>
      </c>
      <c r="D3823" t="s">
        <v>45</v>
      </c>
      <c r="E3823" s="117">
        <v>738.26</v>
      </c>
    </row>
    <row r="3824" spans="1:5" x14ac:dyDescent="0.25">
      <c r="A3824" s="119" t="s">
        <v>4354</v>
      </c>
      <c r="B3824" s="119" t="s">
        <v>10440</v>
      </c>
      <c r="C3824" s="119" t="s">
        <v>301</v>
      </c>
      <c r="D3824" t="s">
        <v>45</v>
      </c>
      <c r="E3824" s="117">
        <v>0</v>
      </c>
    </row>
    <row r="3825" spans="1:5" x14ac:dyDescent="0.25">
      <c r="A3825" s="119" t="s">
        <v>4355</v>
      </c>
      <c r="B3825" s="119" t="s">
        <v>4356</v>
      </c>
      <c r="C3825" s="119" t="s">
        <v>301</v>
      </c>
      <c r="D3825" t="s">
        <v>6759</v>
      </c>
      <c r="E3825" s="117">
        <v>2017.31</v>
      </c>
    </row>
    <row r="3826" spans="1:5" x14ac:dyDescent="0.25">
      <c r="A3826" s="119" t="s">
        <v>4357</v>
      </c>
      <c r="B3826" s="119" t="s">
        <v>10441</v>
      </c>
      <c r="C3826" s="119" t="s">
        <v>301</v>
      </c>
      <c r="D3826" t="s">
        <v>51</v>
      </c>
      <c r="E3826" s="117">
        <v>1799</v>
      </c>
    </row>
    <row r="3827" spans="1:5" x14ac:dyDescent="0.25">
      <c r="A3827" s="119" t="s">
        <v>4358</v>
      </c>
      <c r="B3827" s="119" t="s">
        <v>10442</v>
      </c>
      <c r="C3827" s="119" t="s">
        <v>301</v>
      </c>
      <c r="D3827" t="s">
        <v>49</v>
      </c>
      <c r="E3827" s="117">
        <v>787.54</v>
      </c>
    </row>
    <row r="3828" spans="1:5" x14ac:dyDescent="0.25">
      <c r="A3828" s="119" t="s">
        <v>4359</v>
      </c>
      <c r="B3828" s="119" t="s">
        <v>7677</v>
      </c>
      <c r="C3828" s="119" t="s">
        <v>301</v>
      </c>
      <c r="D3828" t="s">
        <v>45</v>
      </c>
      <c r="E3828" s="117">
        <v>886.11</v>
      </c>
    </row>
    <row r="3829" spans="1:5" x14ac:dyDescent="0.25">
      <c r="A3829" s="119" t="s">
        <v>4360</v>
      </c>
      <c r="B3829" s="119" t="s">
        <v>10443</v>
      </c>
      <c r="C3829" s="119" t="s">
        <v>301</v>
      </c>
      <c r="D3829" t="s">
        <v>45</v>
      </c>
      <c r="E3829" s="117">
        <v>984.67</v>
      </c>
    </row>
    <row r="3830" spans="1:5" x14ac:dyDescent="0.25">
      <c r="A3830" s="119" t="s">
        <v>4361</v>
      </c>
      <c r="B3830" s="119" t="s">
        <v>10444</v>
      </c>
      <c r="C3830" s="119" t="s">
        <v>301</v>
      </c>
      <c r="D3830" t="s">
        <v>45</v>
      </c>
      <c r="E3830" s="117">
        <v>0</v>
      </c>
    </row>
    <row r="3831" spans="1:5" x14ac:dyDescent="0.25">
      <c r="A3831" s="119" t="s">
        <v>4362</v>
      </c>
      <c r="B3831" s="119" t="s">
        <v>10445</v>
      </c>
      <c r="C3831" s="119" t="s">
        <v>301</v>
      </c>
      <c r="D3831" t="s">
        <v>45</v>
      </c>
      <c r="E3831" s="117">
        <v>2167.46</v>
      </c>
    </row>
    <row r="3832" spans="1:5" x14ac:dyDescent="0.25">
      <c r="A3832" s="119" t="s">
        <v>4363</v>
      </c>
      <c r="B3832" s="119" t="s">
        <v>10446</v>
      </c>
      <c r="C3832" s="119" t="s">
        <v>301</v>
      </c>
      <c r="D3832" t="s">
        <v>49</v>
      </c>
      <c r="E3832" s="117">
        <v>1033.96</v>
      </c>
    </row>
    <row r="3833" spans="1:5" x14ac:dyDescent="0.25">
      <c r="A3833" s="119" t="s">
        <v>4364</v>
      </c>
      <c r="B3833" s="119" t="s">
        <v>4365</v>
      </c>
      <c r="C3833" s="119" t="s">
        <v>301</v>
      </c>
      <c r="D3833" t="s">
        <v>45</v>
      </c>
      <c r="E3833" s="117">
        <v>0</v>
      </c>
    </row>
    <row r="3834" spans="1:5" x14ac:dyDescent="0.25">
      <c r="A3834" s="119" t="s">
        <v>6282</v>
      </c>
      <c r="B3834" s="119" t="s">
        <v>10447</v>
      </c>
      <c r="C3834" s="119" t="s">
        <v>301</v>
      </c>
      <c r="D3834" t="s">
        <v>6759</v>
      </c>
      <c r="E3834" s="117">
        <v>1909</v>
      </c>
    </row>
    <row r="3835" spans="1:5" x14ac:dyDescent="0.25">
      <c r="A3835" s="119" t="s">
        <v>6283</v>
      </c>
      <c r="B3835" s="119" t="s">
        <v>10448</v>
      </c>
      <c r="C3835" s="119" t="s">
        <v>301</v>
      </c>
      <c r="D3835" t="s">
        <v>49</v>
      </c>
      <c r="E3835" s="117">
        <v>869</v>
      </c>
    </row>
    <row r="3836" spans="1:5" x14ac:dyDescent="0.25">
      <c r="A3836" s="119" t="s">
        <v>4366</v>
      </c>
      <c r="B3836" s="119" t="s">
        <v>10449</v>
      </c>
      <c r="C3836" s="119" t="s">
        <v>301</v>
      </c>
      <c r="D3836" t="s">
        <v>45</v>
      </c>
      <c r="E3836" s="117">
        <v>2129.96</v>
      </c>
    </row>
    <row r="3837" spans="1:5" x14ac:dyDescent="0.25">
      <c r="A3837" s="119" t="s">
        <v>4367</v>
      </c>
      <c r="B3837" s="119" t="s">
        <v>10450</v>
      </c>
      <c r="C3837" s="119" t="s">
        <v>301</v>
      </c>
      <c r="D3837" t="s">
        <v>45</v>
      </c>
      <c r="E3837" s="117">
        <v>1171.95</v>
      </c>
    </row>
    <row r="3838" spans="1:5" x14ac:dyDescent="0.25">
      <c r="A3838" s="119" t="s">
        <v>4368</v>
      </c>
      <c r="B3838" s="119" t="s">
        <v>10451</v>
      </c>
      <c r="C3838" s="119" t="s">
        <v>301</v>
      </c>
      <c r="D3838" t="s">
        <v>45</v>
      </c>
      <c r="E3838" s="117">
        <v>1250.8</v>
      </c>
    </row>
    <row r="3839" spans="1:5" x14ac:dyDescent="0.25">
      <c r="A3839" s="119" t="s">
        <v>4369</v>
      </c>
      <c r="B3839" s="119" t="s">
        <v>10452</v>
      </c>
      <c r="C3839" s="119" t="s">
        <v>301</v>
      </c>
      <c r="D3839" t="s">
        <v>45</v>
      </c>
      <c r="E3839" s="117">
        <v>2236.46</v>
      </c>
    </row>
    <row r="3840" spans="1:5" x14ac:dyDescent="0.25">
      <c r="A3840" s="119" t="s">
        <v>4370</v>
      </c>
      <c r="B3840" s="119" t="s">
        <v>10453</v>
      </c>
      <c r="C3840" s="119" t="s">
        <v>301</v>
      </c>
      <c r="D3840" t="s">
        <v>45</v>
      </c>
      <c r="E3840" s="117">
        <v>1171.95</v>
      </c>
    </row>
    <row r="3841" spans="1:5" x14ac:dyDescent="0.25">
      <c r="A3841" s="119" t="s">
        <v>4371</v>
      </c>
      <c r="B3841" s="119" t="s">
        <v>10454</v>
      </c>
      <c r="C3841" s="119" t="s">
        <v>301</v>
      </c>
      <c r="D3841" t="s">
        <v>45</v>
      </c>
      <c r="E3841" s="117">
        <v>1250.8</v>
      </c>
    </row>
    <row r="3842" spans="1:5" x14ac:dyDescent="0.25">
      <c r="A3842" s="119" t="s">
        <v>4372</v>
      </c>
      <c r="B3842" s="119" t="s">
        <v>10455</v>
      </c>
      <c r="C3842" s="119" t="s">
        <v>301</v>
      </c>
      <c r="D3842" t="s">
        <v>49</v>
      </c>
      <c r="E3842" s="117">
        <v>422.85</v>
      </c>
    </row>
    <row r="3843" spans="1:5" x14ac:dyDescent="0.25">
      <c r="A3843" s="119" t="s">
        <v>4373</v>
      </c>
      <c r="B3843" s="119" t="s">
        <v>10456</v>
      </c>
      <c r="C3843" s="119" t="s">
        <v>301</v>
      </c>
      <c r="D3843" t="s">
        <v>6759</v>
      </c>
      <c r="E3843" s="117">
        <v>422.85</v>
      </c>
    </row>
    <row r="3844" spans="1:5" x14ac:dyDescent="0.25">
      <c r="A3844" s="119" t="s">
        <v>6812</v>
      </c>
      <c r="B3844" s="119" t="s">
        <v>4374</v>
      </c>
      <c r="C3844" s="119" t="s">
        <v>301</v>
      </c>
      <c r="D3844" t="s">
        <v>45</v>
      </c>
      <c r="E3844" s="117">
        <v>2068.9</v>
      </c>
    </row>
    <row r="3845" spans="1:5" x14ac:dyDescent="0.25">
      <c r="A3845" s="119" t="s">
        <v>4375</v>
      </c>
      <c r="B3845" s="119" t="s">
        <v>10457</v>
      </c>
      <c r="C3845" s="119" t="s">
        <v>301</v>
      </c>
      <c r="D3845" t="s">
        <v>49</v>
      </c>
      <c r="E3845" s="117">
        <v>1344.44</v>
      </c>
    </row>
    <row r="3846" spans="1:5" x14ac:dyDescent="0.25">
      <c r="A3846" s="119" t="s">
        <v>4376</v>
      </c>
      <c r="B3846" s="119" t="s">
        <v>10458</v>
      </c>
      <c r="C3846" s="119" t="s">
        <v>301</v>
      </c>
      <c r="D3846" t="s">
        <v>45</v>
      </c>
      <c r="E3846" s="117">
        <v>0</v>
      </c>
    </row>
    <row r="3847" spans="1:5" x14ac:dyDescent="0.25">
      <c r="A3847" s="119" t="s">
        <v>4377</v>
      </c>
      <c r="B3847" s="119" t="s">
        <v>10459</v>
      </c>
      <c r="C3847" s="119" t="s">
        <v>301</v>
      </c>
      <c r="D3847" t="s">
        <v>49</v>
      </c>
      <c r="E3847" s="117">
        <v>688.98</v>
      </c>
    </row>
    <row r="3848" spans="1:5" x14ac:dyDescent="0.25">
      <c r="A3848" s="119" t="s">
        <v>4378</v>
      </c>
      <c r="B3848" s="119" t="s">
        <v>4379</v>
      </c>
      <c r="C3848" s="119" t="s">
        <v>301</v>
      </c>
      <c r="D3848" t="s">
        <v>45</v>
      </c>
      <c r="E3848" s="117">
        <v>0</v>
      </c>
    </row>
    <row r="3849" spans="1:5" x14ac:dyDescent="0.25">
      <c r="A3849" s="119" t="s">
        <v>4380</v>
      </c>
      <c r="B3849" s="119" t="s">
        <v>4381</v>
      </c>
      <c r="C3849" s="119" t="s">
        <v>301</v>
      </c>
      <c r="D3849" t="s">
        <v>6759</v>
      </c>
      <c r="E3849" s="117">
        <v>3350.26</v>
      </c>
    </row>
    <row r="3850" spans="1:5" x14ac:dyDescent="0.25">
      <c r="A3850" s="119" t="s">
        <v>4382</v>
      </c>
      <c r="B3850" s="119" t="s">
        <v>10460</v>
      </c>
      <c r="C3850" s="119" t="s">
        <v>301</v>
      </c>
      <c r="D3850" t="s">
        <v>45</v>
      </c>
      <c r="E3850" s="117">
        <v>2118.1799999999998</v>
      </c>
    </row>
    <row r="3851" spans="1:5" x14ac:dyDescent="0.25">
      <c r="A3851" s="119" t="s">
        <v>4383</v>
      </c>
      <c r="B3851" s="119" t="s">
        <v>4384</v>
      </c>
      <c r="C3851" s="119" t="s">
        <v>301</v>
      </c>
      <c r="D3851" t="s">
        <v>45</v>
      </c>
      <c r="E3851" s="117">
        <v>0</v>
      </c>
    </row>
    <row r="3852" spans="1:5" x14ac:dyDescent="0.25">
      <c r="A3852" s="119" t="s">
        <v>4385</v>
      </c>
      <c r="B3852" s="119" t="s">
        <v>10461</v>
      </c>
      <c r="C3852" s="119" t="s">
        <v>301</v>
      </c>
      <c r="D3852" t="s">
        <v>45</v>
      </c>
      <c r="E3852" s="117">
        <v>1033.96</v>
      </c>
    </row>
    <row r="3853" spans="1:5" x14ac:dyDescent="0.25">
      <c r="A3853" s="119" t="s">
        <v>4386</v>
      </c>
      <c r="B3853" s="119" t="s">
        <v>9486</v>
      </c>
      <c r="C3853" s="119" t="s">
        <v>301</v>
      </c>
      <c r="D3853" t="s">
        <v>45</v>
      </c>
      <c r="E3853" s="117">
        <v>0</v>
      </c>
    </row>
    <row r="3854" spans="1:5" x14ac:dyDescent="0.25">
      <c r="A3854" s="119" t="s">
        <v>4387</v>
      </c>
      <c r="B3854" s="119" t="s">
        <v>10462</v>
      </c>
      <c r="C3854" s="119" t="s">
        <v>301</v>
      </c>
      <c r="D3854" t="s">
        <v>45</v>
      </c>
      <c r="E3854" s="117">
        <v>787.54</v>
      </c>
    </row>
    <row r="3855" spans="1:5" x14ac:dyDescent="0.25">
      <c r="A3855" s="119" t="s">
        <v>4388</v>
      </c>
      <c r="B3855" s="119" t="s">
        <v>10463</v>
      </c>
      <c r="C3855" s="119" t="s">
        <v>301</v>
      </c>
      <c r="D3855" t="s">
        <v>45</v>
      </c>
      <c r="E3855" s="117">
        <v>560.84</v>
      </c>
    </row>
    <row r="3856" spans="1:5" x14ac:dyDescent="0.25">
      <c r="A3856" s="119" t="s">
        <v>6284</v>
      </c>
      <c r="B3856" s="119" t="s">
        <v>10464</v>
      </c>
      <c r="C3856" s="119" t="s">
        <v>301</v>
      </c>
      <c r="D3856" t="s">
        <v>45</v>
      </c>
      <c r="E3856" s="117">
        <v>560.84</v>
      </c>
    </row>
    <row r="3857" spans="1:5" x14ac:dyDescent="0.25">
      <c r="A3857" s="119" t="s">
        <v>4389</v>
      </c>
      <c r="B3857" s="119" t="s">
        <v>10465</v>
      </c>
      <c r="C3857" s="119" t="s">
        <v>301</v>
      </c>
      <c r="D3857" t="s">
        <v>45</v>
      </c>
      <c r="E3857" s="117">
        <v>279.93</v>
      </c>
    </row>
    <row r="3858" spans="1:5" x14ac:dyDescent="0.25">
      <c r="A3858" s="119" t="s">
        <v>4390</v>
      </c>
      <c r="B3858" s="119" t="s">
        <v>10466</v>
      </c>
      <c r="C3858" s="119" t="s">
        <v>301</v>
      </c>
      <c r="D3858" t="s">
        <v>45</v>
      </c>
      <c r="E3858" s="117">
        <v>0</v>
      </c>
    </row>
    <row r="3859" spans="1:5" x14ac:dyDescent="0.25">
      <c r="A3859" s="119" t="s">
        <v>4391</v>
      </c>
      <c r="B3859" s="119" t="s">
        <v>10467</v>
      </c>
      <c r="C3859" s="119" t="s">
        <v>301</v>
      </c>
      <c r="D3859" t="s">
        <v>45</v>
      </c>
      <c r="E3859" s="117">
        <v>0</v>
      </c>
    </row>
    <row r="3860" spans="1:5" x14ac:dyDescent="0.25">
      <c r="A3860" s="119" t="s">
        <v>4392</v>
      </c>
      <c r="B3860" s="119" t="s">
        <v>10468</v>
      </c>
      <c r="C3860" s="119" t="s">
        <v>301</v>
      </c>
      <c r="D3860" t="s">
        <v>49</v>
      </c>
      <c r="E3860" s="117">
        <v>1452.86</v>
      </c>
    </row>
    <row r="3861" spans="1:5" x14ac:dyDescent="0.25">
      <c r="A3861" s="119" t="s">
        <v>4393</v>
      </c>
      <c r="B3861" s="119" t="s">
        <v>10469</v>
      </c>
      <c r="C3861" s="119" t="s">
        <v>301</v>
      </c>
      <c r="D3861" t="s">
        <v>45</v>
      </c>
      <c r="E3861" s="117">
        <v>1452.86</v>
      </c>
    </row>
    <row r="3862" spans="1:5" x14ac:dyDescent="0.25">
      <c r="A3862" s="119" t="s">
        <v>4394</v>
      </c>
      <c r="B3862" s="119" t="s">
        <v>10470</v>
      </c>
      <c r="C3862" s="119" t="s">
        <v>301</v>
      </c>
      <c r="D3862" t="s">
        <v>49</v>
      </c>
      <c r="E3862" s="117">
        <v>560.84</v>
      </c>
    </row>
    <row r="3863" spans="1:5" x14ac:dyDescent="0.25">
      <c r="A3863" s="119" t="s">
        <v>4395</v>
      </c>
      <c r="B3863" s="119" t="s">
        <v>10471</v>
      </c>
      <c r="C3863" s="119" t="s">
        <v>301</v>
      </c>
      <c r="D3863" t="s">
        <v>45</v>
      </c>
      <c r="E3863" s="117">
        <v>0</v>
      </c>
    </row>
    <row r="3864" spans="1:5" x14ac:dyDescent="0.25">
      <c r="A3864" s="119" t="s">
        <v>4396</v>
      </c>
      <c r="B3864" s="119" t="s">
        <v>10472</v>
      </c>
      <c r="C3864" s="119" t="s">
        <v>301</v>
      </c>
      <c r="D3864" t="s">
        <v>45</v>
      </c>
      <c r="E3864" s="117">
        <v>0</v>
      </c>
    </row>
    <row r="3865" spans="1:5" x14ac:dyDescent="0.25">
      <c r="A3865" s="119" t="s">
        <v>4397</v>
      </c>
      <c r="B3865" s="119" t="s">
        <v>10473</v>
      </c>
      <c r="C3865" s="119" t="s">
        <v>301</v>
      </c>
      <c r="D3865" t="s">
        <v>45</v>
      </c>
      <c r="E3865" s="117">
        <v>0</v>
      </c>
    </row>
    <row r="3866" spans="1:5" x14ac:dyDescent="0.25">
      <c r="A3866" s="119" t="s">
        <v>4398</v>
      </c>
      <c r="B3866" s="119" t="s">
        <v>10474</v>
      </c>
      <c r="C3866" s="119" t="s">
        <v>301</v>
      </c>
      <c r="D3866" t="s">
        <v>45</v>
      </c>
      <c r="E3866" s="117">
        <v>0</v>
      </c>
    </row>
    <row r="3867" spans="1:5" x14ac:dyDescent="0.25">
      <c r="A3867" s="119" t="s">
        <v>4399</v>
      </c>
      <c r="B3867" s="119" t="s">
        <v>10475</v>
      </c>
      <c r="C3867" s="119" t="s">
        <v>301</v>
      </c>
      <c r="D3867" t="s">
        <v>45</v>
      </c>
      <c r="E3867" s="117">
        <v>1970.38</v>
      </c>
    </row>
    <row r="3868" spans="1:5" x14ac:dyDescent="0.25">
      <c r="A3868" s="119" t="s">
        <v>4400</v>
      </c>
      <c r="B3868" s="119" t="s">
        <v>10476</v>
      </c>
      <c r="C3868" s="119" t="s">
        <v>301</v>
      </c>
      <c r="D3868" t="s">
        <v>45</v>
      </c>
      <c r="E3868" s="117">
        <v>950.18</v>
      </c>
    </row>
    <row r="3869" spans="1:5" x14ac:dyDescent="0.25">
      <c r="A3869" s="119" t="s">
        <v>6572</v>
      </c>
      <c r="B3869" s="119" t="s">
        <v>7678</v>
      </c>
      <c r="C3869" s="119" t="s">
        <v>301</v>
      </c>
      <c r="D3869" t="s">
        <v>51</v>
      </c>
      <c r="E3869" s="117">
        <v>1134.92</v>
      </c>
    </row>
    <row r="3870" spans="1:5" x14ac:dyDescent="0.25">
      <c r="A3870" s="119" t="s">
        <v>4401</v>
      </c>
      <c r="B3870" s="119" t="s">
        <v>10477</v>
      </c>
      <c r="C3870" s="119" t="s">
        <v>301</v>
      </c>
      <c r="D3870" t="s">
        <v>45</v>
      </c>
      <c r="E3870" s="117">
        <v>0</v>
      </c>
    </row>
    <row r="3871" spans="1:5" x14ac:dyDescent="0.25">
      <c r="A3871" s="119" t="s">
        <v>4402</v>
      </c>
      <c r="B3871" s="119" t="s">
        <v>10478</v>
      </c>
      <c r="C3871" s="119" t="s">
        <v>301</v>
      </c>
      <c r="D3871" t="s">
        <v>45</v>
      </c>
      <c r="E3871" s="117">
        <v>869</v>
      </c>
    </row>
    <row r="3872" spans="1:5" x14ac:dyDescent="0.25">
      <c r="A3872" s="119" t="s">
        <v>4403</v>
      </c>
      <c r="B3872" s="119" t="s">
        <v>10479</v>
      </c>
      <c r="C3872" s="119" t="s">
        <v>301</v>
      </c>
      <c r="D3872" t="s">
        <v>6759</v>
      </c>
      <c r="E3872" s="117">
        <v>378.49</v>
      </c>
    </row>
    <row r="3873" spans="1:5" x14ac:dyDescent="0.25">
      <c r="A3873" s="119" t="s">
        <v>4404</v>
      </c>
      <c r="B3873" s="119" t="s">
        <v>10480</v>
      </c>
      <c r="C3873" s="119" t="s">
        <v>301</v>
      </c>
      <c r="D3873" t="s">
        <v>45</v>
      </c>
      <c r="E3873" s="117">
        <v>1276.57</v>
      </c>
    </row>
    <row r="3874" spans="1:5" x14ac:dyDescent="0.25">
      <c r="A3874" s="119" t="s">
        <v>4405</v>
      </c>
      <c r="B3874" s="119" t="s">
        <v>4406</v>
      </c>
      <c r="C3874" s="119" t="s">
        <v>301</v>
      </c>
      <c r="D3874" t="s">
        <v>45</v>
      </c>
      <c r="E3874" s="117">
        <v>0</v>
      </c>
    </row>
    <row r="3875" spans="1:5" x14ac:dyDescent="0.25">
      <c r="A3875" s="119" t="s">
        <v>4407</v>
      </c>
      <c r="B3875" s="119" t="s">
        <v>10481</v>
      </c>
      <c r="C3875" s="119" t="s">
        <v>301</v>
      </c>
      <c r="D3875" t="s">
        <v>6759</v>
      </c>
      <c r="E3875" s="117">
        <v>615.04999999999995</v>
      </c>
    </row>
    <row r="3876" spans="1:5" x14ac:dyDescent="0.25">
      <c r="A3876" s="119" t="s">
        <v>4408</v>
      </c>
      <c r="B3876" s="119" t="s">
        <v>6507</v>
      </c>
      <c r="C3876" s="119" t="s">
        <v>301</v>
      </c>
      <c r="D3876" t="s">
        <v>45</v>
      </c>
      <c r="E3876" s="117">
        <v>0</v>
      </c>
    </row>
    <row r="3877" spans="1:5" x14ac:dyDescent="0.25">
      <c r="A3877" s="119" t="s">
        <v>4409</v>
      </c>
      <c r="B3877" s="119" t="s">
        <v>10482</v>
      </c>
      <c r="C3877" s="119" t="s">
        <v>301</v>
      </c>
      <c r="D3877" t="s">
        <v>6759</v>
      </c>
      <c r="E3877" s="117">
        <v>1269</v>
      </c>
    </row>
    <row r="3878" spans="1:5" x14ac:dyDescent="0.25">
      <c r="A3878" s="119" t="s">
        <v>4410</v>
      </c>
      <c r="B3878" s="119" t="s">
        <v>10483</v>
      </c>
      <c r="C3878" s="119" t="s">
        <v>301</v>
      </c>
      <c r="D3878" t="s">
        <v>49</v>
      </c>
      <c r="E3878" s="117">
        <v>501.7</v>
      </c>
    </row>
    <row r="3879" spans="1:5" x14ac:dyDescent="0.25">
      <c r="A3879" s="119" t="s">
        <v>4411</v>
      </c>
      <c r="B3879" s="119" t="s">
        <v>10484</v>
      </c>
      <c r="C3879" s="119" t="s">
        <v>301</v>
      </c>
      <c r="D3879" t="s">
        <v>45</v>
      </c>
      <c r="E3879" s="117">
        <v>0</v>
      </c>
    </row>
    <row r="3880" spans="1:5" x14ac:dyDescent="0.25">
      <c r="A3880" s="119" t="s">
        <v>4412</v>
      </c>
      <c r="B3880" s="119" t="s">
        <v>10485</v>
      </c>
      <c r="C3880" s="119" t="s">
        <v>301</v>
      </c>
      <c r="D3880" t="s">
        <v>45</v>
      </c>
      <c r="E3880" s="117">
        <v>2216.75</v>
      </c>
    </row>
    <row r="3881" spans="1:5" x14ac:dyDescent="0.25">
      <c r="A3881" s="119" t="s">
        <v>4413</v>
      </c>
      <c r="B3881" s="119" t="s">
        <v>10486</v>
      </c>
      <c r="C3881" s="119" t="s">
        <v>301</v>
      </c>
      <c r="D3881" t="s">
        <v>51</v>
      </c>
      <c r="E3881" s="117">
        <v>1033.96</v>
      </c>
    </row>
    <row r="3882" spans="1:5" x14ac:dyDescent="0.25">
      <c r="A3882" s="119" t="s">
        <v>4414</v>
      </c>
      <c r="B3882" s="119" t="s">
        <v>10487</v>
      </c>
      <c r="C3882" s="119" t="s">
        <v>301</v>
      </c>
      <c r="D3882" t="s">
        <v>45</v>
      </c>
      <c r="E3882" s="117">
        <v>0</v>
      </c>
    </row>
    <row r="3883" spans="1:5" x14ac:dyDescent="0.25">
      <c r="A3883" s="119" t="s">
        <v>4415</v>
      </c>
      <c r="B3883" s="119" t="s">
        <v>10488</v>
      </c>
      <c r="C3883" s="119" t="s">
        <v>301</v>
      </c>
      <c r="D3883" t="s">
        <v>45</v>
      </c>
      <c r="E3883" s="117">
        <v>0</v>
      </c>
    </row>
    <row r="3884" spans="1:5" x14ac:dyDescent="0.25">
      <c r="A3884" s="119" t="s">
        <v>4416</v>
      </c>
      <c r="B3884" s="119" t="s">
        <v>10489</v>
      </c>
      <c r="C3884" s="119" t="s">
        <v>301</v>
      </c>
      <c r="D3884" t="s">
        <v>6760</v>
      </c>
      <c r="E3884" s="117">
        <v>819</v>
      </c>
    </row>
    <row r="3885" spans="1:5" x14ac:dyDescent="0.25">
      <c r="A3885" s="119" t="s">
        <v>4417</v>
      </c>
      <c r="B3885" s="119" t="s">
        <v>10490</v>
      </c>
      <c r="C3885" s="119" t="s">
        <v>301</v>
      </c>
      <c r="D3885" t="s">
        <v>45</v>
      </c>
      <c r="E3885" s="117">
        <v>853.17</v>
      </c>
    </row>
    <row r="3886" spans="1:5" x14ac:dyDescent="0.25">
      <c r="A3886" s="119" t="s">
        <v>4418</v>
      </c>
      <c r="B3886" s="119" t="s">
        <v>10491</v>
      </c>
      <c r="C3886" s="119" t="s">
        <v>301</v>
      </c>
      <c r="D3886" t="s">
        <v>6759</v>
      </c>
      <c r="E3886" s="117">
        <v>853.17</v>
      </c>
    </row>
    <row r="3887" spans="1:5" x14ac:dyDescent="0.25">
      <c r="A3887" s="119" t="s">
        <v>4419</v>
      </c>
      <c r="B3887" s="119" t="s">
        <v>10492</v>
      </c>
      <c r="C3887" s="119" t="s">
        <v>301</v>
      </c>
      <c r="D3887" t="s">
        <v>51</v>
      </c>
      <c r="E3887" s="117">
        <v>516.48</v>
      </c>
    </row>
    <row r="3888" spans="1:5" x14ac:dyDescent="0.25">
      <c r="A3888" s="119" t="s">
        <v>4420</v>
      </c>
      <c r="B3888" s="119" t="s">
        <v>10493</v>
      </c>
      <c r="C3888" s="119" t="s">
        <v>301</v>
      </c>
      <c r="D3888" t="s">
        <v>45</v>
      </c>
      <c r="E3888" s="117">
        <v>516.48</v>
      </c>
    </row>
    <row r="3889" spans="1:5" x14ac:dyDescent="0.25">
      <c r="A3889" s="119" t="s">
        <v>4421</v>
      </c>
      <c r="B3889" s="119" t="s">
        <v>10494</v>
      </c>
      <c r="C3889" s="119" t="s">
        <v>301</v>
      </c>
      <c r="D3889" t="s">
        <v>51</v>
      </c>
      <c r="E3889" s="117">
        <v>1579</v>
      </c>
    </row>
    <row r="3890" spans="1:5" x14ac:dyDescent="0.25">
      <c r="A3890" s="119" t="s">
        <v>4422</v>
      </c>
      <c r="B3890" s="119" t="s">
        <v>4423</v>
      </c>
      <c r="C3890" s="119" t="s">
        <v>301</v>
      </c>
      <c r="D3890" t="s">
        <v>45</v>
      </c>
      <c r="E3890" s="117">
        <v>2400</v>
      </c>
    </row>
    <row r="3891" spans="1:5" x14ac:dyDescent="0.25">
      <c r="A3891" s="119" t="s">
        <v>4424</v>
      </c>
      <c r="B3891" s="119" t="s">
        <v>10495</v>
      </c>
      <c r="C3891" s="119" t="s">
        <v>301</v>
      </c>
      <c r="D3891" t="s">
        <v>49</v>
      </c>
      <c r="E3891" s="117">
        <v>980</v>
      </c>
    </row>
    <row r="3892" spans="1:5" x14ac:dyDescent="0.25">
      <c r="A3892" s="119" t="s">
        <v>4425</v>
      </c>
      <c r="B3892" s="119" t="s">
        <v>4426</v>
      </c>
      <c r="C3892" s="119" t="s">
        <v>301</v>
      </c>
      <c r="D3892" t="s">
        <v>45</v>
      </c>
      <c r="E3892" s="117">
        <v>980</v>
      </c>
    </row>
    <row r="3893" spans="1:5" x14ac:dyDescent="0.25">
      <c r="A3893" s="119" t="s">
        <v>6583</v>
      </c>
      <c r="B3893" s="119" t="s">
        <v>4247</v>
      </c>
      <c r="C3893" s="119" t="s">
        <v>301</v>
      </c>
      <c r="D3893" t="s">
        <v>45</v>
      </c>
      <c r="E3893" s="117">
        <v>0</v>
      </c>
    </row>
    <row r="3894" spans="1:5" x14ac:dyDescent="0.25">
      <c r="A3894" s="119" t="s">
        <v>6896</v>
      </c>
      <c r="B3894" s="119" t="s">
        <v>10496</v>
      </c>
      <c r="C3894" s="119" t="s">
        <v>301</v>
      </c>
      <c r="D3894" t="s">
        <v>51</v>
      </c>
      <c r="E3894" s="117">
        <v>572.62</v>
      </c>
    </row>
    <row r="3895" spans="1:5" x14ac:dyDescent="0.25">
      <c r="A3895" s="119" t="s">
        <v>6897</v>
      </c>
      <c r="B3895" s="119" t="s">
        <v>10497</v>
      </c>
      <c r="C3895" s="119" t="s">
        <v>301</v>
      </c>
      <c r="D3895" t="s">
        <v>51</v>
      </c>
      <c r="E3895" s="117">
        <v>468.32</v>
      </c>
    </row>
    <row r="3896" spans="1:5" x14ac:dyDescent="0.25">
      <c r="A3896" s="119" t="s">
        <v>11628</v>
      </c>
      <c r="B3896" s="119" t="s">
        <v>11629</v>
      </c>
      <c r="C3896" s="119" t="s">
        <v>301</v>
      </c>
      <c r="D3896" t="s">
        <v>51</v>
      </c>
      <c r="E3896" s="117">
        <v>290.07</v>
      </c>
    </row>
    <row r="3897" spans="1:5" x14ac:dyDescent="0.25">
      <c r="A3897" s="119" t="s">
        <v>4427</v>
      </c>
      <c r="B3897" s="119" t="s">
        <v>10498</v>
      </c>
      <c r="C3897" s="119" t="s">
        <v>301</v>
      </c>
      <c r="D3897" t="s">
        <v>45</v>
      </c>
      <c r="E3897" s="117">
        <v>0</v>
      </c>
    </row>
    <row r="3898" spans="1:5" x14ac:dyDescent="0.25">
      <c r="A3898" s="119" t="s">
        <v>4428</v>
      </c>
      <c r="B3898" s="119" t="s">
        <v>10499</v>
      </c>
      <c r="C3898" s="119" t="s">
        <v>301</v>
      </c>
      <c r="D3898" t="s">
        <v>49</v>
      </c>
      <c r="E3898" s="117">
        <v>650.54</v>
      </c>
    </row>
    <row r="3899" spans="1:5" x14ac:dyDescent="0.25">
      <c r="A3899" s="119" t="s">
        <v>4429</v>
      </c>
      <c r="B3899" s="119" t="s">
        <v>10500</v>
      </c>
      <c r="C3899" s="119" t="s">
        <v>301</v>
      </c>
      <c r="D3899" t="s">
        <v>45</v>
      </c>
      <c r="E3899" s="117">
        <v>650.54</v>
      </c>
    </row>
    <row r="3900" spans="1:5" x14ac:dyDescent="0.25">
      <c r="A3900" s="119" t="s">
        <v>4430</v>
      </c>
      <c r="B3900" s="119" t="s">
        <v>10501</v>
      </c>
      <c r="C3900" s="119" t="s">
        <v>301</v>
      </c>
      <c r="D3900" t="s">
        <v>45</v>
      </c>
      <c r="E3900" s="117">
        <v>2010.74</v>
      </c>
    </row>
    <row r="3901" spans="1:5" x14ac:dyDescent="0.25">
      <c r="A3901" s="119" t="s">
        <v>4431</v>
      </c>
      <c r="B3901" s="119" t="s">
        <v>10502</v>
      </c>
      <c r="C3901" s="119" t="s">
        <v>301</v>
      </c>
      <c r="D3901" t="s">
        <v>6760</v>
      </c>
      <c r="E3901" s="117">
        <v>896.95</v>
      </c>
    </row>
    <row r="3902" spans="1:5" x14ac:dyDescent="0.25">
      <c r="A3902" s="119" t="s">
        <v>4432</v>
      </c>
      <c r="B3902" s="119" t="s">
        <v>10503</v>
      </c>
      <c r="C3902" s="119" t="s">
        <v>301</v>
      </c>
      <c r="D3902" t="s">
        <v>45</v>
      </c>
      <c r="E3902" s="117">
        <v>0</v>
      </c>
    </row>
    <row r="3903" spans="1:5" x14ac:dyDescent="0.25">
      <c r="A3903" s="119" t="s">
        <v>4434</v>
      </c>
      <c r="B3903" s="119" t="s">
        <v>10504</v>
      </c>
      <c r="C3903" s="119" t="s">
        <v>301</v>
      </c>
      <c r="D3903" t="s">
        <v>49</v>
      </c>
      <c r="E3903" s="117">
        <v>850</v>
      </c>
    </row>
    <row r="3904" spans="1:5" x14ac:dyDescent="0.25">
      <c r="A3904" s="119" t="s">
        <v>4435</v>
      </c>
      <c r="B3904" s="119" t="s">
        <v>4433</v>
      </c>
      <c r="C3904" s="119" t="s">
        <v>301</v>
      </c>
      <c r="D3904" t="s">
        <v>6759</v>
      </c>
      <c r="E3904" s="117">
        <v>1</v>
      </c>
    </row>
    <row r="3905" spans="1:5" x14ac:dyDescent="0.25">
      <c r="A3905" s="119" t="s">
        <v>4436</v>
      </c>
      <c r="B3905" s="119" t="s">
        <v>10505</v>
      </c>
      <c r="C3905" s="119" t="s">
        <v>301</v>
      </c>
      <c r="D3905" t="s">
        <v>45</v>
      </c>
      <c r="E3905" s="117">
        <v>0</v>
      </c>
    </row>
    <row r="3906" spans="1:5" x14ac:dyDescent="0.25">
      <c r="A3906" s="119" t="s">
        <v>4437</v>
      </c>
      <c r="B3906" s="119" t="s">
        <v>10506</v>
      </c>
      <c r="C3906" s="119" t="s">
        <v>301</v>
      </c>
      <c r="D3906" t="s">
        <v>45</v>
      </c>
      <c r="E3906" s="117">
        <v>1508.06</v>
      </c>
    </row>
    <row r="3907" spans="1:5" x14ac:dyDescent="0.25">
      <c r="A3907" s="119" t="s">
        <v>4438</v>
      </c>
      <c r="B3907" s="119" t="s">
        <v>10507</v>
      </c>
      <c r="C3907" s="119" t="s">
        <v>301</v>
      </c>
      <c r="D3907" t="s">
        <v>45</v>
      </c>
      <c r="E3907" s="117">
        <v>0</v>
      </c>
    </row>
    <row r="3908" spans="1:5" x14ac:dyDescent="0.25">
      <c r="A3908" s="119" t="s">
        <v>4439</v>
      </c>
      <c r="B3908" s="119" t="s">
        <v>10508</v>
      </c>
      <c r="C3908" s="119" t="s">
        <v>301</v>
      </c>
      <c r="D3908" t="s">
        <v>45</v>
      </c>
      <c r="E3908" s="117">
        <v>0</v>
      </c>
    </row>
    <row r="3909" spans="1:5" x14ac:dyDescent="0.25">
      <c r="A3909" s="119" t="s">
        <v>4440</v>
      </c>
      <c r="B3909" s="119" t="s">
        <v>10509</v>
      </c>
      <c r="C3909" s="119" t="s">
        <v>301</v>
      </c>
      <c r="D3909" t="s">
        <v>45</v>
      </c>
      <c r="E3909" s="117">
        <v>1902.32</v>
      </c>
    </row>
    <row r="3910" spans="1:5" x14ac:dyDescent="0.25">
      <c r="A3910" s="119" t="s">
        <v>4441</v>
      </c>
      <c r="B3910" s="119" t="s">
        <v>10510</v>
      </c>
      <c r="C3910" s="119" t="s">
        <v>301</v>
      </c>
      <c r="D3910" t="s">
        <v>49</v>
      </c>
      <c r="E3910" s="117">
        <v>1005.38</v>
      </c>
    </row>
    <row r="3911" spans="1:5" x14ac:dyDescent="0.25">
      <c r="A3911" s="119" t="s">
        <v>4442</v>
      </c>
      <c r="B3911" s="119" t="s">
        <v>10511</v>
      </c>
      <c r="C3911" s="119" t="s">
        <v>301</v>
      </c>
      <c r="D3911" t="s">
        <v>45</v>
      </c>
      <c r="E3911" s="117">
        <v>1118.72</v>
      </c>
    </row>
    <row r="3912" spans="1:5" x14ac:dyDescent="0.25">
      <c r="A3912" s="119" t="s">
        <v>4443</v>
      </c>
      <c r="B3912" s="119" t="s">
        <v>10512</v>
      </c>
      <c r="C3912" s="119" t="s">
        <v>301</v>
      </c>
      <c r="D3912" t="s">
        <v>45</v>
      </c>
      <c r="E3912" s="117">
        <v>2799.27</v>
      </c>
    </row>
    <row r="3913" spans="1:5" x14ac:dyDescent="0.25">
      <c r="A3913" s="119" t="s">
        <v>4444</v>
      </c>
      <c r="B3913" s="119" t="s">
        <v>10513</v>
      </c>
      <c r="C3913" s="119" t="s">
        <v>301</v>
      </c>
      <c r="D3913" t="s">
        <v>45</v>
      </c>
      <c r="E3913" s="117">
        <v>1340.49</v>
      </c>
    </row>
    <row r="3914" spans="1:5" x14ac:dyDescent="0.25">
      <c r="A3914" s="119" t="s">
        <v>4445</v>
      </c>
      <c r="B3914" s="119" t="s">
        <v>4446</v>
      </c>
      <c r="C3914" s="119" t="s">
        <v>301</v>
      </c>
      <c r="D3914" t="s">
        <v>45</v>
      </c>
      <c r="E3914" s="117">
        <v>0</v>
      </c>
    </row>
    <row r="3915" spans="1:5" x14ac:dyDescent="0.25">
      <c r="A3915" s="119" t="s">
        <v>4447</v>
      </c>
      <c r="B3915" s="119" t="s">
        <v>4448</v>
      </c>
      <c r="C3915" s="119" t="s">
        <v>301</v>
      </c>
      <c r="D3915" t="s">
        <v>45</v>
      </c>
      <c r="E3915" s="117">
        <v>0</v>
      </c>
    </row>
    <row r="3916" spans="1:5" x14ac:dyDescent="0.25">
      <c r="A3916" s="119" t="s">
        <v>4449</v>
      </c>
      <c r="B3916" s="119" t="s">
        <v>10514</v>
      </c>
      <c r="C3916" s="119" t="s">
        <v>301</v>
      </c>
      <c r="D3916" t="s">
        <v>45</v>
      </c>
      <c r="E3916" s="117">
        <v>3686.36</v>
      </c>
    </row>
    <row r="3917" spans="1:5" x14ac:dyDescent="0.25">
      <c r="A3917" s="119" t="s">
        <v>4450</v>
      </c>
      <c r="B3917" s="119" t="s">
        <v>10515</v>
      </c>
      <c r="C3917" s="119" t="s">
        <v>301</v>
      </c>
      <c r="D3917" t="s">
        <v>49</v>
      </c>
      <c r="E3917" s="117">
        <v>1009.31</v>
      </c>
    </row>
    <row r="3918" spans="1:5" x14ac:dyDescent="0.25">
      <c r="A3918" s="119" t="s">
        <v>4451</v>
      </c>
      <c r="B3918" s="119" t="s">
        <v>10516</v>
      </c>
      <c r="C3918" s="119" t="s">
        <v>301</v>
      </c>
      <c r="D3918" t="s">
        <v>45</v>
      </c>
      <c r="E3918" s="117">
        <v>1171.95</v>
      </c>
    </row>
    <row r="3919" spans="1:5" x14ac:dyDescent="0.25">
      <c r="A3919" s="119" t="s">
        <v>4452</v>
      </c>
      <c r="B3919" s="119" t="s">
        <v>10516</v>
      </c>
      <c r="C3919" s="119" t="s">
        <v>301</v>
      </c>
      <c r="D3919" t="s">
        <v>45</v>
      </c>
      <c r="E3919" s="117">
        <v>1171.95</v>
      </c>
    </row>
    <row r="3920" spans="1:5" x14ac:dyDescent="0.25">
      <c r="A3920" s="119" t="s">
        <v>4453</v>
      </c>
      <c r="B3920" s="119" t="s">
        <v>10517</v>
      </c>
      <c r="C3920" s="119" t="s">
        <v>301</v>
      </c>
      <c r="D3920" t="s">
        <v>45</v>
      </c>
      <c r="E3920" s="117">
        <v>0</v>
      </c>
    </row>
    <row r="3921" spans="1:5" x14ac:dyDescent="0.25">
      <c r="A3921" s="119" t="s">
        <v>4454</v>
      </c>
      <c r="B3921" s="119" t="s">
        <v>10518</v>
      </c>
      <c r="C3921" s="119" t="s">
        <v>301</v>
      </c>
      <c r="D3921" t="s">
        <v>49</v>
      </c>
      <c r="E3921" s="117">
        <v>1004.39</v>
      </c>
    </row>
    <row r="3922" spans="1:5" x14ac:dyDescent="0.25">
      <c r="A3922" s="119" t="s">
        <v>4455</v>
      </c>
      <c r="B3922" s="119" t="s">
        <v>10519</v>
      </c>
      <c r="C3922" s="119" t="s">
        <v>301</v>
      </c>
      <c r="D3922" t="s">
        <v>45</v>
      </c>
      <c r="E3922" s="117">
        <v>2824.62</v>
      </c>
    </row>
    <row r="3923" spans="1:5" x14ac:dyDescent="0.25">
      <c r="A3923" s="119" t="s">
        <v>4456</v>
      </c>
      <c r="B3923" s="119" t="s">
        <v>10520</v>
      </c>
      <c r="C3923" s="119" t="s">
        <v>301</v>
      </c>
      <c r="D3923" t="s">
        <v>49</v>
      </c>
      <c r="E3923" s="117">
        <v>1477.5</v>
      </c>
    </row>
    <row r="3924" spans="1:5" x14ac:dyDescent="0.25">
      <c r="A3924" s="119" t="s">
        <v>4457</v>
      </c>
      <c r="B3924" s="119" t="s">
        <v>10521</v>
      </c>
      <c r="C3924" s="119" t="s">
        <v>301</v>
      </c>
      <c r="D3924" t="s">
        <v>45</v>
      </c>
      <c r="E3924" s="117">
        <v>0</v>
      </c>
    </row>
    <row r="3925" spans="1:5" x14ac:dyDescent="0.25">
      <c r="A3925" s="119" t="s">
        <v>4458</v>
      </c>
      <c r="B3925" s="119" t="s">
        <v>10522</v>
      </c>
      <c r="C3925" s="119" t="s">
        <v>301</v>
      </c>
      <c r="D3925" t="s">
        <v>45</v>
      </c>
      <c r="E3925" s="117">
        <v>2984.2</v>
      </c>
    </row>
    <row r="3926" spans="1:5" x14ac:dyDescent="0.25">
      <c r="A3926" s="119" t="s">
        <v>4459</v>
      </c>
      <c r="B3926" s="119" t="s">
        <v>10523</v>
      </c>
      <c r="C3926" s="119" t="s">
        <v>301</v>
      </c>
      <c r="D3926" t="s">
        <v>45</v>
      </c>
      <c r="E3926" s="117">
        <v>1674.63</v>
      </c>
    </row>
    <row r="3927" spans="1:5" x14ac:dyDescent="0.25">
      <c r="A3927" s="119" t="s">
        <v>4460</v>
      </c>
      <c r="B3927" s="119" t="s">
        <v>10521</v>
      </c>
      <c r="C3927" s="119" t="s">
        <v>301</v>
      </c>
      <c r="D3927" t="s">
        <v>45</v>
      </c>
      <c r="E3927" s="117">
        <v>0</v>
      </c>
    </row>
    <row r="3928" spans="1:5" x14ac:dyDescent="0.25">
      <c r="A3928" s="119" t="s">
        <v>4461</v>
      </c>
      <c r="B3928" s="119" t="s">
        <v>10524</v>
      </c>
      <c r="C3928" s="119" t="s">
        <v>301</v>
      </c>
      <c r="D3928" t="s">
        <v>6759</v>
      </c>
      <c r="E3928" s="117">
        <v>2128.04</v>
      </c>
    </row>
    <row r="3929" spans="1:5" x14ac:dyDescent="0.25">
      <c r="A3929" s="119" t="s">
        <v>4462</v>
      </c>
      <c r="B3929" s="119" t="s">
        <v>4463</v>
      </c>
      <c r="C3929" s="119" t="s">
        <v>301</v>
      </c>
      <c r="D3929" t="s">
        <v>45</v>
      </c>
      <c r="E3929" s="117">
        <v>0</v>
      </c>
    </row>
    <row r="3930" spans="1:5" x14ac:dyDescent="0.25">
      <c r="A3930" s="119" t="s">
        <v>4464</v>
      </c>
      <c r="B3930" s="119" t="s">
        <v>10525</v>
      </c>
      <c r="C3930" s="119" t="s">
        <v>301</v>
      </c>
      <c r="D3930" t="s">
        <v>6759</v>
      </c>
      <c r="E3930" s="117">
        <v>1999.9</v>
      </c>
    </row>
    <row r="3931" spans="1:5" x14ac:dyDescent="0.25">
      <c r="A3931" s="119" t="s">
        <v>4465</v>
      </c>
      <c r="B3931" s="119" t="s">
        <v>4463</v>
      </c>
      <c r="C3931" s="119" t="s">
        <v>301</v>
      </c>
      <c r="D3931" t="s">
        <v>45</v>
      </c>
      <c r="E3931" s="117">
        <v>0</v>
      </c>
    </row>
    <row r="3932" spans="1:5" x14ac:dyDescent="0.25">
      <c r="A3932" s="119" t="s">
        <v>4466</v>
      </c>
      <c r="B3932" s="119" t="s">
        <v>10526</v>
      </c>
      <c r="C3932" s="119" t="s">
        <v>301</v>
      </c>
      <c r="D3932" t="s">
        <v>45</v>
      </c>
      <c r="E3932" s="117">
        <v>3613.2</v>
      </c>
    </row>
    <row r="3933" spans="1:5" x14ac:dyDescent="0.25">
      <c r="A3933" s="119" t="s">
        <v>4467</v>
      </c>
      <c r="B3933" s="119" t="s">
        <v>10527</v>
      </c>
      <c r="C3933" s="119" t="s">
        <v>301</v>
      </c>
      <c r="D3933" t="s">
        <v>49</v>
      </c>
      <c r="E3933" s="117">
        <v>2813.06</v>
      </c>
    </row>
    <row r="3934" spans="1:5" x14ac:dyDescent="0.25">
      <c r="A3934" s="119" t="s">
        <v>4468</v>
      </c>
      <c r="B3934" s="119" t="s">
        <v>4469</v>
      </c>
      <c r="C3934" s="119" t="s">
        <v>301</v>
      </c>
      <c r="D3934" t="s">
        <v>45</v>
      </c>
      <c r="E3934" s="117">
        <v>0</v>
      </c>
    </row>
    <row r="3935" spans="1:5" x14ac:dyDescent="0.25">
      <c r="A3935" s="119" t="s">
        <v>4470</v>
      </c>
      <c r="B3935" s="119" t="s">
        <v>10528</v>
      </c>
      <c r="C3935" s="119" t="s">
        <v>301</v>
      </c>
      <c r="D3935" t="s">
        <v>51</v>
      </c>
      <c r="E3935" s="117">
        <v>1200</v>
      </c>
    </row>
    <row r="3936" spans="1:5" x14ac:dyDescent="0.25">
      <c r="A3936" s="119" t="s">
        <v>6300</v>
      </c>
      <c r="B3936" s="119" t="s">
        <v>10529</v>
      </c>
      <c r="C3936" s="119" t="s">
        <v>301</v>
      </c>
      <c r="D3936" t="s">
        <v>45</v>
      </c>
      <c r="E3936" s="117">
        <v>1</v>
      </c>
    </row>
    <row r="3937" spans="1:5" x14ac:dyDescent="0.25">
      <c r="A3937" s="119" t="s">
        <v>4471</v>
      </c>
      <c r="B3937" s="119" t="s">
        <v>10530</v>
      </c>
      <c r="C3937" s="119" t="s">
        <v>301</v>
      </c>
      <c r="D3937" t="s">
        <v>6759</v>
      </c>
      <c r="E3937" s="117">
        <v>1452.86</v>
      </c>
    </row>
    <row r="3938" spans="1:5" x14ac:dyDescent="0.25">
      <c r="A3938" s="119" t="s">
        <v>4472</v>
      </c>
      <c r="B3938" s="119" t="s">
        <v>10531</v>
      </c>
      <c r="C3938" s="119" t="s">
        <v>301</v>
      </c>
      <c r="D3938" t="s">
        <v>45</v>
      </c>
      <c r="E3938" s="117">
        <v>0</v>
      </c>
    </row>
    <row r="3939" spans="1:5" x14ac:dyDescent="0.25">
      <c r="A3939" s="119" t="s">
        <v>4473</v>
      </c>
      <c r="B3939" s="119" t="s">
        <v>10532</v>
      </c>
      <c r="C3939" s="119" t="s">
        <v>301</v>
      </c>
      <c r="D3939" t="s">
        <v>49</v>
      </c>
      <c r="E3939" s="117">
        <v>393.28</v>
      </c>
    </row>
    <row r="3940" spans="1:5" x14ac:dyDescent="0.25">
      <c r="A3940" s="119" t="s">
        <v>4474</v>
      </c>
      <c r="B3940" s="119" t="s">
        <v>10533</v>
      </c>
      <c r="C3940" s="119" t="s">
        <v>301</v>
      </c>
      <c r="D3940" t="s">
        <v>45</v>
      </c>
      <c r="E3940" s="117">
        <v>1733.77</v>
      </c>
    </row>
    <row r="3941" spans="1:5" x14ac:dyDescent="0.25">
      <c r="A3941" s="119" t="s">
        <v>4475</v>
      </c>
      <c r="B3941" s="119" t="s">
        <v>10534</v>
      </c>
      <c r="C3941" s="119" t="s">
        <v>301</v>
      </c>
      <c r="D3941" t="s">
        <v>49</v>
      </c>
      <c r="E3941" s="117">
        <v>560.84</v>
      </c>
    </row>
    <row r="3942" spans="1:5" x14ac:dyDescent="0.25">
      <c r="A3942" s="119" t="s">
        <v>4476</v>
      </c>
      <c r="B3942" s="119" t="s">
        <v>10535</v>
      </c>
      <c r="C3942" s="119" t="s">
        <v>301</v>
      </c>
      <c r="D3942" t="s">
        <v>45</v>
      </c>
      <c r="E3942" s="117">
        <v>895.97</v>
      </c>
    </row>
    <row r="3943" spans="1:5" x14ac:dyDescent="0.25">
      <c r="A3943" s="119" t="s">
        <v>4477</v>
      </c>
      <c r="B3943" s="119" t="s">
        <v>4478</v>
      </c>
      <c r="C3943" s="119" t="s">
        <v>301</v>
      </c>
      <c r="D3943" t="s">
        <v>45</v>
      </c>
      <c r="E3943" s="117">
        <v>0</v>
      </c>
    </row>
    <row r="3944" spans="1:5" x14ac:dyDescent="0.25">
      <c r="A3944" s="119" t="s">
        <v>4479</v>
      </c>
      <c r="B3944" s="119" t="s">
        <v>10536</v>
      </c>
      <c r="C3944" s="119" t="s">
        <v>301</v>
      </c>
      <c r="D3944" t="s">
        <v>49</v>
      </c>
      <c r="E3944" s="117">
        <v>807.25</v>
      </c>
    </row>
    <row r="3945" spans="1:5" x14ac:dyDescent="0.25">
      <c r="A3945" s="119" t="s">
        <v>4480</v>
      </c>
      <c r="B3945" s="119" t="s">
        <v>10537</v>
      </c>
      <c r="C3945" s="119" t="s">
        <v>301</v>
      </c>
      <c r="D3945" t="s">
        <v>45</v>
      </c>
      <c r="E3945" s="117">
        <v>0</v>
      </c>
    </row>
    <row r="3946" spans="1:5" x14ac:dyDescent="0.25">
      <c r="A3946" s="119" t="s">
        <v>4481</v>
      </c>
      <c r="B3946" s="119" t="s">
        <v>10538</v>
      </c>
      <c r="C3946" s="119" t="s">
        <v>301</v>
      </c>
      <c r="D3946" t="s">
        <v>6759</v>
      </c>
      <c r="E3946" s="117">
        <v>920</v>
      </c>
    </row>
    <row r="3947" spans="1:5" x14ac:dyDescent="0.25">
      <c r="A3947" s="119" t="s">
        <v>4482</v>
      </c>
      <c r="B3947" s="119" t="s">
        <v>4478</v>
      </c>
      <c r="C3947" s="119" t="s">
        <v>301</v>
      </c>
      <c r="D3947" t="s">
        <v>45</v>
      </c>
      <c r="E3947" s="117">
        <v>999999</v>
      </c>
    </row>
    <row r="3948" spans="1:5" x14ac:dyDescent="0.25">
      <c r="A3948" s="119" t="s">
        <v>4483</v>
      </c>
      <c r="B3948" s="119" t="s">
        <v>10539</v>
      </c>
      <c r="C3948" s="119" t="s">
        <v>301</v>
      </c>
      <c r="D3948" t="s">
        <v>45</v>
      </c>
      <c r="E3948" s="117">
        <v>1064.51</v>
      </c>
    </row>
    <row r="3949" spans="1:5" x14ac:dyDescent="0.25">
      <c r="A3949" s="119" t="s">
        <v>4484</v>
      </c>
      <c r="B3949" s="119" t="s">
        <v>10540</v>
      </c>
      <c r="C3949" s="119" t="s">
        <v>301</v>
      </c>
      <c r="D3949" t="s">
        <v>49</v>
      </c>
      <c r="E3949" s="117">
        <v>1231.08</v>
      </c>
    </row>
    <row r="3950" spans="1:5" x14ac:dyDescent="0.25">
      <c r="A3950" s="119" t="s">
        <v>4485</v>
      </c>
      <c r="B3950" s="119" t="s">
        <v>10541</v>
      </c>
      <c r="C3950" s="119" t="s">
        <v>301</v>
      </c>
      <c r="D3950" t="s">
        <v>45</v>
      </c>
      <c r="E3950" s="117">
        <v>994.53</v>
      </c>
    </row>
    <row r="3951" spans="1:5" x14ac:dyDescent="0.25">
      <c r="A3951" s="119" t="s">
        <v>4486</v>
      </c>
      <c r="B3951" s="119" t="s">
        <v>10542</v>
      </c>
      <c r="C3951" s="119" t="s">
        <v>301</v>
      </c>
      <c r="D3951" t="s">
        <v>45</v>
      </c>
      <c r="E3951" s="117">
        <v>2068.9</v>
      </c>
    </row>
    <row r="3952" spans="1:5" x14ac:dyDescent="0.25">
      <c r="A3952" s="119" t="s">
        <v>4487</v>
      </c>
      <c r="B3952" s="119" t="s">
        <v>10543</v>
      </c>
      <c r="C3952" s="119" t="s">
        <v>301</v>
      </c>
      <c r="D3952" t="s">
        <v>51</v>
      </c>
      <c r="E3952" s="117">
        <v>906.56</v>
      </c>
    </row>
    <row r="3953" spans="1:5" x14ac:dyDescent="0.25">
      <c r="A3953" s="119" t="s">
        <v>4488</v>
      </c>
      <c r="B3953" s="119" t="s">
        <v>4489</v>
      </c>
      <c r="C3953" s="119" t="s">
        <v>301</v>
      </c>
      <c r="D3953" t="s">
        <v>45</v>
      </c>
      <c r="E3953" s="117">
        <v>0</v>
      </c>
    </row>
    <row r="3954" spans="1:5" x14ac:dyDescent="0.25">
      <c r="A3954" s="119" t="s">
        <v>4490</v>
      </c>
      <c r="B3954" s="119" t="s">
        <v>11924</v>
      </c>
      <c r="C3954" s="119" t="s">
        <v>301</v>
      </c>
      <c r="D3954" t="s">
        <v>49</v>
      </c>
      <c r="E3954" s="117">
        <v>920</v>
      </c>
    </row>
    <row r="3955" spans="1:5" x14ac:dyDescent="0.25">
      <c r="A3955" s="119" t="s">
        <v>4491</v>
      </c>
      <c r="B3955" s="119" t="s">
        <v>4492</v>
      </c>
      <c r="C3955" s="119" t="s">
        <v>301</v>
      </c>
      <c r="D3955" t="s">
        <v>45</v>
      </c>
      <c r="E3955" s="117">
        <v>999999</v>
      </c>
    </row>
    <row r="3956" spans="1:5" x14ac:dyDescent="0.25">
      <c r="A3956" s="119" t="s">
        <v>6869</v>
      </c>
      <c r="B3956" s="119" t="s">
        <v>11925</v>
      </c>
      <c r="C3956" s="119" t="s">
        <v>301</v>
      </c>
      <c r="D3956" t="s">
        <v>45</v>
      </c>
      <c r="E3956" s="117">
        <v>271.29000000000002</v>
      </c>
    </row>
    <row r="3957" spans="1:5" x14ac:dyDescent="0.25">
      <c r="A3957" s="119" t="s">
        <v>6833</v>
      </c>
      <c r="B3957" s="119" t="s">
        <v>4489</v>
      </c>
      <c r="C3957" s="119" t="s">
        <v>301</v>
      </c>
      <c r="D3957" t="s">
        <v>45</v>
      </c>
      <c r="E3957" s="117">
        <v>999999</v>
      </c>
    </row>
    <row r="3958" spans="1:5" x14ac:dyDescent="0.25">
      <c r="A3958" s="119" t="s">
        <v>6574</v>
      </c>
      <c r="B3958" s="119" t="s">
        <v>10544</v>
      </c>
      <c r="C3958" s="119" t="s">
        <v>301</v>
      </c>
      <c r="D3958" t="s">
        <v>49</v>
      </c>
      <c r="E3958" s="117">
        <v>3199</v>
      </c>
    </row>
    <row r="3959" spans="1:5" x14ac:dyDescent="0.25">
      <c r="A3959" s="119" t="s">
        <v>6316</v>
      </c>
      <c r="B3959" s="119" t="s">
        <v>7679</v>
      </c>
      <c r="C3959" s="119" t="s">
        <v>301</v>
      </c>
      <c r="D3959" t="s">
        <v>49</v>
      </c>
      <c r="E3959" s="117">
        <v>2799</v>
      </c>
    </row>
    <row r="3960" spans="1:5" x14ac:dyDescent="0.25">
      <c r="A3960" s="119" t="s">
        <v>4493</v>
      </c>
      <c r="B3960" s="119" t="s">
        <v>10545</v>
      </c>
      <c r="C3960" s="119" t="s">
        <v>301</v>
      </c>
      <c r="D3960" t="s">
        <v>45</v>
      </c>
      <c r="E3960" s="117">
        <v>0</v>
      </c>
    </row>
    <row r="3961" spans="1:5" x14ac:dyDescent="0.25">
      <c r="A3961" s="119" t="s">
        <v>4494</v>
      </c>
      <c r="B3961" s="119" t="s">
        <v>10546</v>
      </c>
      <c r="C3961" s="119" t="s">
        <v>301</v>
      </c>
      <c r="D3961" t="s">
        <v>45</v>
      </c>
      <c r="E3961" s="117">
        <v>0</v>
      </c>
    </row>
    <row r="3962" spans="1:5" x14ac:dyDescent="0.25">
      <c r="A3962" s="119" t="s">
        <v>4495</v>
      </c>
      <c r="B3962" s="119" t="s">
        <v>10547</v>
      </c>
      <c r="C3962" s="119" t="s">
        <v>301</v>
      </c>
      <c r="D3962" t="s">
        <v>45</v>
      </c>
      <c r="E3962" s="117">
        <v>1014.25</v>
      </c>
    </row>
    <row r="3963" spans="1:5" x14ac:dyDescent="0.25">
      <c r="A3963" s="119" t="s">
        <v>4496</v>
      </c>
      <c r="B3963" s="119" t="s">
        <v>10548</v>
      </c>
      <c r="C3963" s="119" t="s">
        <v>301</v>
      </c>
      <c r="D3963" t="s">
        <v>49</v>
      </c>
      <c r="E3963" s="117">
        <v>693.9</v>
      </c>
    </row>
    <row r="3964" spans="1:5" x14ac:dyDescent="0.25">
      <c r="A3964" s="119" t="s">
        <v>4497</v>
      </c>
      <c r="B3964" s="119" t="s">
        <v>10549</v>
      </c>
      <c r="C3964" s="119" t="s">
        <v>301</v>
      </c>
      <c r="D3964" t="s">
        <v>6759</v>
      </c>
      <c r="E3964" s="117">
        <v>1117.74</v>
      </c>
    </row>
    <row r="3965" spans="1:5" x14ac:dyDescent="0.25">
      <c r="A3965" s="119" t="s">
        <v>4498</v>
      </c>
      <c r="B3965" s="119" t="s">
        <v>10550</v>
      </c>
      <c r="C3965" s="119" t="s">
        <v>301</v>
      </c>
      <c r="D3965" t="s">
        <v>45</v>
      </c>
      <c r="E3965" s="117">
        <v>0</v>
      </c>
    </row>
    <row r="3966" spans="1:5" x14ac:dyDescent="0.25">
      <c r="A3966" s="119" t="s">
        <v>4499</v>
      </c>
      <c r="B3966" s="119" t="s">
        <v>10551</v>
      </c>
      <c r="C3966" s="119" t="s">
        <v>301</v>
      </c>
      <c r="D3966" t="s">
        <v>45</v>
      </c>
      <c r="E3966" s="117">
        <v>1339.51</v>
      </c>
    </row>
    <row r="3967" spans="1:5" x14ac:dyDescent="0.25">
      <c r="A3967" s="119" t="s">
        <v>4500</v>
      </c>
      <c r="B3967" s="119" t="s">
        <v>4501</v>
      </c>
      <c r="C3967" s="119" t="s">
        <v>301</v>
      </c>
      <c r="D3967" t="s">
        <v>45</v>
      </c>
      <c r="E3967" s="117">
        <v>984.67</v>
      </c>
    </row>
    <row r="3968" spans="1:5" x14ac:dyDescent="0.25">
      <c r="A3968" s="119" t="s">
        <v>4502</v>
      </c>
      <c r="B3968" s="119" t="s">
        <v>4503</v>
      </c>
      <c r="C3968" s="119" t="s">
        <v>301</v>
      </c>
      <c r="D3968" t="s">
        <v>45</v>
      </c>
      <c r="E3968" s="117">
        <v>0</v>
      </c>
    </row>
    <row r="3969" spans="1:5" x14ac:dyDescent="0.25">
      <c r="A3969" s="119" t="s">
        <v>4504</v>
      </c>
      <c r="B3969" s="119" t="s">
        <v>10552</v>
      </c>
      <c r="C3969" s="119" t="s">
        <v>301</v>
      </c>
      <c r="D3969" t="s">
        <v>49</v>
      </c>
      <c r="E3969" s="117">
        <v>1399</v>
      </c>
    </row>
    <row r="3970" spans="1:5" x14ac:dyDescent="0.25">
      <c r="A3970" s="119" t="s">
        <v>4505</v>
      </c>
      <c r="B3970" s="119" t="s">
        <v>10553</v>
      </c>
      <c r="C3970" s="119" t="s">
        <v>301</v>
      </c>
      <c r="D3970" t="s">
        <v>45</v>
      </c>
      <c r="E3970" s="117">
        <v>0</v>
      </c>
    </row>
    <row r="3971" spans="1:5" x14ac:dyDescent="0.25">
      <c r="A3971" s="119" t="s">
        <v>4506</v>
      </c>
      <c r="B3971" s="119" t="s">
        <v>10554</v>
      </c>
      <c r="C3971" s="119" t="s">
        <v>301</v>
      </c>
      <c r="D3971" t="s">
        <v>45</v>
      </c>
      <c r="E3971" s="117">
        <v>0</v>
      </c>
    </row>
    <row r="3972" spans="1:5" x14ac:dyDescent="0.25">
      <c r="A3972" s="119" t="s">
        <v>4507</v>
      </c>
      <c r="B3972" s="119" t="s">
        <v>10555</v>
      </c>
      <c r="C3972" s="119" t="s">
        <v>301</v>
      </c>
      <c r="D3972" t="s">
        <v>45</v>
      </c>
      <c r="E3972" s="117">
        <v>0</v>
      </c>
    </row>
    <row r="3973" spans="1:5" x14ac:dyDescent="0.25">
      <c r="A3973" s="119" t="s">
        <v>4508</v>
      </c>
      <c r="B3973" s="119" t="s">
        <v>10556</v>
      </c>
      <c r="C3973" s="119" t="s">
        <v>301</v>
      </c>
      <c r="D3973" t="s">
        <v>45</v>
      </c>
      <c r="E3973" s="117">
        <v>1920.45</v>
      </c>
    </row>
    <row r="3974" spans="1:5" x14ac:dyDescent="0.25">
      <c r="A3974" s="119" t="s">
        <v>4509</v>
      </c>
      <c r="B3974" s="119" t="s">
        <v>4510</v>
      </c>
      <c r="C3974" s="119" t="s">
        <v>301</v>
      </c>
      <c r="D3974" t="s">
        <v>45</v>
      </c>
      <c r="E3974" s="117">
        <v>0</v>
      </c>
    </row>
    <row r="3975" spans="1:5" x14ac:dyDescent="0.25">
      <c r="A3975" s="119" t="s">
        <v>4511</v>
      </c>
      <c r="B3975" s="119" t="s">
        <v>10557</v>
      </c>
      <c r="C3975" s="119" t="s">
        <v>301</v>
      </c>
      <c r="D3975" t="s">
        <v>45</v>
      </c>
      <c r="E3975" s="117">
        <v>2921.27</v>
      </c>
    </row>
    <row r="3976" spans="1:5" x14ac:dyDescent="0.25">
      <c r="A3976" s="119" t="s">
        <v>4512</v>
      </c>
      <c r="B3976" s="119" t="s">
        <v>10558</v>
      </c>
      <c r="C3976" s="119" t="s">
        <v>301</v>
      </c>
      <c r="D3976" t="s">
        <v>45</v>
      </c>
      <c r="E3976" s="117">
        <v>3026.27</v>
      </c>
    </row>
    <row r="3977" spans="1:5" x14ac:dyDescent="0.25">
      <c r="A3977" s="119" t="s">
        <v>4513</v>
      </c>
      <c r="B3977" s="119" t="s">
        <v>10559</v>
      </c>
      <c r="C3977" s="119" t="s">
        <v>301</v>
      </c>
      <c r="D3977" t="s">
        <v>45</v>
      </c>
      <c r="E3977" s="117">
        <v>2287.36</v>
      </c>
    </row>
    <row r="3978" spans="1:5" x14ac:dyDescent="0.25">
      <c r="A3978" s="119" t="s">
        <v>4514</v>
      </c>
      <c r="B3978" s="119" t="s">
        <v>10560</v>
      </c>
      <c r="C3978" s="119" t="s">
        <v>301</v>
      </c>
      <c r="D3978" t="s">
        <v>45</v>
      </c>
      <c r="E3978" s="117">
        <v>2401.73</v>
      </c>
    </row>
    <row r="3979" spans="1:5" x14ac:dyDescent="0.25">
      <c r="A3979" s="119" t="s">
        <v>4515</v>
      </c>
      <c r="B3979" s="119" t="s">
        <v>4510</v>
      </c>
      <c r="C3979" s="119" t="s">
        <v>301</v>
      </c>
      <c r="D3979" t="s">
        <v>45</v>
      </c>
      <c r="E3979" s="117">
        <v>0</v>
      </c>
    </row>
    <row r="3980" spans="1:5" x14ac:dyDescent="0.25">
      <c r="A3980" s="119" t="s">
        <v>4516</v>
      </c>
      <c r="B3980" s="119" t="s">
        <v>10561</v>
      </c>
      <c r="C3980" s="119" t="s">
        <v>301</v>
      </c>
      <c r="D3980" t="s">
        <v>45</v>
      </c>
      <c r="E3980" s="117">
        <v>2629.15</v>
      </c>
    </row>
    <row r="3981" spans="1:5" x14ac:dyDescent="0.25">
      <c r="A3981" s="119" t="s">
        <v>4517</v>
      </c>
      <c r="B3981" s="119" t="s">
        <v>10562</v>
      </c>
      <c r="C3981" s="119" t="s">
        <v>301</v>
      </c>
      <c r="D3981" t="s">
        <v>45</v>
      </c>
      <c r="E3981" s="117">
        <v>5773.95</v>
      </c>
    </row>
    <row r="3982" spans="1:5" x14ac:dyDescent="0.25">
      <c r="A3982" s="119" t="s">
        <v>4518</v>
      </c>
      <c r="B3982" s="119" t="s">
        <v>4519</v>
      </c>
      <c r="C3982" s="119" t="s">
        <v>301</v>
      </c>
      <c r="D3982" t="s">
        <v>45</v>
      </c>
      <c r="E3982" s="117">
        <v>0</v>
      </c>
    </row>
    <row r="3983" spans="1:5" x14ac:dyDescent="0.25">
      <c r="A3983" s="119" t="s">
        <v>4520</v>
      </c>
      <c r="B3983" s="119" t="s">
        <v>10563</v>
      </c>
      <c r="C3983" s="119" t="s">
        <v>301</v>
      </c>
      <c r="D3983" t="s">
        <v>45</v>
      </c>
      <c r="E3983" s="117">
        <v>3306.45</v>
      </c>
    </row>
    <row r="3984" spans="1:5" x14ac:dyDescent="0.25">
      <c r="A3984" s="119" t="s">
        <v>4521</v>
      </c>
      <c r="B3984" s="119" t="s">
        <v>10564</v>
      </c>
      <c r="C3984" s="119" t="s">
        <v>301</v>
      </c>
      <c r="D3984" t="s">
        <v>6759</v>
      </c>
      <c r="E3984" s="117">
        <v>999999</v>
      </c>
    </row>
    <row r="3985" spans="1:5" x14ac:dyDescent="0.25">
      <c r="A3985" s="119" t="s">
        <v>4522</v>
      </c>
      <c r="B3985" s="119" t="s">
        <v>10565</v>
      </c>
      <c r="C3985" s="119" t="s">
        <v>301</v>
      </c>
      <c r="D3985" t="s">
        <v>45</v>
      </c>
      <c r="E3985" s="117">
        <v>3755.92</v>
      </c>
    </row>
    <row r="3986" spans="1:5" x14ac:dyDescent="0.25">
      <c r="A3986" s="119" t="s">
        <v>4523</v>
      </c>
      <c r="B3986" s="119" t="s">
        <v>4524</v>
      </c>
      <c r="C3986" s="119" t="s">
        <v>301</v>
      </c>
      <c r="D3986" t="s">
        <v>45</v>
      </c>
      <c r="E3986" s="117">
        <v>0</v>
      </c>
    </row>
    <row r="3987" spans="1:5" x14ac:dyDescent="0.25">
      <c r="A3987" s="119" t="s">
        <v>4525</v>
      </c>
      <c r="B3987" s="119" t="s">
        <v>10566</v>
      </c>
      <c r="C3987" s="119" t="s">
        <v>301</v>
      </c>
      <c r="D3987" t="s">
        <v>45</v>
      </c>
      <c r="E3987" s="117">
        <v>5983.95</v>
      </c>
    </row>
    <row r="3988" spans="1:5" x14ac:dyDescent="0.25">
      <c r="A3988" s="119" t="s">
        <v>4526</v>
      </c>
      <c r="B3988" s="119" t="s">
        <v>4524</v>
      </c>
      <c r="C3988" s="119" t="s">
        <v>301</v>
      </c>
      <c r="D3988" t="s">
        <v>45</v>
      </c>
      <c r="E3988" s="117">
        <v>0</v>
      </c>
    </row>
    <row r="3989" spans="1:5" x14ac:dyDescent="0.25">
      <c r="A3989" s="119" t="s">
        <v>4527</v>
      </c>
      <c r="B3989" s="119" t="s">
        <v>10567</v>
      </c>
      <c r="C3989" s="119" t="s">
        <v>301</v>
      </c>
      <c r="D3989" t="s">
        <v>45</v>
      </c>
      <c r="E3989" s="117">
        <v>5604.06</v>
      </c>
    </row>
    <row r="3990" spans="1:5" x14ac:dyDescent="0.25">
      <c r="A3990" s="119" t="s">
        <v>4528</v>
      </c>
      <c r="B3990" s="119" t="s">
        <v>10568</v>
      </c>
      <c r="C3990" s="119" t="s">
        <v>301</v>
      </c>
      <c r="D3990" t="s">
        <v>45</v>
      </c>
      <c r="E3990" s="117">
        <v>999999</v>
      </c>
    </row>
    <row r="3991" spans="1:5" x14ac:dyDescent="0.25">
      <c r="A3991" s="119" t="s">
        <v>4529</v>
      </c>
      <c r="B3991" s="119" t="s">
        <v>10569</v>
      </c>
      <c r="C3991" s="119" t="s">
        <v>301</v>
      </c>
      <c r="D3991" t="s">
        <v>45</v>
      </c>
      <c r="E3991" s="117">
        <v>4692.67</v>
      </c>
    </row>
    <row r="3992" spans="1:5" x14ac:dyDescent="0.25">
      <c r="A3992" s="119" t="s">
        <v>4530</v>
      </c>
      <c r="B3992" s="119" t="s">
        <v>10570</v>
      </c>
      <c r="C3992" s="119" t="s">
        <v>301</v>
      </c>
      <c r="D3992" t="s">
        <v>6759</v>
      </c>
      <c r="E3992" s="117">
        <v>3576.95</v>
      </c>
    </row>
    <row r="3993" spans="1:5" x14ac:dyDescent="0.25">
      <c r="A3993" s="119" t="s">
        <v>4531</v>
      </c>
      <c r="B3993" s="119" t="s">
        <v>10571</v>
      </c>
      <c r="C3993" s="119" t="s">
        <v>301</v>
      </c>
      <c r="D3993" t="s">
        <v>45</v>
      </c>
      <c r="E3993" s="117">
        <v>0</v>
      </c>
    </row>
    <row r="3994" spans="1:5" x14ac:dyDescent="0.25">
      <c r="A3994" s="119" t="s">
        <v>4532</v>
      </c>
      <c r="B3994" s="119" t="s">
        <v>10572</v>
      </c>
      <c r="C3994" s="119" t="s">
        <v>301</v>
      </c>
      <c r="D3994" t="s">
        <v>6759</v>
      </c>
      <c r="E3994" s="117">
        <v>4138.7700000000004</v>
      </c>
    </row>
    <row r="3995" spans="1:5" x14ac:dyDescent="0.25">
      <c r="A3995" s="119" t="s">
        <v>4533</v>
      </c>
      <c r="B3995" s="119" t="s">
        <v>10573</v>
      </c>
      <c r="C3995" s="119" t="s">
        <v>301</v>
      </c>
      <c r="D3995" t="s">
        <v>45</v>
      </c>
      <c r="E3995" s="117">
        <v>5149.08</v>
      </c>
    </row>
    <row r="3996" spans="1:5" x14ac:dyDescent="0.25">
      <c r="A3996" s="119" t="s">
        <v>4534</v>
      </c>
      <c r="B3996" s="119" t="s">
        <v>10574</v>
      </c>
      <c r="C3996" s="119" t="s">
        <v>301</v>
      </c>
      <c r="D3996" t="s">
        <v>6759</v>
      </c>
      <c r="E3996" s="117">
        <v>4059.93</v>
      </c>
    </row>
    <row r="3997" spans="1:5" x14ac:dyDescent="0.25">
      <c r="A3997" s="119" t="s">
        <v>4535</v>
      </c>
      <c r="B3997" s="119" t="s">
        <v>10571</v>
      </c>
      <c r="C3997" s="119" t="s">
        <v>301</v>
      </c>
      <c r="D3997" t="s">
        <v>45</v>
      </c>
      <c r="E3997" s="117">
        <v>0</v>
      </c>
    </row>
    <row r="3998" spans="1:5" x14ac:dyDescent="0.25">
      <c r="A3998" s="119" t="s">
        <v>4536</v>
      </c>
      <c r="B3998" s="119" t="s">
        <v>7680</v>
      </c>
      <c r="C3998" s="119" t="s">
        <v>301</v>
      </c>
      <c r="D3998" t="s">
        <v>6759</v>
      </c>
      <c r="E3998" s="117">
        <v>2798.28</v>
      </c>
    </row>
    <row r="3999" spans="1:5" x14ac:dyDescent="0.25">
      <c r="A3999" s="119" t="s">
        <v>4537</v>
      </c>
      <c r="B3999" s="119" t="s">
        <v>7681</v>
      </c>
      <c r="C3999" s="119" t="s">
        <v>301</v>
      </c>
      <c r="D3999" t="s">
        <v>6759</v>
      </c>
      <c r="E3999" s="117">
        <v>4473.8999999999996</v>
      </c>
    </row>
    <row r="4000" spans="1:5" x14ac:dyDescent="0.25">
      <c r="A4000" s="119" t="s">
        <v>4538</v>
      </c>
      <c r="B4000" s="119" t="s">
        <v>7682</v>
      </c>
      <c r="C4000" s="119" t="s">
        <v>301</v>
      </c>
      <c r="D4000" t="s">
        <v>45</v>
      </c>
      <c r="E4000" s="117">
        <v>3350.26</v>
      </c>
    </row>
    <row r="4001" spans="1:5" x14ac:dyDescent="0.25">
      <c r="A4001" s="119" t="s">
        <v>4539</v>
      </c>
      <c r="B4001" s="119" t="s">
        <v>10575</v>
      </c>
      <c r="C4001" s="119" t="s">
        <v>301</v>
      </c>
      <c r="D4001" t="s">
        <v>45</v>
      </c>
      <c r="E4001" s="117">
        <v>0</v>
      </c>
    </row>
    <row r="4002" spans="1:5" x14ac:dyDescent="0.25">
      <c r="A4002" s="119" t="s">
        <v>4540</v>
      </c>
      <c r="B4002" s="119" t="s">
        <v>10576</v>
      </c>
      <c r="C4002" s="119" t="s">
        <v>301</v>
      </c>
      <c r="D4002" t="s">
        <v>6759</v>
      </c>
      <c r="E4002" s="117">
        <v>1674.63</v>
      </c>
    </row>
    <row r="4003" spans="1:5" x14ac:dyDescent="0.25">
      <c r="A4003" s="119" t="s">
        <v>4541</v>
      </c>
      <c r="B4003" s="119" t="s">
        <v>10577</v>
      </c>
      <c r="C4003" s="119" t="s">
        <v>301</v>
      </c>
      <c r="D4003" t="s">
        <v>45</v>
      </c>
      <c r="E4003" s="117">
        <v>0</v>
      </c>
    </row>
    <row r="4004" spans="1:5" x14ac:dyDescent="0.25">
      <c r="A4004" s="119" t="s">
        <v>4542</v>
      </c>
      <c r="B4004" s="119" t="s">
        <v>10578</v>
      </c>
      <c r="C4004" s="119" t="s">
        <v>301</v>
      </c>
      <c r="D4004" t="s">
        <v>45</v>
      </c>
      <c r="E4004" s="117">
        <v>0</v>
      </c>
    </row>
    <row r="4005" spans="1:5" x14ac:dyDescent="0.25">
      <c r="A4005" s="119" t="s">
        <v>4543</v>
      </c>
      <c r="B4005" s="119" t="s">
        <v>10579</v>
      </c>
      <c r="C4005" s="119" t="s">
        <v>301</v>
      </c>
      <c r="D4005" t="s">
        <v>45</v>
      </c>
      <c r="E4005" s="117">
        <v>0</v>
      </c>
    </row>
    <row r="4006" spans="1:5" x14ac:dyDescent="0.25">
      <c r="A4006" s="119" t="s">
        <v>4544</v>
      </c>
      <c r="B4006" s="119" t="s">
        <v>10580</v>
      </c>
      <c r="C4006" s="119" t="s">
        <v>301</v>
      </c>
      <c r="D4006" t="s">
        <v>51</v>
      </c>
      <c r="E4006" s="117">
        <v>1299</v>
      </c>
    </row>
    <row r="4007" spans="1:5" x14ac:dyDescent="0.25">
      <c r="A4007" s="119" t="s">
        <v>4545</v>
      </c>
      <c r="B4007" s="119" t="s">
        <v>10581</v>
      </c>
      <c r="C4007" s="119" t="s">
        <v>301</v>
      </c>
      <c r="D4007" t="s">
        <v>49</v>
      </c>
      <c r="E4007" s="117">
        <v>1066.73</v>
      </c>
    </row>
    <row r="4008" spans="1:5" x14ac:dyDescent="0.25">
      <c r="A4008" s="119" t="s">
        <v>4546</v>
      </c>
      <c r="B4008" s="119" t="s">
        <v>10582</v>
      </c>
      <c r="C4008" s="119" t="s">
        <v>301</v>
      </c>
      <c r="D4008" t="s">
        <v>6759</v>
      </c>
      <c r="E4008" s="117">
        <v>1699</v>
      </c>
    </row>
    <row r="4009" spans="1:5" x14ac:dyDescent="0.25">
      <c r="A4009" s="119" t="s">
        <v>4547</v>
      </c>
      <c r="B4009" s="119" t="s">
        <v>10583</v>
      </c>
      <c r="C4009" s="119" t="s">
        <v>301</v>
      </c>
      <c r="D4009" t="s">
        <v>45</v>
      </c>
      <c r="E4009" s="117">
        <v>1280.29</v>
      </c>
    </row>
    <row r="4010" spans="1:5" x14ac:dyDescent="0.25">
      <c r="A4010" s="119" t="s">
        <v>12000</v>
      </c>
      <c r="B4010" s="119" t="s">
        <v>12001</v>
      </c>
      <c r="C4010" s="119" t="s">
        <v>301</v>
      </c>
      <c r="D4010" t="s">
        <v>45</v>
      </c>
      <c r="E4010" s="117">
        <v>843.91</v>
      </c>
    </row>
    <row r="4011" spans="1:5" x14ac:dyDescent="0.25">
      <c r="A4011" s="119" t="s">
        <v>11996</v>
      </c>
      <c r="B4011" s="119" t="s">
        <v>11997</v>
      </c>
      <c r="C4011" s="119" t="s">
        <v>301</v>
      </c>
      <c r="D4011" t="s">
        <v>6760</v>
      </c>
      <c r="E4011" s="117">
        <v>843.91</v>
      </c>
    </row>
    <row r="4012" spans="1:5" x14ac:dyDescent="0.25">
      <c r="A4012" s="119" t="s">
        <v>12002</v>
      </c>
      <c r="B4012" s="119" t="s">
        <v>12001</v>
      </c>
      <c r="C4012" s="119" t="s">
        <v>301</v>
      </c>
      <c r="D4012" t="s">
        <v>45</v>
      </c>
      <c r="E4012" s="117">
        <v>843.91</v>
      </c>
    </row>
    <row r="4013" spans="1:5" x14ac:dyDescent="0.25">
      <c r="A4013" s="119" t="s">
        <v>4548</v>
      </c>
      <c r="B4013" s="119" t="s">
        <v>10584</v>
      </c>
      <c r="C4013" s="119" t="s">
        <v>301</v>
      </c>
      <c r="D4013" t="s">
        <v>49</v>
      </c>
      <c r="E4013" s="117">
        <v>650</v>
      </c>
    </row>
    <row r="4014" spans="1:5" x14ac:dyDescent="0.25">
      <c r="A4014" s="119" t="s">
        <v>4549</v>
      </c>
      <c r="B4014" s="119" t="s">
        <v>4550</v>
      </c>
      <c r="C4014" s="119" t="s">
        <v>301</v>
      </c>
      <c r="D4014" t="s">
        <v>45</v>
      </c>
      <c r="E4014" s="117">
        <v>0</v>
      </c>
    </row>
    <row r="4015" spans="1:5" x14ac:dyDescent="0.25">
      <c r="A4015" s="119" t="s">
        <v>4551</v>
      </c>
      <c r="B4015" s="119" t="s">
        <v>4552</v>
      </c>
      <c r="C4015" s="119" t="s">
        <v>66</v>
      </c>
      <c r="D4015" t="s">
        <v>45</v>
      </c>
      <c r="E4015" s="117">
        <v>0</v>
      </c>
    </row>
    <row r="4016" spans="1:5" x14ac:dyDescent="0.25">
      <c r="A4016" s="119" t="s">
        <v>4553</v>
      </c>
      <c r="B4016" s="119" t="s">
        <v>10585</v>
      </c>
      <c r="C4016" s="119" t="s">
        <v>66</v>
      </c>
      <c r="D4016" t="s">
        <v>45</v>
      </c>
      <c r="E4016" s="117">
        <v>77.87</v>
      </c>
    </row>
    <row r="4017" spans="1:5" x14ac:dyDescent="0.25">
      <c r="A4017" s="119" t="s">
        <v>4554</v>
      </c>
      <c r="B4017" s="119" t="s">
        <v>4555</v>
      </c>
      <c r="C4017" s="119" t="s">
        <v>301</v>
      </c>
      <c r="D4017" t="s">
        <v>45</v>
      </c>
      <c r="E4017" s="117">
        <v>0</v>
      </c>
    </row>
    <row r="4018" spans="1:5" x14ac:dyDescent="0.25">
      <c r="A4018" s="119" t="s">
        <v>4556</v>
      </c>
      <c r="B4018" s="119" t="s">
        <v>10586</v>
      </c>
      <c r="C4018" s="119" t="s">
        <v>66</v>
      </c>
      <c r="D4018" t="s">
        <v>45</v>
      </c>
      <c r="E4018" s="117">
        <v>166.57</v>
      </c>
    </row>
    <row r="4019" spans="1:5" x14ac:dyDescent="0.25">
      <c r="A4019" s="119" t="s">
        <v>4557</v>
      </c>
      <c r="B4019" s="119" t="s">
        <v>10587</v>
      </c>
      <c r="C4019" s="119" t="s">
        <v>66</v>
      </c>
      <c r="D4019" t="s">
        <v>49</v>
      </c>
      <c r="E4019" s="117">
        <v>314.42</v>
      </c>
    </row>
    <row r="4020" spans="1:5" x14ac:dyDescent="0.25">
      <c r="A4020" s="119" t="s">
        <v>4558</v>
      </c>
      <c r="B4020" s="119" t="s">
        <v>10588</v>
      </c>
      <c r="C4020" s="119" t="s">
        <v>66</v>
      </c>
      <c r="D4020" t="s">
        <v>45</v>
      </c>
      <c r="E4020" s="117">
        <v>201.08</v>
      </c>
    </row>
    <row r="4021" spans="1:5" x14ac:dyDescent="0.25">
      <c r="A4021" s="119" t="s">
        <v>4559</v>
      </c>
      <c r="B4021" s="119" t="s">
        <v>10589</v>
      </c>
      <c r="C4021" s="119" t="s">
        <v>66</v>
      </c>
      <c r="D4021" t="s">
        <v>6759</v>
      </c>
      <c r="E4021" s="117">
        <v>240.5</v>
      </c>
    </row>
    <row r="4022" spans="1:5" x14ac:dyDescent="0.25">
      <c r="A4022" s="119" t="s">
        <v>4560</v>
      </c>
      <c r="B4022" s="119" t="s">
        <v>4561</v>
      </c>
      <c r="C4022" s="119" t="s">
        <v>66</v>
      </c>
      <c r="D4022" t="s">
        <v>6759</v>
      </c>
      <c r="E4022" s="117">
        <v>841.75</v>
      </c>
    </row>
    <row r="4023" spans="1:5" x14ac:dyDescent="0.25">
      <c r="A4023" s="119" t="s">
        <v>4562</v>
      </c>
      <c r="B4023" s="119" t="s">
        <v>10590</v>
      </c>
      <c r="C4023" s="119" t="s">
        <v>66</v>
      </c>
      <c r="D4023" t="s">
        <v>6759</v>
      </c>
      <c r="E4023" s="117">
        <v>378.49</v>
      </c>
    </row>
    <row r="4024" spans="1:5" x14ac:dyDescent="0.25">
      <c r="A4024" s="119" t="s">
        <v>4563</v>
      </c>
      <c r="B4024" s="119" t="s">
        <v>10591</v>
      </c>
      <c r="C4024" s="119" t="s">
        <v>66</v>
      </c>
      <c r="D4024" t="s">
        <v>6759</v>
      </c>
      <c r="E4024" s="117">
        <v>437.63</v>
      </c>
    </row>
    <row r="4025" spans="1:5" x14ac:dyDescent="0.25">
      <c r="A4025" s="119" t="s">
        <v>4564</v>
      </c>
      <c r="B4025" s="119" t="s">
        <v>10592</v>
      </c>
      <c r="C4025" s="119" t="s">
        <v>66</v>
      </c>
      <c r="D4025" t="s">
        <v>49</v>
      </c>
      <c r="E4025" s="117">
        <v>225.72</v>
      </c>
    </row>
    <row r="4026" spans="1:5" x14ac:dyDescent="0.25">
      <c r="A4026" s="119" t="s">
        <v>4565</v>
      </c>
      <c r="B4026" s="119" t="s">
        <v>4566</v>
      </c>
      <c r="C4026" s="119" t="s">
        <v>66</v>
      </c>
      <c r="D4026" t="s">
        <v>49</v>
      </c>
      <c r="E4026" s="117">
        <v>1852.05</v>
      </c>
    </row>
    <row r="4027" spans="1:5" x14ac:dyDescent="0.25">
      <c r="A4027" s="119" t="s">
        <v>4567</v>
      </c>
      <c r="B4027" s="119" t="s">
        <v>4568</v>
      </c>
      <c r="C4027" s="119" t="s">
        <v>66</v>
      </c>
      <c r="D4027" t="s">
        <v>45</v>
      </c>
      <c r="E4027" s="117">
        <v>0</v>
      </c>
    </row>
    <row r="4028" spans="1:5" x14ac:dyDescent="0.25">
      <c r="A4028" s="119" t="s">
        <v>4569</v>
      </c>
      <c r="B4028" s="119" t="s">
        <v>10593</v>
      </c>
      <c r="C4028" s="119" t="s">
        <v>66</v>
      </c>
      <c r="D4028" t="s">
        <v>6759</v>
      </c>
      <c r="E4028" s="117">
        <v>1792.92</v>
      </c>
    </row>
    <row r="4029" spans="1:5" x14ac:dyDescent="0.25">
      <c r="A4029" s="119" t="s">
        <v>4570</v>
      </c>
      <c r="B4029" s="119" t="s">
        <v>4571</v>
      </c>
      <c r="C4029" s="119" t="s">
        <v>66</v>
      </c>
      <c r="D4029" t="s">
        <v>45</v>
      </c>
      <c r="E4029" s="117">
        <v>0</v>
      </c>
    </row>
    <row r="4030" spans="1:5" x14ac:dyDescent="0.25">
      <c r="A4030" s="119" t="s">
        <v>4572</v>
      </c>
      <c r="B4030" s="119" t="s">
        <v>10594</v>
      </c>
      <c r="C4030" s="119" t="s">
        <v>66</v>
      </c>
      <c r="D4030" t="s">
        <v>45</v>
      </c>
      <c r="E4030" s="117">
        <v>1196.5899999999999</v>
      </c>
    </row>
    <row r="4031" spans="1:5" x14ac:dyDescent="0.25">
      <c r="A4031" s="119" t="s">
        <v>4573</v>
      </c>
      <c r="B4031" s="119" t="s">
        <v>4568</v>
      </c>
      <c r="C4031" s="119" t="s">
        <v>66</v>
      </c>
      <c r="D4031" t="s">
        <v>45</v>
      </c>
      <c r="E4031" s="117">
        <v>0</v>
      </c>
    </row>
    <row r="4032" spans="1:5" x14ac:dyDescent="0.25">
      <c r="A4032" s="119" t="s">
        <v>4574</v>
      </c>
      <c r="B4032" s="119" t="s">
        <v>10595</v>
      </c>
      <c r="C4032" s="119" t="s">
        <v>66</v>
      </c>
      <c r="D4032" t="s">
        <v>45</v>
      </c>
      <c r="E4032" s="117">
        <v>654.48</v>
      </c>
    </row>
    <row r="4033" spans="1:5" x14ac:dyDescent="0.25">
      <c r="A4033" s="119" t="s">
        <v>4575</v>
      </c>
      <c r="B4033" s="119" t="s">
        <v>4576</v>
      </c>
      <c r="C4033" s="119" t="s">
        <v>66</v>
      </c>
      <c r="D4033" t="s">
        <v>6759</v>
      </c>
      <c r="E4033" s="117">
        <v>0</v>
      </c>
    </row>
    <row r="4034" spans="1:5" x14ac:dyDescent="0.25">
      <c r="A4034" s="119" t="s">
        <v>4577</v>
      </c>
      <c r="B4034" s="119" t="s">
        <v>10596</v>
      </c>
      <c r="C4034" s="119" t="s">
        <v>66</v>
      </c>
      <c r="D4034" t="s">
        <v>6760</v>
      </c>
      <c r="E4034" s="117">
        <v>1325.71</v>
      </c>
    </row>
    <row r="4035" spans="1:5" x14ac:dyDescent="0.25">
      <c r="A4035" s="119" t="s">
        <v>4578</v>
      </c>
      <c r="B4035" s="119" t="s">
        <v>4576</v>
      </c>
      <c r="C4035" s="119" t="s">
        <v>66</v>
      </c>
      <c r="D4035" t="s">
        <v>45</v>
      </c>
      <c r="E4035" s="117">
        <v>0</v>
      </c>
    </row>
    <row r="4036" spans="1:5" x14ac:dyDescent="0.25">
      <c r="A4036" s="119" t="s">
        <v>4579</v>
      </c>
      <c r="B4036" s="119" t="s">
        <v>10597</v>
      </c>
      <c r="C4036" s="119" t="s">
        <v>66</v>
      </c>
      <c r="D4036" t="s">
        <v>45</v>
      </c>
      <c r="E4036" s="117">
        <v>151.79</v>
      </c>
    </row>
    <row r="4037" spans="1:5" x14ac:dyDescent="0.25">
      <c r="A4037" s="119" t="s">
        <v>4580</v>
      </c>
      <c r="B4037" s="119" t="s">
        <v>4576</v>
      </c>
      <c r="C4037" s="119" t="s">
        <v>66</v>
      </c>
      <c r="D4037" t="s">
        <v>45</v>
      </c>
      <c r="E4037" s="117">
        <v>0</v>
      </c>
    </row>
    <row r="4038" spans="1:5" x14ac:dyDescent="0.25">
      <c r="A4038" s="119" t="s">
        <v>4581</v>
      </c>
      <c r="B4038" s="119" t="s">
        <v>10598</v>
      </c>
      <c r="C4038" s="119" t="s">
        <v>66</v>
      </c>
      <c r="D4038" t="s">
        <v>51</v>
      </c>
      <c r="E4038" s="117">
        <v>200</v>
      </c>
    </row>
    <row r="4039" spans="1:5" x14ac:dyDescent="0.25">
      <c r="A4039" s="119" t="s">
        <v>4582</v>
      </c>
      <c r="B4039" s="119" t="s">
        <v>4568</v>
      </c>
      <c r="C4039" s="119" t="s">
        <v>66</v>
      </c>
      <c r="D4039" t="s">
        <v>6759</v>
      </c>
      <c r="E4039" s="117">
        <v>9999999</v>
      </c>
    </row>
    <row r="4040" spans="1:5" x14ac:dyDescent="0.25">
      <c r="A4040" s="119" t="s">
        <v>4583</v>
      </c>
      <c r="B4040" s="119" t="s">
        <v>10599</v>
      </c>
      <c r="C4040" s="119" t="s">
        <v>66</v>
      </c>
      <c r="D4040" t="s">
        <v>49</v>
      </c>
      <c r="E4040" s="117">
        <v>1199</v>
      </c>
    </row>
    <row r="4041" spans="1:5" x14ac:dyDescent="0.25">
      <c r="A4041" s="119" t="s">
        <v>7683</v>
      </c>
      <c r="B4041" s="119" t="s">
        <v>11625</v>
      </c>
      <c r="C4041" s="119" t="s">
        <v>66</v>
      </c>
      <c r="D4041" t="s">
        <v>45</v>
      </c>
      <c r="E4041" s="117">
        <v>261.89999999999998</v>
      </c>
    </row>
    <row r="4042" spans="1:5" x14ac:dyDescent="0.25">
      <c r="A4042" s="119" t="s">
        <v>8148</v>
      </c>
      <c r="B4042" s="119" t="s">
        <v>7875</v>
      </c>
      <c r="C4042" s="119" t="s">
        <v>66</v>
      </c>
      <c r="D4042" t="s">
        <v>6759</v>
      </c>
      <c r="E4042" s="117">
        <v>99999</v>
      </c>
    </row>
    <row r="4043" spans="1:5" x14ac:dyDescent="0.25">
      <c r="A4043" s="119" t="s">
        <v>4584</v>
      </c>
      <c r="B4043" s="119" t="s">
        <v>10600</v>
      </c>
      <c r="C4043" s="119" t="s">
        <v>301</v>
      </c>
      <c r="D4043" t="s">
        <v>6759</v>
      </c>
      <c r="E4043" s="117">
        <v>388.35</v>
      </c>
    </row>
    <row r="4044" spans="1:5" x14ac:dyDescent="0.25">
      <c r="A4044" s="119" t="s">
        <v>4585</v>
      </c>
      <c r="B4044" s="119" t="s">
        <v>4586</v>
      </c>
      <c r="C4044" s="119" t="s">
        <v>301</v>
      </c>
      <c r="D4044" t="s">
        <v>45</v>
      </c>
      <c r="E4044" s="117">
        <v>0</v>
      </c>
    </row>
    <row r="4045" spans="1:5" x14ac:dyDescent="0.25">
      <c r="A4045" s="119" t="s">
        <v>4587</v>
      </c>
      <c r="B4045" s="119" t="s">
        <v>10601</v>
      </c>
      <c r="C4045" s="119" t="s">
        <v>301</v>
      </c>
      <c r="D4045" t="s">
        <v>6760</v>
      </c>
      <c r="E4045" s="117">
        <v>590.4</v>
      </c>
    </row>
    <row r="4046" spans="1:5" x14ac:dyDescent="0.25">
      <c r="A4046" s="119" t="s">
        <v>4588</v>
      </c>
      <c r="B4046" s="119" t="s">
        <v>10602</v>
      </c>
      <c r="C4046" s="119" t="s">
        <v>301</v>
      </c>
      <c r="D4046" t="s">
        <v>45</v>
      </c>
      <c r="E4046" s="117">
        <v>0</v>
      </c>
    </row>
    <row r="4047" spans="1:5" x14ac:dyDescent="0.25">
      <c r="A4047" s="119" t="s">
        <v>4589</v>
      </c>
      <c r="B4047" s="119" t="s">
        <v>11926</v>
      </c>
      <c r="C4047" s="119" t="s">
        <v>301</v>
      </c>
      <c r="D4047" t="s">
        <v>49</v>
      </c>
      <c r="E4047" s="117">
        <v>580</v>
      </c>
    </row>
    <row r="4048" spans="1:5" x14ac:dyDescent="0.25">
      <c r="A4048" s="119" t="s">
        <v>4590</v>
      </c>
      <c r="B4048" s="119" t="s">
        <v>4591</v>
      </c>
      <c r="C4048" s="119" t="s">
        <v>301</v>
      </c>
      <c r="D4048" t="s">
        <v>6759</v>
      </c>
      <c r="E4048" s="117">
        <v>999999</v>
      </c>
    </row>
    <row r="4049" spans="1:5" x14ac:dyDescent="0.25">
      <c r="A4049" s="119" t="s">
        <v>4592</v>
      </c>
      <c r="B4049" s="119" t="s">
        <v>10603</v>
      </c>
      <c r="C4049" s="119" t="s">
        <v>301</v>
      </c>
      <c r="D4049" t="s">
        <v>49</v>
      </c>
      <c r="E4049" s="117">
        <v>680</v>
      </c>
    </row>
    <row r="4050" spans="1:5" x14ac:dyDescent="0.25">
      <c r="A4050" s="119" t="s">
        <v>4593</v>
      </c>
      <c r="B4050" s="119" t="s">
        <v>4591</v>
      </c>
      <c r="C4050" s="119" t="s">
        <v>301</v>
      </c>
      <c r="D4050" t="s">
        <v>45</v>
      </c>
      <c r="E4050" s="117">
        <v>9999999</v>
      </c>
    </row>
    <row r="4051" spans="1:5" x14ac:dyDescent="0.25">
      <c r="A4051" s="119" t="s">
        <v>4594</v>
      </c>
      <c r="B4051" s="119" t="s">
        <v>4595</v>
      </c>
      <c r="C4051" s="119" t="s">
        <v>301</v>
      </c>
      <c r="D4051" t="s">
        <v>45</v>
      </c>
      <c r="E4051" s="117">
        <v>0</v>
      </c>
    </row>
    <row r="4052" spans="1:5" x14ac:dyDescent="0.25">
      <c r="A4052" s="119" t="s">
        <v>4596</v>
      </c>
      <c r="B4052" s="119" t="s">
        <v>4597</v>
      </c>
      <c r="C4052" s="119" t="s">
        <v>301</v>
      </c>
      <c r="D4052" t="s">
        <v>45</v>
      </c>
      <c r="E4052" s="117">
        <v>0</v>
      </c>
    </row>
    <row r="4053" spans="1:5" x14ac:dyDescent="0.25">
      <c r="A4053" s="119" t="s">
        <v>4598</v>
      </c>
      <c r="B4053" s="119" t="s">
        <v>10604</v>
      </c>
      <c r="C4053" s="119" t="s">
        <v>301</v>
      </c>
      <c r="D4053" t="s">
        <v>45</v>
      </c>
      <c r="E4053" s="117">
        <v>615.04999999999995</v>
      </c>
    </row>
    <row r="4054" spans="1:5" x14ac:dyDescent="0.25">
      <c r="A4054" s="119" t="s">
        <v>4599</v>
      </c>
      <c r="B4054" s="119" t="s">
        <v>10605</v>
      </c>
      <c r="C4054" s="119" t="s">
        <v>301</v>
      </c>
      <c r="D4054" t="s">
        <v>45</v>
      </c>
      <c r="E4054" s="117">
        <v>0</v>
      </c>
    </row>
    <row r="4055" spans="1:5" x14ac:dyDescent="0.25">
      <c r="A4055" s="119" t="s">
        <v>4600</v>
      </c>
      <c r="B4055" s="119" t="s">
        <v>10606</v>
      </c>
      <c r="C4055" s="119" t="s">
        <v>301</v>
      </c>
      <c r="D4055" t="s">
        <v>45</v>
      </c>
      <c r="E4055" s="117">
        <v>0</v>
      </c>
    </row>
    <row r="4056" spans="1:5" x14ac:dyDescent="0.25">
      <c r="A4056" s="119" t="s">
        <v>4601</v>
      </c>
      <c r="B4056" s="119" t="s">
        <v>10607</v>
      </c>
      <c r="C4056" s="119" t="s">
        <v>301</v>
      </c>
      <c r="D4056" t="s">
        <v>49</v>
      </c>
      <c r="E4056" s="117">
        <v>856.54</v>
      </c>
    </row>
    <row r="4057" spans="1:5" x14ac:dyDescent="0.25">
      <c r="A4057" s="119" t="s">
        <v>4602</v>
      </c>
      <c r="B4057" s="119" t="s">
        <v>4603</v>
      </c>
      <c r="C4057" s="119" t="s">
        <v>301</v>
      </c>
      <c r="D4057" t="s">
        <v>45</v>
      </c>
      <c r="E4057" s="117">
        <v>0</v>
      </c>
    </row>
    <row r="4058" spans="1:5" x14ac:dyDescent="0.25">
      <c r="A4058" s="119" t="s">
        <v>4604</v>
      </c>
      <c r="B4058" s="119" t="s">
        <v>10608</v>
      </c>
      <c r="C4058" s="119" t="s">
        <v>301</v>
      </c>
      <c r="D4058" t="s">
        <v>49</v>
      </c>
      <c r="E4058" s="117">
        <v>1707.41</v>
      </c>
    </row>
    <row r="4059" spans="1:5" x14ac:dyDescent="0.25">
      <c r="A4059" s="119" t="s">
        <v>4605</v>
      </c>
      <c r="B4059" s="119" t="s">
        <v>10609</v>
      </c>
      <c r="C4059" s="119" t="s">
        <v>301</v>
      </c>
      <c r="D4059" t="s">
        <v>45</v>
      </c>
      <c r="E4059" s="117">
        <v>0</v>
      </c>
    </row>
    <row r="4060" spans="1:5" x14ac:dyDescent="0.25">
      <c r="A4060" s="119" t="s">
        <v>4606</v>
      </c>
      <c r="B4060" s="119" t="s">
        <v>10610</v>
      </c>
      <c r="C4060" s="119" t="s">
        <v>301</v>
      </c>
      <c r="D4060" t="s">
        <v>45</v>
      </c>
      <c r="E4060" s="117">
        <v>0</v>
      </c>
    </row>
    <row r="4061" spans="1:5" x14ac:dyDescent="0.25">
      <c r="A4061" s="119" t="s">
        <v>4607</v>
      </c>
      <c r="B4061" s="119" t="s">
        <v>10611</v>
      </c>
      <c r="C4061" s="119" t="s">
        <v>301</v>
      </c>
      <c r="D4061" t="s">
        <v>6759</v>
      </c>
      <c r="E4061" s="117">
        <v>936.38</v>
      </c>
    </row>
    <row r="4062" spans="1:5" x14ac:dyDescent="0.25">
      <c r="A4062" s="119" t="s">
        <v>4608</v>
      </c>
      <c r="B4062" s="119" t="s">
        <v>10612</v>
      </c>
      <c r="C4062" s="119" t="s">
        <v>301</v>
      </c>
      <c r="D4062" t="s">
        <v>51</v>
      </c>
      <c r="E4062" s="117">
        <v>266</v>
      </c>
    </row>
    <row r="4063" spans="1:5" x14ac:dyDescent="0.25">
      <c r="A4063" s="119" t="s">
        <v>4609</v>
      </c>
      <c r="B4063" s="119" t="s">
        <v>10613</v>
      </c>
      <c r="C4063" s="119" t="s">
        <v>301</v>
      </c>
      <c r="D4063" t="s">
        <v>6759</v>
      </c>
      <c r="E4063" s="117">
        <v>1</v>
      </c>
    </row>
    <row r="4064" spans="1:5" x14ac:dyDescent="0.25">
      <c r="A4064" s="119" t="s">
        <v>4610</v>
      </c>
      <c r="B4064" s="119" t="s">
        <v>10614</v>
      </c>
      <c r="C4064" s="119" t="s">
        <v>301</v>
      </c>
      <c r="D4064" t="s">
        <v>45</v>
      </c>
      <c r="E4064" s="117">
        <v>0</v>
      </c>
    </row>
    <row r="4065" spans="1:5" x14ac:dyDescent="0.25">
      <c r="A4065" s="119" t="s">
        <v>4611</v>
      </c>
      <c r="B4065" s="119" t="s">
        <v>10615</v>
      </c>
      <c r="C4065" s="119" t="s">
        <v>301</v>
      </c>
      <c r="D4065" t="s">
        <v>45</v>
      </c>
      <c r="E4065" s="117">
        <v>0</v>
      </c>
    </row>
    <row r="4066" spans="1:5" x14ac:dyDescent="0.25">
      <c r="A4066" s="119" t="s">
        <v>4612</v>
      </c>
      <c r="B4066" s="119" t="s">
        <v>7684</v>
      </c>
      <c r="C4066" s="119" t="s">
        <v>301</v>
      </c>
      <c r="D4066" t="s">
        <v>6759</v>
      </c>
      <c r="E4066" s="117">
        <v>1171.95</v>
      </c>
    </row>
    <row r="4067" spans="1:5" x14ac:dyDescent="0.25">
      <c r="A4067" s="119" t="s">
        <v>4613</v>
      </c>
      <c r="B4067" s="119" t="s">
        <v>10616</v>
      </c>
      <c r="C4067" s="119" t="s">
        <v>301</v>
      </c>
      <c r="D4067" t="s">
        <v>45</v>
      </c>
      <c r="E4067" s="117">
        <v>0</v>
      </c>
    </row>
    <row r="4068" spans="1:5" x14ac:dyDescent="0.25">
      <c r="A4068" s="119" t="s">
        <v>4614</v>
      </c>
      <c r="B4068" s="119" t="s">
        <v>10617</v>
      </c>
      <c r="C4068" s="119" t="s">
        <v>301</v>
      </c>
      <c r="D4068" t="s">
        <v>6759</v>
      </c>
      <c r="E4068" s="117">
        <v>1674.63</v>
      </c>
    </row>
    <row r="4069" spans="1:5" x14ac:dyDescent="0.25">
      <c r="A4069" s="119" t="s">
        <v>4615</v>
      </c>
      <c r="B4069" s="119" t="s">
        <v>4616</v>
      </c>
      <c r="C4069" s="119" t="s">
        <v>301</v>
      </c>
      <c r="D4069" t="s">
        <v>45</v>
      </c>
      <c r="E4069" s="117">
        <v>0</v>
      </c>
    </row>
    <row r="4070" spans="1:5" x14ac:dyDescent="0.25">
      <c r="A4070" s="119" t="s">
        <v>4617</v>
      </c>
      <c r="B4070" s="119" t="s">
        <v>10618</v>
      </c>
      <c r="C4070" s="119" t="s">
        <v>301</v>
      </c>
      <c r="D4070" t="s">
        <v>6759</v>
      </c>
      <c r="E4070" s="117">
        <v>886.11</v>
      </c>
    </row>
    <row r="4071" spans="1:5" x14ac:dyDescent="0.25">
      <c r="A4071" s="119" t="s">
        <v>4618</v>
      </c>
      <c r="B4071" s="119" t="s">
        <v>10619</v>
      </c>
      <c r="C4071" s="119" t="s">
        <v>301</v>
      </c>
      <c r="D4071" t="s">
        <v>49</v>
      </c>
      <c r="E4071" s="117">
        <v>1674.63</v>
      </c>
    </row>
    <row r="4072" spans="1:5" x14ac:dyDescent="0.25">
      <c r="A4072" s="119" t="s">
        <v>4619</v>
      </c>
      <c r="B4072" s="119" t="s">
        <v>10620</v>
      </c>
      <c r="C4072" s="119" t="s">
        <v>301</v>
      </c>
      <c r="D4072" t="s">
        <v>6759</v>
      </c>
      <c r="E4072" s="117">
        <v>12221.18</v>
      </c>
    </row>
    <row r="4073" spans="1:5" x14ac:dyDescent="0.25">
      <c r="A4073" s="119" t="s">
        <v>4620</v>
      </c>
      <c r="B4073" s="119" t="s">
        <v>10621</v>
      </c>
      <c r="C4073" s="119" t="s">
        <v>301</v>
      </c>
      <c r="D4073" t="s">
        <v>6759</v>
      </c>
      <c r="E4073" s="117">
        <v>1773.2</v>
      </c>
    </row>
    <row r="4074" spans="1:5" x14ac:dyDescent="0.25">
      <c r="A4074" s="119" t="s">
        <v>4621</v>
      </c>
      <c r="B4074" s="119" t="s">
        <v>10622</v>
      </c>
      <c r="C4074" s="119" t="s">
        <v>301</v>
      </c>
      <c r="D4074" t="s">
        <v>45</v>
      </c>
      <c r="E4074" s="117">
        <v>0</v>
      </c>
    </row>
    <row r="4075" spans="1:5" x14ac:dyDescent="0.25">
      <c r="A4075" s="119" t="s">
        <v>4622</v>
      </c>
      <c r="B4075" s="119" t="s">
        <v>10623</v>
      </c>
      <c r="C4075" s="119" t="s">
        <v>301</v>
      </c>
      <c r="D4075" t="s">
        <v>6759</v>
      </c>
      <c r="E4075" s="117">
        <v>1137.45</v>
      </c>
    </row>
    <row r="4076" spans="1:5" x14ac:dyDescent="0.25">
      <c r="A4076" s="119" t="s">
        <v>4623</v>
      </c>
      <c r="B4076" s="119" t="s">
        <v>10624</v>
      </c>
      <c r="C4076" s="119" t="s">
        <v>301</v>
      </c>
      <c r="D4076" t="s">
        <v>45</v>
      </c>
      <c r="E4076" s="117">
        <v>1137.45</v>
      </c>
    </row>
    <row r="4077" spans="1:5" x14ac:dyDescent="0.25">
      <c r="A4077" s="119" t="s">
        <v>4624</v>
      </c>
      <c r="B4077" s="119" t="s">
        <v>10625</v>
      </c>
      <c r="C4077" s="119" t="s">
        <v>301</v>
      </c>
      <c r="D4077" t="s">
        <v>49</v>
      </c>
      <c r="E4077" s="117">
        <v>6298.95</v>
      </c>
    </row>
    <row r="4078" spans="1:5" x14ac:dyDescent="0.25">
      <c r="A4078" s="119" t="s">
        <v>4625</v>
      </c>
      <c r="B4078" s="119" t="s">
        <v>10626</v>
      </c>
      <c r="C4078" s="119" t="s">
        <v>301</v>
      </c>
      <c r="D4078" t="s">
        <v>6759</v>
      </c>
      <c r="E4078" s="117">
        <v>10000</v>
      </c>
    </row>
    <row r="4079" spans="1:5" x14ac:dyDescent="0.25">
      <c r="A4079" s="119" t="s">
        <v>4626</v>
      </c>
      <c r="B4079" s="119" t="s">
        <v>10627</v>
      </c>
      <c r="C4079" s="119" t="s">
        <v>301</v>
      </c>
      <c r="D4079" t="s">
        <v>45</v>
      </c>
      <c r="E4079" s="117">
        <v>999999</v>
      </c>
    </row>
    <row r="4080" spans="1:5" x14ac:dyDescent="0.25">
      <c r="A4080" s="119" t="s">
        <v>4627</v>
      </c>
      <c r="B4080" s="119" t="s">
        <v>10628</v>
      </c>
      <c r="C4080" s="119" t="s">
        <v>301</v>
      </c>
      <c r="D4080" t="s">
        <v>6759</v>
      </c>
      <c r="E4080" s="117">
        <v>1344.44</v>
      </c>
    </row>
    <row r="4081" spans="1:5" x14ac:dyDescent="0.25">
      <c r="A4081" s="119" t="s">
        <v>4628</v>
      </c>
      <c r="B4081" s="119" t="s">
        <v>4629</v>
      </c>
      <c r="C4081" s="119" t="s">
        <v>301</v>
      </c>
      <c r="D4081" t="s">
        <v>45</v>
      </c>
      <c r="E4081" s="117">
        <v>0</v>
      </c>
    </row>
    <row r="4082" spans="1:5" x14ac:dyDescent="0.25">
      <c r="A4082" s="119" t="s">
        <v>4630</v>
      </c>
      <c r="B4082" s="119" t="s">
        <v>10629</v>
      </c>
      <c r="C4082" s="119" t="s">
        <v>301</v>
      </c>
      <c r="D4082" t="s">
        <v>6760</v>
      </c>
      <c r="E4082" s="117">
        <v>836.83</v>
      </c>
    </row>
    <row r="4083" spans="1:5" x14ac:dyDescent="0.25">
      <c r="A4083" s="119" t="s">
        <v>4631</v>
      </c>
      <c r="B4083" s="119" t="s">
        <v>4632</v>
      </c>
      <c r="C4083" s="119" t="s">
        <v>301</v>
      </c>
      <c r="D4083" t="s">
        <v>45</v>
      </c>
      <c r="E4083" s="117">
        <v>0</v>
      </c>
    </row>
    <row r="4084" spans="1:5" x14ac:dyDescent="0.25">
      <c r="A4084" s="119" t="s">
        <v>4633</v>
      </c>
      <c r="B4084" s="119" t="s">
        <v>10630</v>
      </c>
      <c r="C4084" s="119" t="s">
        <v>301</v>
      </c>
      <c r="D4084" t="s">
        <v>45</v>
      </c>
      <c r="E4084" s="117">
        <v>0</v>
      </c>
    </row>
    <row r="4085" spans="1:5" x14ac:dyDescent="0.25">
      <c r="A4085" s="119" t="s">
        <v>4634</v>
      </c>
      <c r="B4085" s="119" t="s">
        <v>10631</v>
      </c>
      <c r="C4085" s="119" t="s">
        <v>301</v>
      </c>
      <c r="D4085" t="s">
        <v>6759</v>
      </c>
      <c r="E4085" s="117">
        <v>1364.15</v>
      </c>
    </row>
    <row r="4086" spans="1:5" x14ac:dyDescent="0.25">
      <c r="A4086" s="119" t="s">
        <v>4635</v>
      </c>
      <c r="B4086" s="119" t="s">
        <v>10629</v>
      </c>
      <c r="C4086" s="119" t="s">
        <v>301</v>
      </c>
      <c r="D4086" t="s">
        <v>49</v>
      </c>
      <c r="E4086" s="117">
        <v>699</v>
      </c>
    </row>
    <row r="4087" spans="1:5" x14ac:dyDescent="0.25">
      <c r="A4087" s="119" t="s">
        <v>6269</v>
      </c>
      <c r="B4087" s="119" t="s">
        <v>5935</v>
      </c>
      <c r="C4087" s="119" t="s">
        <v>301</v>
      </c>
      <c r="D4087" t="s">
        <v>45</v>
      </c>
      <c r="E4087" s="117">
        <v>999999</v>
      </c>
    </row>
    <row r="4088" spans="1:5" x14ac:dyDescent="0.25">
      <c r="A4088" s="119" t="s">
        <v>4636</v>
      </c>
      <c r="B4088" s="119" t="s">
        <v>10632</v>
      </c>
      <c r="C4088" s="119" t="s">
        <v>301</v>
      </c>
      <c r="D4088" t="s">
        <v>49</v>
      </c>
      <c r="E4088" s="117">
        <v>4473.8999999999996</v>
      </c>
    </row>
    <row r="4089" spans="1:5" x14ac:dyDescent="0.25">
      <c r="A4089" s="119" t="s">
        <v>4637</v>
      </c>
      <c r="B4089" s="119" t="s">
        <v>4638</v>
      </c>
      <c r="C4089" s="119" t="s">
        <v>301</v>
      </c>
      <c r="D4089" t="s">
        <v>45</v>
      </c>
      <c r="E4089" s="117">
        <v>0</v>
      </c>
    </row>
    <row r="4090" spans="1:5" x14ac:dyDescent="0.25">
      <c r="A4090" s="119" t="s">
        <v>12202</v>
      </c>
      <c r="B4090" s="119" t="s">
        <v>12203</v>
      </c>
      <c r="C4090" s="119" t="s">
        <v>301</v>
      </c>
      <c r="D4090" t="s">
        <v>45</v>
      </c>
      <c r="E4090" s="117">
        <v>9999</v>
      </c>
    </row>
    <row r="4091" spans="1:5" x14ac:dyDescent="0.25">
      <c r="A4091" s="119" t="s">
        <v>12204</v>
      </c>
      <c r="B4091" s="119" t="s">
        <v>12205</v>
      </c>
      <c r="C4091" s="119" t="s">
        <v>301</v>
      </c>
      <c r="D4091" t="s">
        <v>45</v>
      </c>
      <c r="E4091" s="117">
        <v>9999</v>
      </c>
    </row>
    <row r="4092" spans="1:5" x14ac:dyDescent="0.25">
      <c r="A4092" s="119" t="s">
        <v>4639</v>
      </c>
      <c r="B4092" s="119" t="s">
        <v>10633</v>
      </c>
      <c r="C4092" s="119" t="s">
        <v>301</v>
      </c>
      <c r="D4092" t="s">
        <v>49</v>
      </c>
      <c r="E4092" s="117">
        <v>4473.8999999999996</v>
      </c>
    </row>
    <row r="4093" spans="1:5" x14ac:dyDescent="0.25">
      <c r="A4093" s="119" t="s">
        <v>4640</v>
      </c>
      <c r="B4093" s="119" t="s">
        <v>4638</v>
      </c>
      <c r="C4093" s="119" t="s">
        <v>301</v>
      </c>
      <c r="D4093" t="s">
        <v>45</v>
      </c>
      <c r="E4093" s="117">
        <v>0</v>
      </c>
    </row>
    <row r="4094" spans="1:5" x14ac:dyDescent="0.25">
      <c r="A4094" s="119" t="s">
        <v>4641</v>
      </c>
      <c r="B4094" s="119" t="s">
        <v>10634</v>
      </c>
      <c r="C4094" s="119" t="s">
        <v>301</v>
      </c>
      <c r="D4094" t="s">
        <v>45</v>
      </c>
      <c r="E4094" s="117">
        <v>0</v>
      </c>
    </row>
    <row r="4095" spans="1:5" x14ac:dyDescent="0.25">
      <c r="A4095" s="119" t="s">
        <v>4642</v>
      </c>
      <c r="B4095" s="119" t="s">
        <v>10635</v>
      </c>
      <c r="C4095" s="119" t="s">
        <v>301</v>
      </c>
      <c r="D4095" t="s">
        <v>45</v>
      </c>
      <c r="E4095" s="117">
        <v>0</v>
      </c>
    </row>
    <row r="4096" spans="1:5" x14ac:dyDescent="0.25">
      <c r="A4096" s="119" t="s">
        <v>4643</v>
      </c>
      <c r="B4096" s="119" t="s">
        <v>10636</v>
      </c>
      <c r="C4096" s="119" t="s">
        <v>301</v>
      </c>
      <c r="D4096" t="s">
        <v>49</v>
      </c>
      <c r="E4096" s="117">
        <v>936.38</v>
      </c>
    </row>
    <row r="4097" spans="1:5" x14ac:dyDescent="0.25">
      <c r="A4097" s="119" t="s">
        <v>4644</v>
      </c>
      <c r="B4097" s="119" t="s">
        <v>7685</v>
      </c>
      <c r="C4097" s="119" t="s">
        <v>301</v>
      </c>
      <c r="D4097" t="s">
        <v>6759</v>
      </c>
      <c r="E4097" s="117">
        <v>2684.93</v>
      </c>
    </row>
    <row r="4098" spans="1:5" x14ac:dyDescent="0.25">
      <c r="A4098" s="119" t="s">
        <v>4645</v>
      </c>
      <c r="B4098" s="119" t="s">
        <v>10637</v>
      </c>
      <c r="C4098" s="119" t="s">
        <v>301</v>
      </c>
      <c r="D4098" t="s">
        <v>6759</v>
      </c>
      <c r="E4098" s="117">
        <v>9855.59</v>
      </c>
    </row>
    <row r="4099" spans="1:5" x14ac:dyDescent="0.25">
      <c r="A4099" s="119" t="s">
        <v>4646</v>
      </c>
      <c r="B4099" s="119" t="s">
        <v>10638</v>
      </c>
      <c r="C4099" s="119" t="s">
        <v>301</v>
      </c>
      <c r="D4099" t="s">
        <v>45</v>
      </c>
      <c r="E4099" s="117">
        <v>11728.35</v>
      </c>
    </row>
    <row r="4100" spans="1:5" x14ac:dyDescent="0.25">
      <c r="A4100" s="119" t="s">
        <v>4647</v>
      </c>
      <c r="B4100" s="119" t="s">
        <v>4648</v>
      </c>
      <c r="C4100" s="119" t="s">
        <v>301</v>
      </c>
      <c r="D4100" t="s">
        <v>45</v>
      </c>
      <c r="E4100" s="117">
        <v>0</v>
      </c>
    </row>
    <row r="4101" spans="1:5" x14ac:dyDescent="0.25">
      <c r="A4101" s="119" t="s">
        <v>4649</v>
      </c>
      <c r="B4101" s="119" t="s">
        <v>10639</v>
      </c>
      <c r="C4101" s="119" t="s">
        <v>301</v>
      </c>
      <c r="D4101" t="s">
        <v>45</v>
      </c>
      <c r="E4101" s="117">
        <v>6154.45</v>
      </c>
    </row>
    <row r="4102" spans="1:5" x14ac:dyDescent="0.25">
      <c r="A4102" s="119" t="s">
        <v>4650</v>
      </c>
      <c r="B4102" s="119" t="s">
        <v>10640</v>
      </c>
      <c r="C4102" s="119" t="s">
        <v>301</v>
      </c>
      <c r="D4102" t="s">
        <v>49</v>
      </c>
      <c r="E4102" s="117">
        <v>6154.45</v>
      </c>
    </row>
    <row r="4103" spans="1:5" x14ac:dyDescent="0.25">
      <c r="A4103" s="119" t="s">
        <v>4651</v>
      </c>
      <c r="B4103" s="119" t="s">
        <v>10641</v>
      </c>
      <c r="C4103" s="119" t="s">
        <v>301</v>
      </c>
      <c r="D4103" t="s">
        <v>6759</v>
      </c>
      <c r="E4103" s="117">
        <v>950.18</v>
      </c>
    </row>
    <row r="4104" spans="1:5" x14ac:dyDescent="0.25">
      <c r="A4104" s="119" t="s">
        <v>4652</v>
      </c>
      <c r="B4104" s="119" t="s">
        <v>4653</v>
      </c>
      <c r="C4104" s="119" t="s">
        <v>301</v>
      </c>
      <c r="D4104" t="s">
        <v>45</v>
      </c>
      <c r="E4104" s="117">
        <v>0</v>
      </c>
    </row>
    <row r="4105" spans="1:5" x14ac:dyDescent="0.25">
      <c r="A4105" s="119" t="s">
        <v>4654</v>
      </c>
      <c r="B4105" s="119" t="s">
        <v>10642</v>
      </c>
      <c r="C4105" s="119" t="s">
        <v>301</v>
      </c>
      <c r="D4105" t="s">
        <v>45</v>
      </c>
      <c r="E4105" s="117">
        <v>2660.29</v>
      </c>
    </row>
    <row r="4106" spans="1:5" x14ac:dyDescent="0.25">
      <c r="A4106" s="119" t="s">
        <v>4655</v>
      </c>
      <c r="B4106" s="119" t="s">
        <v>10643</v>
      </c>
      <c r="C4106" s="119" t="s">
        <v>301</v>
      </c>
      <c r="D4106" t="s">
        <v>45</v>
      </c>
      <c r="E4106" s="117">
        <v>0</v>
      </c>
    </row>
    <row r="4107" spans="1:5" x14ac:dyDescent="0.25">
      <c r="A4107" s="119" t="s">
        <v>4656</v>
      </c>
      <c r="B4107" s="119" t="s">
        <v>10644</v>
      </c>
      <c r="C4107" s="119" t="s">
        <v>301</v>
      </c>
      <c r="D4107" t="s">
        <v>49</v>
      </c>
      <c r="E4107" s="117">
        <v>1759</v>
      </c>
    </row>
    <row r="4108" spans="1:5" x14ac:dyDescent="0.25">
      <c r="A4108" s="119" t="s">
        <v>4657</v>
      </c>
      <c r="B4108" s="119" t="s">
        <v>4658</v>
      </c>
      <c r="C4108" s="119" t="s">
        <v>301</v>
      </c>
      <c r="D4108" t="s">
        <v>45</v>
      </c>
      <c r="E4108" s="117">
        <v>0</v>
      </c>
    </row>
    <row r="4109" spans="1:5" x14ac:dyDescent="0.25">
      <c r="A4109" s="119" t="s">
        <v>4659</v>
      </c>
      <c r="B4109" s="119" t="s">
        <v>10645</v>
      </c>
      <c r="C4109" s="119" t="s">
        <v>301</v>
      </c>
      <c r="D4109" t="s">
        <v>45</v>
      </c>
      <c r="E4109" s="117">
        <v>1674.63</v>
      </c>
    </row>
    <row r="4110" spans="1:5" x14ac:dyDescent="0.25">
      <c r="A4110" s="119" t="s">
        <v>4660</v>
      </c>
      <c r="B4110" s="119" t="s">
        <v>10646</v>
      </c>
      <c r="C4110" s="119" t="s">
        <v>301</v>
      </c>
      <c r="D4110" t="s">
        <v>45</v>
      </c>
      <c r="E4110" s="117">
        <v>1847.13</v>
      </c>
    </row>
    <row r="4111" spans="1:5" x14ac:dyDescent="0.25">
      <c r="A4111" s="119" t="s">
        <v>4661</v>
      </c>
      <c r="B4111" s="119" t="s">
        <v>10647</v>
      </c>
      <c r="C4111" s="119" t="s">
        <v>301</v>
      </c>
      <c r="D4111" t="s">
        <v>45</v>
      </c>
      <c r="E4111" s="117">
        <v>0</v>
      </c>
    </row>
    <row r="4112" spans="1:5" x14ac:dyDescent="0.25">
      <c r="A4112" s="119" t="s">
        <v>4662</v>
      </c>
      <c r="B4112" s="119" t="s">
        <v>10648</v>
      </c>
      <c r="C4112" s="119" t="s">
        <v>301</v>
      </c>
      <c r="D4112" t="s">
        <v>45</v>
      </c>
      <c r="E4112" s="117">
        <v>2798.28</v>
      </c>
    </row>
    <row r="4113" spans="1:5" x14ac:dyDescent="0.25">
      <c r="A4113" s="119" t="s">
        <v>4663</v>
      </c>
      <c r="B4113" s="119" t="s">
        <v>10649</v>
      </c>
      <c r="C4113" s="119" t="s">
        <v>301</v>
      </c>
      <c r="D4113" t="s">
        <v>49</v>
      </c>
      <c r="E4113" s="117">
        <v>1600</v>
      </c>
    </row>
    <row r="4114" spans="1:5" x14ac:dyDescent="0.25">
      <c r="A4114" s="119" t="s">
        <v>6800</v>
      </c>
      <c r="B4114" s="119" t="s">
        <v>10650</v>
      </c>
      <c r="C4114" s="119" t="s">
        <v>301</v>
      </c>
      <c r="D4114" t="s">
        <v>6759</v>
      </c>
      <c r="E4114" s="117">
        <v>1782.63</v>
      </c>
    </row>
    <row r="4115" spans="1:5" x14ac:dyDescent="0.25">
      <c r="A4115" s="119" t="s">
        <v>6802</v>
      </c>
      <c r="B4115" s="119" t="s">
        <v>6801</v>
      </c>
      <c r="C4115" s="119" t="s">
        <v>301</v>
      </c>
      <c r="D4115" t="s">
        <v>6759</v>
      </c>
      <c r="E4115" s="117">
        <v>9999</v>
      </c>
    </row>
    <row r="4116" spans="1:5" x14ac:dyDescent="0.25">
      <c r="A4116" s="119" t="s">
        <v>4664</v>
      </c>
      <c r="B4116" s="119" t="s">
        <v>4665</v>
      </c>
      <c r="C4116" s="119" t="s">
        <v>301</v>
      </c>
      <c r="D4116" t="s">
        <v>6759</v>
      </c>
      <c r="E4116" s="117">
        <v>9999</v>
      </c>
    </row>
    <row r="4117" spans="1:5" x14ac:dyDescent="0.25">
      <c r="A4117" s="119" t="s">
        <v>7686</v>
      </c>
      <c r="B4117" s="119" t="s">
        <v>10651</v>
      </c>
      <c r="C4117" s="119" t="s">
        <v>301</v>
      </c>
      <c r="D4117" t="s">
        <v>6759</v>
      </c>
      <c r="E4117" s="117">
        <v>5162.03</v>
      </c>
    </row>
    <row r="4118" spans="1:5" x14ac:dyDescent="0.25">
      <c r="A4118" s="119" t="s">
        <v>7687</v>
      </c>
      <c r="B4118" s="119" t="s">
        <v>10652</v>
      </c>
      <c r="C4118" s="119" t="s">
        <v>301</v>
      </c>
      <c r="D4118" t="s">
        <v>6759</v>
      </c>
      <c r="E4118" s="117">
        <v>22528.400000000001</v>
      </c>
    </row>
    <row r="4119" spans="1:5" x14ac:dyDescent="0.25">
      <c r="A4119" s="119" t="s">
        <v>6730</v>
      </c>
      <c r="B4119" s="119" t="s">
        <v>4665</v>
      </c>
      <c r="C4119" s="119" t="s">
        <v>301</v>
      </c>
      <c r="D4119" t="s">
        <v>45</v>
      </c>
      <c r="E4119" s="117">
        <v>9999</v>
      </c>
    </row>
    <row r="4120" spans="1:5" x14ac:dyDescent="0.25">
      <c r="A4120" s="119" t="s">
        <v>6328</v>
      </c>
      <c r="B4120" s="119" t="s">
        <v>4665</v>
      </c>
      <c r="C4120" s="119" t="s">
        <v>301</v>
      </c>
      <c r="D4120" t="s">
        <v>6759</v>
      </c>
      <c r="E4120" s="117">
        <v>9999</v>
      </c>
    </row>
    <row r="4121" spans="1:5" x14ac:dyDescent="0.25">
      <c r="A4121" s="119" t="s">
        <v>4666</v>
      </c>
      <c r="B4121" s="119" t="s">
        <v>2803</v>
      </c>
      <c r="C4121" s="119" t="s">
        <v>301</v>
      </c>
      <c r="D4121" t="s">
        <v>45</v>
      </c>
      <c r="E4121" s="117">
        <v>0</v>
      </c>
    </row>
    <row r="4122" spans="1:5" x14ac:dyDescent="0.25">
      <c r="A4122" s="119" t="s">
        <v>4667</v>
      </c>
      <c r="B4122" s="119" t="s">
        <v>10653</v>
      </c>
      <c r="C4122" s="119" t="s">
        <v>301</v>
      </c>
      <c r="D4122" t="s">
        <v>45</v>
      </c>
      <c r="E4122" s="117">
        <v>0</v>
      </c>
    </row>
    <row r="4123" spans="1:5" x14ac:dyDescent="0.25">
      <c r="A4123" s="119" t="s">
        <v>4668</v>
      </c>
      <c r="B4123" s="119" t="s">
        <v>10654</v>
      </c>
      <c r="C4123" s="119" t="s">
        <v>301</v>
      </c>
      <c r="D4123" t="s">
        <v>45</v>
      </c>
      <c r="E4123" s="117">
        <v>0</v>
      </c>
    </row>
    <row r="4124" spans="1:5" x14ac:dyDescent="0.25">
      <c r="A4124" s="119" t="s">
        <v>4669</v>
      </c>
      <c r="B4124" s="119" t="s">
        <v>10655</v>
      </c>
      <c r="C4124" s="119" t="s">
        <v>301</v>
      </c>
      <c r="D4124" t="s">
        <v>45</v>
      </c>
      <c r="E4124" s="117">
        <v>0</v>
      </c>
    </row>
    <row r="4125" spans="1:5" x14ac:dyDescent="0.25">
      <c r="A4125" s="119" t="s">
        <v>4670</v>
      </c>
      <c r="B4125" s="119" t="s">
        <v>10656</v>
      </c>
      <c r="C4125" s="119" t="s">
        <v>301</v>
      </c>
      <c r="D4125" t="s">
        <v>45</v>
      </c>
      <c r="E4125" s="117">
        <v>348.93</v>
      </c>
    </row>
    <row r="4126" spans="1:5" x14ac:dyDescent="0.25">
      <c r="A4126" s="119" t="s">
        <v>4671</v>
      </c>
      <c r="B4126" s="119" t="s">
        <v>10657</v>
      </c>
      <c r="C4126" s="119" t="s">
        <v>301</v>
      </c>
      <c r="D4126" t="s">
        <v>45</v>
      </c>
      <c r="E4126" s="117">
        <v>0</v>
      </c>
    </row>
    <row r="4127" spans="1:5" x14ac:dyDescent="0.25">
      <c r="A4127" s="119" t="s">
        <v>4672</v>
      </c>
      <c r="B4127" s="119" t="s">
        <v>10658</v>
      </c>
      <c r="C4127" s="119" t="s">
        <v>301</v>
      </c>
      <c r="D4127" t="s">
        <v>45</v>
      </c>
      <c r="E4127" s="117">
        <v>487.2</v>
      </c>
    </row>
    <row r="4128" spans="1:5" x14ac:dyDescent="0.25">
      <c r="A4128" s="119" t="s">
        <v>4673</v>
      </c>
      <c r="B4128" s="119" t="s">
        <v>10659</v>
      </c>
      <c r="C4128" s="119" t="s">
        <v>301</v>
      </c>
      <c r="D4128" t="s">
        <v>45</v>
      </c>
      <c r="E4128" s="117">
        <v>0</v>
      </c>
    </row>
    <row r="4129" spans="1:5" x14ac:dyDescent="0.25">
      <c r="A4129" s="119" t="s">
        <v>4674</v>
      </c>
      <c r="B4129" s="119" t="s">
        <v>10660</v>
      </c>
      <c r="C4129" s="119" t="s">
        <v>301</v>
      </c>
      <c r="D4129" t="s">
        <v>45</v>
      </c>
      <c r="E4129" s="117">
        <v>1224.0899999999999</v>
      </c>
    </row>
    <row r="4130" spans="1:5" x14ac:dyDescent="0.25">
      <c r="A4130" s="119" t="s">
        <v>4675</v>
      </c>
      <c r="B4130" s="119" t="s">
        <v>10661</v>
      </c>
      <c r="C4130" s="119" t="s">
        <v>301</v>
      </c>
      <c r="D4130" t="s">
        <v>45</v>
      </c>
      <c r="E4130" s="117">
        <v>467.2</v>
      </c>
    </row>
    <row r="4131" spans="1:5" x14ac:dyDescent="0.25">
      <c r="A4131" s="119" t="s">
        <v>4676</v>
      </c>
      <c r="B4131" s="119" t="s">
        <v>4677</v>
      </c>
      <c r="C4131" s="119" t="s">
        <v>301</v>
      </c>
      <c r="D4131" t="s">
        <v>45</v>
      </c>
      <c r="E4131" s="117">
        <v>0</v>
      </c>
    </row>
    <row r="4132" spans="1:5" x14ac:dyDescent="0.25">
      <c r="A4132" s="119" t="s">
        <v>4678</v>
      </c>
      <c r="B4132" s="119" t="s">
        <v>10662</v>
      </c>
      <c r="C4132" s="119" t="s">
        <v>301</v>
      </c>
      <c r="D4132" t="s">
        <v>45</v>
      </c>
      <c r="E4132" s="117">
        <v>1004.39</v>
      </c>
    </row>
    <row r="4133" spans="1:5" x14ac:dyDescent="0.25">
      <c r="A4133" s="119" t="s">
        <v>4679</v>
      </c>
      <c r="B4133" s="119" t="s">
        <v>10663</v>
      </c>
      <c r="C4133" s="119" t="s">
        <v>301</v>
      </c>
      <c r="D4133" t="s">
        <v>49</v>
      </c>
      <c r="E4133" s="117">
        <v>289.77999999999997</v>
      </c>
    </row>
    <row r="4134" spans="1:5" x14ac:dyDescent="0.25">
      <c r="A4134" s="119" t="s">
        <v>4680</v>
      </c>
      <c r="B4134" s="119" t="s">
        <v>4677</v>
      </c>
      <c r="C4134" s="119" t="s">
        <v>301</v>
      </c>
      <c r="D4134" t="s">
        <v>45</v>
      </c>
      <c r="E4134" s="117">
        <v>289.77999999999997</v>
      </c>
    </row>
    <row r="4135" spans="1:5" x14ac:dyDescent="0.25">
      <c r="A4135" s="119" t="s">
        <v>4681</v>
      </c>
      <c r="B4135" s="119" t="s">
        <v>10664</v>
      </c>
      <c r="C4135" s="119" t="s">
        <v>301</v>
      </c>
      <c r="D4135" t="s">
        <v>45</v>
      </c>
      <c r="E4135" s="117">
        <v>516.48</v>
      </c>
    </row>
    <row r="4136" spans="1:5" x14ac:dyDescent="0.25">
      <c r="A4136" s="119" t="s">
        <v>4682</v>
      </c>
      <c r="B4136" s="119" t="s">
        <v>10665</v>
      </c>
      <c r="C4136" s="119" t="s">
        <v>301</v>
      </c>
      <c r="D4136" t="s">
        <v>45</v>
      </c>
      <c r="E4136" s="117">
        <v>516.48</v>
      </c>
    </row>
    <row r="4137" spans="1:5" x14ac:dyDescent="0.25">
      <c r="A4137" s="119" t="s">
        <v>8149</v>
      </c>
      <c r="B4137" s="119" t="s">
        <v>10666</v>
      </c>
      <c r="C4137" s="119" t="s">
        <v>301</v>
      </c>
      <c r="D4137" t="s">
        <v>49</v>
      </c>
      <c r="E4137" s="117">
        <v>1097.3699999999999</v>
      </c>
    </row>
    <row r="4138" spans="1:5" x14ac:dyDescent="0.25">
      <c r="A4138" s="119" t="s">
        <v>7688</v>
      </c>
      <c r="B4138" s="119" t="s">
        <v>4690</v>
      </c>
      <c r="C4138" s="119" t="s">
        <v>301</v>
      </c>
      <c r="D4138" t="s">
        <v>45</v>
      </c>
      <c r="E4138" s="117">
        <v>9999</v>
      </c>
    </row>
    <row r="4139" spans="1:5" x14ac:dyDescent="0.25">
      <c r="A4139" s="119" t="s">
        <v>4683</v>
      </c>
      <c r="B4139" s="119" t="s">
        <v>10667</v>
      </c>
      <c r="C4139" s="119" t="s">
        <v>301</v>
      </c>
      <c r="D4139" t="s">
        <v>45</v>
      </c>
      <c r="E4139" s="117">
        <v>0</v>
      </c>
    </row>
    <row r="4140" spans="1:5" x14ac:dyDescent="0.25">
      <c r="A4140" s="119" t="s">
        <v>4684</v>
      </c>
      <c r="B4140" s="119" t="s">
        <v>10668</v>
      </c>
      <c r="C4140" s="119" t="s">
        <v>301</v>
      </c>
      <c r="D4140" t="s">
        <v>45</v>
      </c>
      <c r="E4140" s="117">
        <v>0</v>
      </c>
    </row>
    <row r="4141" spans="1:5" x14ac:dyDescent="0.25">
      <c r="A4141" s="119" t="s">
        <v>4685</v>
      </c>
      <c r="B4141" s="119" t="s">
        <v>10669</v>
      </c>
      <c r="C4141" s="119" t="s">
        <v>301</v>
      </c>
      <c r="D4141" t="s">
        <v>45</v>
      </c>
      <c r="E4141" s="117">
        <v>782.62</v>
      </c>
    </row>
    <row r="4142" spans="1:5" x14ac:dyDescent="0.25">
      <c r="A4142" s="119" t="s">
        <v>4686</v>
      </c>
      <c r="B4142" s="119" t="s">
        <v>10670</v>
      </c>
      <c r="C4142" s="119" t="s">
        <v>301</v>
      </c>
      <c r="D4142" t="s">
        <v>45</v>
      </c>
      <c r="E4142" s="117">
        <v>0</v>
      </c>
    </row>
    <row r="4143" spans="1:5" x14ac:dyDescent="0.25">
      <c r="A4143" s="119" t="s">
        <v>4687</v>
      </c>
      <c r="B4143" s="119" t="s">
        <v>10671</v>
      </c>
      <c r="C4143" s="119" t="s">
        <v>301</v>
      </c>
      <c r="D4143" t="s">
        <v>6759</v>
      </c>
      <c r="E4143" s="117">
        <v>1852.05</v>
      </c>
    </row>
    <row r="4144" spans="1:5" x14ac:dyDescent="0.25">
      <c r="A4144" s="119" t="s">
        <v>4688</v>
      </c>
      <c r="B4144" s="119" t="s">
        <v>10672</v>
      </c>
      <c r="C4144" s="119" t="s">
        <v>301</v>
      </c>
      <c r="D4144" t="s">
        <v>45</v>
      </c>
      <c r="E4144" s="117">
        <v>787.54</v>
      </c>
    </row>
    <row r="4145" spans="1:5" x14ac:dyDescent="0.25">
      <c r="A4145" s="119" t="s">
        <v>4689</v>
      </c>
      <c r="B4145" s="119" t="s">
        <v>4690</v>
      </c>
      <c r="C4145" s="119" t="s">
        <v>301</v>
      </c>
      <c r="D4145" t="s">
        <v>45</v>
      </c>
      <c r="E4145" s="117">
        <v>999999</v>
      </c>
    </row>
    <row r="4146" spans="1:5" x14ac:dyDescent="0.25">
      <c r="A4146" s="119" t="s">
        <v>8150</v>
      </c>
      <c r="B4146" s="119" t="s">
        <v>10673</v>
      </c>
      <c r="C4146" s="119" t="s">
        <v>301</v>
      </c>
      <c r="D4146" t="s">
        <v>45</v>
      </c>
      <c r="E4146" s="117">
        <v>9999</v>
      </c>
    </row>
    <row r="4147" spans="1:5" x14ac:dyDescent="0.25">
      <c r="A4147" s="119" t="s">
        <v>6285</v>
      </c>
      <c r="B4147" s="119" t="s">
        <v>10674</v>
      </c>
      <c r="C4147" s="119" t="s">
        <v>301</v>
      </c>
      <c r="D4147" t="s">
        <v>6759</v>
      </c>
      <c r="E4147" s="117">
        <v>609</v>
      </c>
    </row>
    <row r="4148" spans="1:5" x14ac:dyDescent="0.25">
      <c r="A4148" s="119" t="s">
        <v>6329</v>
      </c>
      <c r="B4148" s="119" t="s">
        <v>4690</v>
      </c>
      <c r="C4148" s="119" t="s">
        <v>301</v>
      </c>
      <c r="D4148" t="s">
        <v>6759</v>
      </c>
      <c r="E4148" s="117">
        <v>9999</v>
      </c>
    </row>
    <row r="4149" spans="1:5" x14ac:dyDescent="0.25">
      <c r="A4149" s="119" t="s">
        <v>7689</v>
      </c>
      <c r="B4149" s="119" t="s">
        <v>10675</v>
      </c>
      <c r="C4149" s="119" t="s">
        <v>301</v>
      </c>
      <c r="D4149" t="s">
        <v>45</v>
      </c>
      <c r="E4149" s="117">
        <v>1407.14</v>
      </c>
    </row>
    <row r="4150" spans="1:5" x14ac:dyDescent="0.25">
      <c r="A4150" s="119" t="s">
        <v>7690</v>
      </c>
      <c r="B4150" s="119" t="s">
        <v>10658</v>
      </c>
      <c r="C4150" s="119" t="s">
        <v>301</v>
      </c>
      <c r="D4150" t="s">
        <v>49</v>
      </c>
      <c r="E4150" s="117">
        <v>496.58</v>
      </c>
    </row>
    <row r="4151" spans="1:5" x14ac:dyDescent="0.25">
      <c r="A4151" s="119" t="s">
        <v>7691</v>
      </c>
      <c r="B4151" s="119" t="s">
        <v>4690</v>
      </c>
      <c r="C4151" s="119" t="s">
        <v>301</v>
      </c>
      <c r="D4151" t="s">
        <v>45</v>
      </c>
      <c r="E4151" s="117">
        <v>9999</v>
      </c>
    </row>
    <row r="4152" spans="1:5" x14ac:dyDescent="0.25">
      <c r="A4152" s="119" t="s">
        <v>7692</v>
      </c>
      <c r="B4152" s="119" t="s">
        <v>10676</v>
      </c>
      <c r="C4152" s="119" t="s">
        <v>301</v>
      </c>
      <c r="D4152" t="s">
        <v>45</v>
      </c>
      <c r="E4152" s="117">
        <v>665.55</v>
      </c>
    </row>
    <row r="4153" spans="1:5" x14ac:dyDescent="0.25">
      <c r="A4153" s="119" t="s">
        <v>6834</v>
      </c>
      <c r="B4153" s="119" t="s">
        <v>6835</v>
      </c>
      <c r="C4153" s="119" t="s">
        <v>301</v>
      </c>
      <c r="D4153" t="s">
        <v>45</v>
      </c>
      <c r="E4153" s="117">
        <v>9999</v>
      </c>
    </row>
    <row r="4154" spans="1:5" x14ac:dyDescent="0.25">
      <c r="A4154" s="119" t="s">
        <v>4691</v>
      </c>
      <c r="B4154" s="119" t="s">
        <v>10677</v>
      </c>
      <c r="C4154" s="119" t="s">
        <v>301</v>
      </c>
      <c r="D4154" t="s">
        <v>45</v>
      </c>
      <c r="E4154" s="117">
        <v>590.4</v>
      </c>
    </row>
    <row r="4155" spans="1:5" x14ac:dyDescent="0.25">
      <c r="A4155" s="119" t="s">
        <v>4692</v>
      </c>
      <c r="B4155" s="119" t="s">
        <v>10678</v>
      </c>
      <c r="C4155" s="119" t="s">
        <v>301</v>
      </c>
      <c r="D4155" t="s">
        <v>45</v>
      </c>
      <c r="E4155" s="117">
        <v>0</v>
      </c>
    </row>
    <row r="4156" spans="1:5" x14ac:dyDescent="0.25">
      <c r="A4156" s="119" t="s">
        <v>4693</v>
      </c>
      <c r="B4156" s="119" t="s">
        <v>10679</v>
      </c>
      <c r="C4156" s="119" t="s">
        <v>301</v>
      </c>
      <c r="D4156" t="s">
        <v>6759</v>
      </c>
      <c r="E4156" s="117">
        <v>639.69000000000005</v>
      </c>
    </row>
    <row r="4157" spans="1:5" x14ac:dyDescent="0.25">
      <c r="A4157" s="119" t="s">
        <v>4694</v>
      </c>
      <c r="B4157" s="119" t="s">
        <v>10680</v>
      </c>
      <c r="C4157" s="119" t="s">
        <v>301</v>
      </c>
      <c r="D4157" t="s">
        <v>45</v>
      </c>
      <c r="E4157" s="117">
        <v>782.62</v>
      </c>
    </row>
    <row r="4158" spans="1:5" x14ac:dyDescent="0.25">
      <c r="A4158" s="119" t="s">
        <v>4695</v>
      </c>
      <c r="B4158" s="119" t="s">
        <v>10681</v>
      </c>
      <c r="C4158" s="119" t="s">
        <v>301</v>
      </c>
      <c r="D4158" t="s">
        <v>49</v>
      </c>
      <c r="E4158" s="117">
        <v>797.4</v>
      </c>
    </row>
    <row r="4159" spans="1:5" x14ac:dyDescent="0.25">
      <c r="A4159" s="119" t="s">
        <v>4696</v>
      </c>
      <c r="B4159" s="119" t="s">
        <v>4690</v>
      </c>
      <c r="C4159" s="119" t="s">
        <v>301</v>
      </c>
      <c r="D4159" t="s">
        <v>45</v>
      </c>
      <c r="E4159" s="117">
        <v>0</v>
      </c>
    </row>
    <row r="4160" spans="1:5" x14ac:dyDescent="0.25">
      <c r="A4160" s="119" t="s">
        <v>7693</v>
      </c>
      <c r="B4160" s="119" t="s">
        <v>10682</v>
      </c>
      <c r="C4160" s="119" t="s">
        <v>301</v>
      </c>
      <c r="D4160" t="s">
        <v>6759</v>
      </c>
      <c r="E4160" s="117">
        <v>515.36</v>
      </c>
    </row>
    <row r="4161" spans="1:5" x14ac:dyDescent="0.25">
      <c r="A4161" s="119" t="s">
        <v>7694</v>
      </c>
      <c r="B4161" s="119" t="s">
        <v>6309</v>
      </c>
      <c r="C4161" s="119" t="s">
        <v>301</v>
      </c>
      <c r="D4161" t="s">
        <v>6759</v>
      </c>
      <c r="E4161" s="117">
        <v>0</v>
      </c>
    </row>
    <row r="4162" spans="1:5" x14ac:dyDescent="0.25">
      <c r="A4162" s="119" t="s">
        <v>12206</v>
      </c>
      <c r="B4162" s="119" t="s">
        <v>12207</v>
      </c>
      <c r="C4162" s="119" t="s">
        <v>301</v>
      </c>
      <c r="D4162" t="s">
        <v>45</v>
      </c>
      <c r="E4162" s="117">
        <v>0</v>
      </c>
    </row>
    <row r="4163" spans="1:5" x14ac:dyDescent="0.25">
      <c r="A4163" s="119" t="s">
        <v>4697</v>
      </c>
      <c r="B4163" s="119" t="s">
        <v>10683</v>
      </c>
      <c r="C4163" s="119" t="s">
        <v>301</v>
      </c>
      <c r="D4163" t="s">
        <v>6759</v>
      </c>
      <c r="E4163" s="117">
        <v>1117.74</v>
      </c>
    </row>
    <row r="4164" spans="1:5" x14ac:dyDescent="0.25">
      <c r="A4164" s="119" t="s">
        <v>4698</v>
      </c>
      <c r="B4164" s="119" t="s">
        <v>10684</v>
      </c>
      <c r="C4164" s="119" t="s">
        <v>301</v>
      </c>
      <c r="D4164" t="s">
        <v>45</v>
      </c>
      <c r="E4164" s="117">
        <v>0</v>
      </c>
    </row>
    <row r="4165" spans="1:5" x14ac:dyDescent="0.25">
      <c r="A4165" s="119" t="s">
        <v>4699</v>
      </c>
      <c r="B4165" s="119" t="s">
        <v>10685</v>
      </c>
      <c r="C4165" s="119" t="s">
        <v>301</v>
      </c>
      <c r="D4165" t="s">
        <v>6759</v>
      </c>
      <c r="E4165" s="117">
        <v>4582.33</v>
      </c>
    </row>
    <row r="4166" spans="1:5" x14ac:dyDescent="0.25">
      <c r="A4166" s="119" t="s">
        <v>4700</v>
      </c>
      <c r="B4166" s="119" t="s">
        <v>10686</v>
      </c>
      <c r="C4166" s="119" t="s">
        <v>301</v>
      </c>
      <c r="D4166" t="s">
        <v>49</v>
      </c>
      <c r="E4166" s="117">
        <v>4590</v>
      </c>
    </row>
    <row r="4167" spans="1:5" x14ac:dyDescent="0.25">
      <c r="A4167" s="119" t="s">
        <v>4701</v>
      </c>
      <c r="B4167" s="119" t="s">
        <v>4702</v>
      </c>
      <c r="C4167" s="119" t="s">
        <v>301</v>
      </c>
      <c r="D4167" t="s">
        <v>45</v>
      </c>
      <c r="E4167" s="117">
        <v>999999</v>
      </c>
    </row>
    <row r="4168" spans="1:5" x14ac:dyDescent="0.25">
      <c r="A4168" s="119" t="s">
        <v>4703</v>
      </c>
      <c r="B4168" s="119" t="s">
        <v>10687</v>
      </c>
      <c r="C4168" s="119" t="s">
        <v>301</v>
      </c>
      <c r="D4168" t="s">
        <v>6759</v>
      </c>
      <c r="E4168" s="117">
        <v>1566.21</v>
      </c>
    </row>
    <row r="4169" spans="1:5" x14ac:dyDescent="0.25">
      <c r="A4169" s="119" t="s">
        <v>4704</v>
      </c>
      <c r="B4169" s="119" t="s">
        <v>10688</v>
      </c>
      <c r="C4169" s="119" t="s">
        <v>301</v>
      </c>
      <c r="D4169" t="s">
        <v>6760</v>
      </c>
      <c r="E4169" s="117">
        <v>2794.34</v>
      </c>
    </row>
    <row r="4170" spans="1:5" x14ac:dyDescent="0.25">
      <c r="A4170" s="119" t="s">
        <v>4705</v>
      </c>
      <c r="B4170" s="119" t="s">
        <v>10689</v>
      </c>
      <c r="C4170" s="119" t="s">
        <v>301</v>
      </c>
      <c r="D4170" t="s">
        <v>49</v>
      </c>
      <c r="E4170" s="117">
        <v>1567.2</v>
      </c>
    </row>
    <row r="4171" spans="1:5" x14ac:dyDescent="0.25">
      <c r="A4171" s="119" t="s">
        <v>4706</v>
      </c>
      <c r="B4171" s="119" t="s">
        <v>10690</v>
      </c>
      <c r="C4171" s="119" t="s">
        <v>301</v>
      </c>
      <c r="D4171" t="s">
        <v>45</v>
      </c>
      <c r="E4171" s="117">
        <v>1567.2</v>
      </c>
    </row>
    <row r="4172" spans="1:5" x14ac:dyDescent="0.25">
      <c r="A4172" s="119" t="s">
        <v>4707</v>
      </c>
      <c r="B4172" s="119" t="s">
        <v>10691</v>
      </c>
      <c r="C4172" s="119" t="s">
        <v>301</v>
      </c>
      <c r="D4172" t="s">
        <v>45</v>
      </c>
      <c r="E4172" s="117">
        <v>2572.5700000000002</v>
      </c>
    </row>
    <row r="4173" spans="1:5" x14ac:dyDescent="0.25">
      <c r="A4173" s="119" t="s">
        <v>4708</v>
      </c>
      <c r="B4173" s="119" t="s">
        <v>10692</v>
      </c>
      <c r="C4173" s="119" t="s">
        <v>301</v>
      </c>
      <c r="D4173" t="s">
        <v>51</v>
      </c>
      <c r="E4173" s="117">
        <v>2794.34</v>
      </c>
    </row>
    <row r="4174" spans="1:5" x14ac:dyDescent="0.25">
      <c r="A4174" s="119" t="s">
        <v>4709</v>
      </c>
      <c r="B4174" s="119" t="s">
        <v>10693</v>
      </c>
      <c r="C4174" s="119" t="s">
        <v>301</v>
      </c>
      <c r="D4174" t="s">
        <v>49</v>
      </c>
      <c r="E4174" s="117">
        <v>1567.2</v>
      </c>
    </row>
    <row r="4175" spans="1:5" x14ac:dyDescent="0.25">
      <c r="A4175" s="119" t="s">
        <v>4710</v>
      </c>
      <c r="B4175" s="119" t="s">
        <v>4711</v>
      </c>
      <c r="C4175" s="119" t="s">
        <v>301</v>
      </c>
      <c r="D4175" t="s">
        <v>45</v>
      </c>
      <c r="E4175" s="117">
        <v>1600</v>
      </c>
    </row>
    <row r="4176" spans="1:5" x14ac:dyDescent="0.25">
      <c r="A4176" s="119" t="s">
        <v>6803</v>
      </c>
      <c r="B4176" s="119" t="s">
        <v>10694</v>
      </c>
      <c r="C4176" s="119" t="s">
        <v>301</v>
      </c>
      <c r="D4176" t="s">
        <v>49</v>
      </c>
      <c r="E4176" s="117">
        <v>1407.14</v>
      </c>
    </row>
    <row r="4177" spans="1:5" x14ac:dyDescent="0.25">
      <c r="A4177" s="119" t="s">
        <v>6804</v>
      </c>
      <c r="B4177" s="119" t="s">
        <v>6068</v>
      </c>
      <c r="C4177" s="119" t="s">
        <v>301</v>
      </c>
      <c r="D4177" t="s">
        <v>45</v>
      </c>
      <c r="E4177" s="117">
        <v>9999</v>
      </c>
    </row>
    <row r="4178" spans="1:5" x14ac:dyDescent="0.25">
      <c r="A4178" s="119" t="s">
        <v>4712</v>
      </c>
      <c r="B4178" s="119" t="s">
        <v>10695</v>
      </c>
      <c r="C4178" s="119" t="s">
        <v>301</v>
      </c>
      <c r="D4178" t="s">
        <v>45</v>
      </c>
      <c r="E4178" s="117">
        <v>1220.3399999999999</v>
      </c>
    </row>
    <row r="4179" spans="1:5" x14ac:dyDescent="0.25">
      <c r="A4179" s="119" t="s">
        <v>4713</v>
      </c>
      <c r="B4179" s="119" t="s">
        <v>10696</v>
      </c>
      <c r="C4179" s="119" t="s">
        <v>301</v>
      </c>
      <c r="D4179" t="s">
        <v>45</v>
      </c>
      <c r="E4179" s="117">
        <v>0</v>
      </c>
    </row>
    <row r="4180" spans="1:5" x14ac:dyDescent="0.25">
      <c r="A4180" s="119" t="s">
        <v>4714</v>
      </c>
      <c r="B4180" s="119" t="s">
        <v>10690</v>
      </c>
      <c r="C4180" s="119" t="s">
        <v>301</v>
      </c>
      <c r="D4180" t="s">
        <v>45</v>
      </c>
      <c r="E4180" s="117">
        <v>0</v>
      </c>
    </row>
    <row r="4181" spans="1:5" x14ac:dyDescent="0.25">
      <c r="A4181" s="119" t="s">
        <v>4715</v>
      </c>
      <c r="B4181" s="119" t="s">
        <v>10697</v>
      </c>
      <c r="C4181" s="119" t="s">
        <v>301</v>
      </c>
      <c r="D4181" t="s">
        <v>45</v>
      </c>
      <c r="E4181" s="117">
        <v>1340.49</v>
      </c>
    </row>
    <row r="4182" spans="1:5" x14ac:dyDescent="0.25">
      <c r="A4182" s="119" t="s">
        <v>4716</v>
      </c>
      <c r="B4182" s="119" t="s">
        <v>10698</v>
      </c>
      <c r="C4182" s="119" t="s">
        <v>301</v>
      </c>
      <c r="D4182" t="s">
        <v>49</v>
      </c>
      <c r="E4182" s="117">
        <v>527.33000000000004</v>
      </c>
    </row>
    <row r="4183" spans="1:5" x14ac:dyDescent="0.25">
      <c r="A4183" s="119" t="s">
        <v>4717</v>
      </c>
      <c r="B4183" s="119" t="s">
        <v>10699</v>
      </c>
      <c r="C4183" s="119" t="s">
        <v>301</v>
      </c>
      <c r="D4183" t="s">
        <v>6759</v>
      </c>
      <c r="E4183" s="117">
        <v>1172.93</v>
      </c>
    </row>
    <row r="4184" spans="1:5" x14ac:dyDescent="0.25">
      <c r="A4184" s="119" t="s">
        <v>4718</v>
      </c>
      <c r="B4184" s="119" t="s">
        <v>10700</v>
      </c>
      <c r="C4184" s="119" t="s">
        <v>301</v>
      </c>
      <c r="D4184" t="s">
        <v>45</v>
      </c>
      <c r="E4184" s="117">
        <v>1453.85</v>
      </c>
    </row>
    <row r="4185" spans="1:5" x14ac:dyDescent="0.25">
      <c r="A4185" s="119" t="s">
        <v>4719</v>
      </c>
      <c r="B4185" s="119" t="s">
        <v>10701</v>
      </c>
      <c r="C4185" s="119" t="s">
        <v>301</v>
      </c>
      <c r="D4185" t="s">
        <v>49</v>
      </c>
      <c r="E4185" s="117">
        <v>349.91</v>
      </c>
    </row>
    <row r="4186" spans="1:5" x14ac:dyDescent="0.25">
      <c r="A4186" s="119" t="s">
        <v>11915</v>
      </c>
      <c r="B4186" s="119" t="s">
        <v>10699</v>
      </c>
      <c r="C4186" s="119" t="s">
        <v>301</v>
      </c>
      <c r="D4186" t="s">
        <v>45</v>
      </c>
      <c r="E4186" s="117">
        <v>999999</v>
      </c>
    </row>
    <row r="4187" spans="1:5" x14ac:dyDescent="0.25">
      <c r="A4187" s="119" t="s">
        <v>11916</v>
      </c>
      <c r="B4187" s="119" t="s">
        <v>10701</v>
      </c>
      <c r="C4187" s="119" t="s">
        <v>301</v>
      </c>
      <c r="D4187" t="s">
        <v>45</v>
      </c>
      <c r="E4187" s="117">
        <v>999999</v>
      </c>
    </row>
    <row r="4188" spans="1:5" x14ac:dyDescent="0.25">
      <c r="A4188" s="119" t="s">
        <v>8267</v>
      </c>
      <c r="B4188" s="119" t="s">
        <v>6068</v>
      </c>
      <c r="C4188" s="119" t="s">
        <v>301</v>
      </c>
      <c r="D4188" t="s">
        <v>45</v>
      </c>
      <c r="E4188" s="117">
        <v>0</v>
      </c>
    </row>
    <row r="4189" spans="1:5" x14ac:dyDescent="0.25">
      <c r="A4189" s="119" t="s">
        <v>4720</v>
      </c>
      <c r="B4189" s="119" t="s">
        <v>10702</v>
      </c>
      <c r="C4189" s="119" t="s">
        <v>301</v>
      </c>
      <c r="D4189" t="s">
        <v>45</v>
      </c>
      <c r="E4189" s="117">
        <v>0</v>
      </c>
    </row>
    <row r="4190" spans="1:5" x14ac:dyDescent="0.25">
      <c r="A4190" s="119" t="s">
        <v>4721</v>
      </c>
      <c r="B4190" s="119" t="s">
        <v>10703</v>
      </c>
      <c r="C4190" s="119" t="s">
        <v>301</v>
      </c>
      <c r="D4190" t="s">
        <v>45</v>
      </c>
      <c r="E4190" s="117">
        <v>0</v>
      </c>
    </row>
    <row r="4191" spans="1:5" x14ac:dyDescent="0.25">
      <c r="A4191" s="119" t="s">
        <v>4722</v>
      </c>
      <c r="B4191" s="119" t="s">
        <v>10704</v>
      </c>
      <c r="C4191" s="119" t="s">
        <v>301</v>
      </c>
      <c r="D4191" t="s">
        <v>45</v>
      </c>
      <c r="E4191" s="117">
        <v>1991.03</v>
      </c>
    </row>
    <row r="4192" spans="1:5" x14ac:dyDescent="0.25">
      <c r="A4192" s="119" t="s">
        <v>4723</v>
      </c>
      <c r="B4192" s="119" t="s">
        <v>10705</v>
      </c>
      <c r="C4192" s="119" t="s">
        <v>301</v>
      </c>
      <c r="D4192" t="s">
        <v>45</v>
      </c>
      <c r="E4192" s="117">
        <v>896.95</v>
      </c>
    </row>
    <row r="4193" spans="1:5" x14ac:dyDescent="0.25">
      <c r="A4193" s="119" t="s">
        <v>4724</v>
      </c>
      <c r="B4193" s="119" t="s">
        <v>10706</v>
      </c>
      <c r="C4193" s="119" t="s">
        <v>301</v>
      </c>
      <c r="D4193" t="s">
        <v>45</v>
      </c>
      <c r="E4193" s="117">
        <v>2183.23</v>
      </c>
    </row>
    <row r="4194" spans="1:5" x14ac:dyDescent="0.25">
      <c r="A4194" s="119" t="s">
        <v>4725</v>
      </c>
      <c r="B4194" s="119" t="s">
        <v>10707</v>
      </c>
      <c r="C4194" s="119" t="s">
        <v>301</v>
      </c>
      <c r="D4194" t="s">
        <v>6759</v>
      </c>
      <c r="E4194" s="117">
        <v>2450</v>
      </c>
    </row>
    <row r="4195" spans="1:5" x14ac:dyDescent="0.25">
      <c r="A4195" s="119" t="s">
        <v>4726</v>
      </c>
      <c r="B4195" s="119" t="s">
        <v>10708</v>
      </c>
      <c r="C4195" s="119" t="s">
        <v>301</v>
      </c>
      <c r="D4195" t="s">
        <v>45</v>
      </c>
      <c r="E4195" s="117">
        <v>1005.38</v>
      </c>
    </row>
    <row r="4196" spans="1:5" x14ac:dyDescent="0.25">
      <c r="A4196" s="119" t="s">
        <v>4727</v>
      </c>
      <c r="B4196" s="119" t="s">
        <v>2801</v>
      </c>
      <c r="C4196" s="119" t="s">
        <v>301</v>
      </c>
      <c r="D4196" t="s">
        <v>45</v>
      </c>
      <c r="E4196" s="117">
        <v>0</v>
      </c>
    </row>
    <row r="4197" spans="1:5" x14ac:dyDescent="0.25">
      <c r="A4197" s="119" t="s">
        <v>12208</v>
      </c>
      <c r="B4197" s="119" t="s">
        <v>12209</v>
      </c>
      <c r="C4197" s="119" t="s">
        <v>301</v>
      </c>
      <c r="D4197" t="s">
        <v>45</v>
      </c>
      <c r="E4197" s="117">
        <v>0</v>
      </c>
    </row>
    <row r="4198" spans="1:5" x14ac:dyDescent="0.25">
      <c r="A4198" s="119" t="s">
        <v>4728</v>
      </c>
      <c r="B4198" s="119" t="s">
        <v>10709</v>
      </c>
      <c r="C4198" s="119" t="s">
        <v>301</v>
      </c>
      <c r="D4198" t="s">
        <v>45</v>
      </c>
      <c r="E4198" s="117">
        <v>783.59</v>
      </c>
    </row>
    <row r="4199" spans="1:5" x14ac:dyDescent="0.25">
      <c r="A4199" s="119" t="s">
        <v>4729</v>
      </c>
      <c r="B4199" s="119" t="s">
        <v>10710</v>
      </c>
      <c r="C4199" s="119" t="s">
        <v>301</v>
      </c>
      <c r="D4199" t="s">
        <v>45</v>
      </c>
      <c r="E4199" s="117">
        <v>1281.3599999999999</v>
      </c>
    </row>
    <row r="4200" spans="1:5" x14ac:dyDescent="0.25">
      <c r="A4200" s="119" t="s">
        <v>4730</v>
      </c>
      <c r="B4200" s="119" t="s">
        <v>4731</v>
      </c>
      <c r="C4200" s="119" t="s">
        <v>301</v>
      </c>
      <c r="D4200" t="s">
        <v>45</v>
      </c>
      <c r="E4200" s="117">
        <v>0</v>
      </c>
    </row>
    <row r="4201" spans="1:5" x14ac:dyDescent="0.25">
      <c r="A4201" s="119" t="s">
        <v>4732</v>
      </c>
      <c r="B4201" s="119" t="s">
        <v>4733</v>
      </c>
      <c r="C4201" s="119" t="s">
        <v>301</v>
      </c>
      <c r="D4201" t="s">
        <v>45</v>
      </c>
      <c r="E4201" s="117">
        <v>1281.3599999999999</v>
      </c>
    </row>
    <row r="4202" spans="1:5" x14ac:dyDescent="0.25">
      <c r="A4202" s="119" t="s">
        <v>4734</v>
      </c>
      <c r="B4202" s="119" t="s">
        <v>4731</v>
      </c>
      <c r="C4202" s="119" t="s">
        <v>301</v>
      </c>
      <c r="D4202" t="s">
        <v>45</v>
      </c>
      <c r="E4202" s="117">
        <v>1281.3599999999999</v>
      </c>
    </row>
    <row r="4203" spans="1:5" x14ac:dyDescent="0.25">
      <c r="A4203" s="119" t="s">
        <v>4735</v>
      </c>
      <c r="B4203" s="119" t="s">
        <v>10711</v>
      </c>
      <c r="C4203" s="119" t="s">
        <v>301</v>
      </c>
      <c r="D4203" t="s">
        <v>6759</v>
      </c>
      <c r="E4203" s="117">
        <v>1567.2</v>
      </c>
    </row>
    <row r="4204" spans="1:5" x14ac:dyDescent="0.25">
      <c r="A4204" s="119" t="s">
        <v>4736</v>
      </c>
      <c r="B4204" s="119" t="s">
        <v>10712</v>
      </c>
      <c r="C4204" s="119" t="s">
        <v>301</v>
      </c>
      <c r="D4204" t="s">
        <v>45</v>
      </c>
      <c r="E4204" s="117">
        <v>1200</v>
      </c>
    </row>
    <row r="4205" spans="1:5" x14ac:dyDescent="0.25">
      <c r="A4205" s="119" t="s">
        <v>6332</v>
      </c>
      <c r="B4205" s="119" t="s">
        <v>4737</v>
      </c>
      <c r="C4205" s="119" t="s">
        <v>301</v>
      </c>
      <c r="D4205" t="s">
        <v>45</v>
      </c>
      <c r="E4205" s="117">
        <v>1</v>
      </c>
    </row>
    <row r="4206" spans="1:5" x14ac:dyDescent="0.25">
      <c r="A4206" s="119" t="s">
        <v>4738</v>
      </c>
      <c r="B4206" s="119" t="s">
        <v>10713</v>
      </c>
      <c r="C4206" s="119" t="s">
        <v>301</v>
      </c>
      <c r="D4206" t="s">
        <v>45</v>
      </c>
      <c r="E4206" s="117">
        <v>3029.54</v>
      </c>
    </row>
    <row r="4207" spans="1:5" x14ac:dyDescent="0.25">
      <c r="A4207" s="119" t="s">
        <v>4739</v>
      </c>
      <c r="B4207" s="119" t="s">
        <v>10714</v>
      </c>
      <c r="C4207" s="119" t="s">
        <v>301</v>
      </c>
      <c r="D4207" t="s">
        <v>45</v>
      </c>
      <c r="E4207" s="117">
        <v>0</v>
      </c>
    </row>
    <row r="4208" spans="1:5" x14ac:dyDescent="0.25">
      <c r="A4208" s="119" t="s">
        <v>4740</v>
      </c>
      <c r="B4208" s="119" t="s">
        <v>10715</v>
      </c>
      <c r="C4208" s="119" t="s">
        <v>301</v>
      </c>
      <c r="D4208" t="s">
        <v>45</v>
      </c>
      <c r="E4208" s="117">
        <v>0</v>
      </c>
    </row>
    <row r="4209" spans="1:5" x14ac:dyDescent="0.25">
      <c r="A4209" s="119" t="s">
        <v>4741</v>
      </c>
      <c r="B4209" s="119" t="s">
        <v>10716</v>
      </c>
      <c r="C4209" s="119" t="s">
        <v>301</v>
      </c>
      <c r="D4209" t="s">
        <v>45</v>
      </c>
      <c r="E4209" s="117">
        <v>1590.27</v>
      </c>
    </row>
    <row r="4210" spans="1:5" x14ac:dyDescent="0.25">
      <c r="A4210" s="119" t="s">
        <v>4742</v>
      </c>
      <c r="B4210" s="119" t="s">
        <v>10717</v>
      </c>
      <c r="C4210" s="119" t="s">
        <v>301</v>
      </c>
      <c r="D4210" t="s">
        <v>49</v>
      </c>
      <c r="E4210" s="117">
        <v>811.45</v>
      </c>
    </row>
    <row r="4211" spans="1:5" x14ac:dyDescent="0.25">
      <c r="A4211" s="119" t="s">
        <v>4743</v>
      </c>
      <c r="B4211" s="119" t="s">
        <v>10718</v>
      </c>
      <c r="C4211" s="119" t="s">
        <v>301</v>
      </c>
      <c r="D4211" t="s">
        <v>45</v>
      </c>
      <c r="E4211" s="117">
        <v>0</v>
      </c>
    </row>
    <row r="4212" spans="1:5" x14ac:dyDescent="0.25">
      <c r="A4212" s="119" t="s">
        <v>4744</v>
      </c>
      <c r="B4212" s="119" t="s">
        <v>10719</v>
      </c>
      <c r="C4212" s="119" t="s">
        <v>301</v>
      </c>
      <c r="D4212" t="s">
        <v>51</v>
      </c>
      <c r="E4212" s="117">
        <v>311.49</v>
      </c>
    </row>
    <row r="4213" spans="1:5" x14ac:dyDescent="0.25">
      <c r="A4213" s="119" t="s">
        <v>4746</v>
      </c>
      <c r="B4213" s="119" t="s">
        <v>10720</v>
      </c>
      <c r="C4213" s="119" t="s">
        <v>301</v>
      </c>
      <c r="D4213" t="s">
        <v>45</v>
      </c>
      <c r="E4213" s="117">
        <v>0</v>
      </c>
    </row>
    <row r="4214" spans="1:5" x14ac:dyDescent="0.25">
      <c r="A4214" s="119" t="s">
        <v>4747</v>
      </c>
      <c r="B4214" s="119" t="s">
        <v>10721</v>
      </c>
      <c r="C4214" s="119" t="s">
        <v>301</v>
      </c>
      <c r="D4214" t="s">
        <v>6759</v>
      </c>
      <c r="E4214" s="117">
        <v>378</v>
      </c>
    </row>
    <row r="4215" spans="1:5" x14ac:dyDescent="0.25">
      <c r="A4215" s="119" t="s">
        <v>4748</v>
      </c>
      <c r="B4215" s="119" t="s">
        <v>10722</v>
      </c>
      <c r="C4215" s="119" t="s">
        <v>301</v>
      </c>
      <c r="D4215" t="s">
        <v>49</v>
      </c>
      <c r="E4215" s="117">
        <v>950</v>
      </c>
    </row>
    <row r="4216" spans="1:5" x14ac:dyDescent="0.25">
      <c r="A4216" s="119" t="s">
        <v>4749</v>
      </c>
      <c r="B4216" s="119" t="s">
        <v>4745</v>
      </c>
      <c r="C4216" s="119" t="s">
        <v>301</v>
      </c>
      <c r="D4216" t="s">
        <v>45</v>
      </c>
      <c r="E4216" s="117">
        <v>999999</v>
      </c>
    </row>
    <row r="4217" spans="1:5" x14ac:dyDescent="0.25">
      <c r="A4217" s="119" t="s">
        <v>4750</v>
      </c>
      <c r="B4217" s="119" t="s">
        <v>10723</v>
      </c>
      <c r="C4217" s="119" t="s">
        <v>301</v>
      </c>
      <c r="D4217" t="s">
        <v>45</v>
      </c>
      <c r="E4217" s="117">
        <v>1006.95</v>
      </c>
    </row>
    <row r="4218" spans="1:5" x14ac:dyDescent="0.25">
      <c r="A4218" s="119" t="s">
        <v>4751</v>
      </c>
      <c r="B4218" s="119" t="s">
        <v>10724</v>
      </c>
      <c r="C4218" s="119" t="s">
        <v>301</v>
      </c>
      <c r="D4218" t="s">
        <v>45</v>
      </c>
      <c r="E4218" s="117">
        <v>2623.18</v>
      </c>
    </row>
    <row r="4219" spans="1:5" x14ac:dyDescent="0.25">
      <c r="A4219" s="119" t="s">
        <v>4752</v>
      </c>
      <c r="B4219" s="119" t="s">
        <v>10725</v>
      </c>
      <c r="C4219" s="119" t="s">
        <v>301</v>
      </c>
      <c r="D4219" t="s">
        <v>45</v>
      </c>
      <c r="E4219" s="117">
        <v>0</v>
      </c>
    </row>
    <row r="4220" spans="1:5" x14ac:dyDescent="0.25">
      <c r="A4220" s="119" t="s">
        <v>4753</v>
      </c>
      <c r="B4220" s="119" t="s">
        <v>10726</v>
      </c>
      <c r="C4220" s="119" t="s">
        <v>301</v>
      </c>
      <c r="D4220" t="s">
        <v>45</v>
      </c>
      <c r="E4220" s="117">
        <v>1374.59</v>
      </c>
    </row>
    <row r="4221" spans="1:5" x14ac:dyDescent="0.25">
      <c r="A4221" s="119" t="s">
        <v>4754</v>
      </c>
      <c r="B4221" s="119" t="s">
        <v>10727</v>
      </c>
      <c r="C4221" s="119" t="s">
        <v>301</v>
      </c>
      <c r="D4221" t="s">
        <v>45</v>
      </c>
      <c r="E4221" s="117">
        <v>3148.95</v>
      </c>
    </row>
    <row r="4222" spans="1:5" x14ac:dyDescent="0.25">
      <c r="A4222" s="119" t="s">
        <v>4755</v>
      </c>
      <c r="B4222" s="119" t="s">
        <v>10728</v>
      </c>
      <c r="C4222" s="119" t="s">
        <v>301</v>
      </c>
      <c r="D4222" t="s">
        <v>6759</v>
      </c>
      <c r="E4222" s="117">
        <v>1911.69</v>
      </c>
    </row>
    <row r="4223" spans="1:5" x14ac:dyDescent="0.25">
      <c r="A4223" s="119" t="s">
        <v>4756</v>
      </c>
      <c r="B4223" s="119" t="s">
        <v>4757</v>
      </c>
      <c r="C4223" s="119" t="s">
        <v>301</v>
      </c>
      <c r="D4223" t="s">
        <v>45</v>
      </c>
      <c r="E4223" s="117">
        <v>0</v>
      </c>
    </row>
    <row r="4224" spans="1:5" x14ac:dyDescent="0.25">
      <c r="A4224" s="119" t="s">
        <v>6286</v>
      </c>
      <c r="B4224" s="119" t="s">
        <v>6287</v>
      </c>
      <c r="C4224" s="119" t="s">
        <v>301</v>
      </c>
      <c r="D4224" t="s">
        <v>45</v>
      </c>
      <c r="E4224" s="117">
        <v>0</v>
      </c>
    </row>
    <row r="4225" spans="1:5" x14ac:dyDescent="0.25">
      <c r="A4225" s="119" t="s">
        <v>6292</v>
      </c>
      <c r="B4225" s="119" t="s">
        <v>10729</v>
      </c>
      <c r="C4225" s="119" t="s">
        <v>301</v>
      </c>
      <c r="D4225" t="s">
        <v>51</v>
      </c>
      <c r="E4225" s="117">
        <v>1400</v>
      </c>
    </row>
    <row r="4226" spans="1:5" x14ac:dyDescent="0.25">
      <c r="A4226" s="119" t="s">
        <v>4758</v>
      </c>
      <c r="B4226" s="119" t="s">
        <v>4759</v>
      </c>
      <c r="C4226" s="119" t="s">
        <v>301</v>
      </c>
      <c r="D4226" t="s">
        <v>45</v>
      </c>
      <c r="E4226" s="117">
        <v>999999</v>
      </c>
    </row>
    <row r="4227" spans="1:5" x14ac:dyDescent="0.25">
      <c r="A4227" s="119" t="s">
        <v>4760</v>
      </c>
      <c r="B4227" s="119" t="s">
        <v>10730</v>
      </c>
      <c r="C4227" s="119" t="s">
        <v>301</v>
      </c>
      <c r="D4227" t="s">
        <v>51</v>
      </c>
      <c r="E4227" s="117">
        <v>799</v>
      </c>
    </row>
    <row r="4228" spans="1:5" x14ac:dyDescent="0.25">
      <c r="A4228" s="119" t="s">
        <v>4761</v>
      </c>
      <c r="B4228" s="119" t="s">
        <v>10731</v>
      </c>
      <c r="C4228" s="119" t="s">
        <v>301</v>
      </c>
      <c r="D4228" t="s">
        <v>45</v>
      </c>
      <c r="E4228" s="117">
        <v>0</v>
      </c>
    </row>
    <row r="4229" spans="1:5" x14ac:dyDescent="0.25">
      <c r="A4229" s="119" t="s">
        <v>4762</v>
      </c>
      <c r="B4229" s="119" t="s">
        <v>10732</v>
      </c>
      <c r="C4229" s="119" t="s">
        <v>301</v>
      </c>
      <c r="D4229" t="s">
        <v>45</v>
      </c>
      <c r="E4229" s="117">
        <v>1373.25</v>
      </c>
    </row>
    <row r="4230" spans="1:5" x14ac:dyDescent="0.25">
      <c r="A4230" s="119" t="s">
        <v>4763</v>
      </c>
      <c r="B4230" s="119" t="s">
        <v>10733</v>
      </c>
      <c r="C4230" s="119" t="s">
        <v>301</v>
      </c>
      <c r="D4230" t="s">
        <v>45</v>
      </c>
      <c r="E4230" s="117">
        <v>1743.26</v>
      </c>
    </row>
    <row r="4231" spans="1:5" x14ac:dyDescent="0.25">
      <c r="A4231" s="119" t="s">
        <v>4764</v>
      </c>
      <c r="B4231" s="119" t="s">
        <v>4765</v>
      </c>
      <c r="C4231" s="119" t="s">
        <v>301</v>
      </c>
      <c r="D4231" t="s">
        <v>45</v>
      </c>
      <c r="E4231" s="117">
        <v>0</v>
      </c>
    </row>
    <row r="4232" spans="1:5" x14ac:dyDescent="0.25">
      <c r="A4232" s="119" t="s">
        <v>8151</v>
      </c>
      <c r="B4232" s="119" t="s">
        <v>10734</v>
      </c>
      <c r="C4232" s="119" t="s">
        <v>301</v>
      </c>
      <c r="D4232" t="s">
        <v>49</v>
      </c>
      <c r="E4232" s="117">
        <v>1300</v>
      </c>
    </row>
    <row r="4233" spans="1:5" x14ac:dyDescent="0.25">
      <c r="A4233" s="119" t="s">
        <v>7695</v>
      </c>
      <c r="B4233" s="119" t="s">
        <v>4765</v>
      </c>
      <c r="C4233" s="119" t="s">
        <v>301</v>
      </c>
      <c r="D4233" t="s">
        <v>45</v>
      </c>
      <c r="E4233" s="117">
        <v>0</v>
      </c>
    </row>
    <row r="4234" spans="1:5" x14ac:dyDescent="0.25">
      <c r="A4234" s="119" t="s">
        <v>4766</v>
      </c>
      <c r="B4234" s="119" t="s">
        <v>10735</v>
      </c>
      <c r="C4234" s="119" t="s">
        <v>301</v>
      </c>
      <c r="D4234" t="s">
        <v>45</v>
      </c>
      <c r="E4234" s="117">
        <v>1531.93</v>
      </c>
    </row>
    <row r="4235" spans="1:5" x14ac:dyDescent="0.25">
      <c r="A4235" s="119" t="s">
        <v>4767</v>
      </c>
      <c r="B4235" s="119" t="s">
        <v>10736</v>
      </c>
      <c r="C4235" s="119" t="s">
        <v>301</v>
      </c>
      <c r="D4235" t="s">
        <v>45</v>
      </c>
      <c r="E4235" s="117">
        <v>1526.21</v>
      </c>
    </row>
    <row r="4236" spans="1:5" x14ac:dyDescent="0.25">
      <c r="A4236" s="119" t="s">
        <v>4768</v>
      </c>
      <c r="B4236" s="119" t="s">
        <v>4765</v>
      </c>
      <c r="C4236" s="119" t="s">
        <v>301</v>
      </c>
      <c r="D4236" t="s">
        <v>45</v>
      </c>
      <c r="E4236" s="117">
        <v>0</v>
      </c>
    </row>
    <row r="4237" spans="1:5" x14ac:dyDescent="0.25">
      <c r="A4237" s="119" t="s">
        <v>4769</v>
      </c>
      <c r="B4237" s="119" t="s">
        <v>6508</v>
      </c>
      <c r="C4237" s="119" t="s">
        <v>301</v>
      </c>
      <c r="D4237" t="s">
        <v>45</v>
      </c>
      <c r="E4237" s="117">
        <v>0</v>
      </c>
    </row>
    <row r="4238" spans="1:5" x14ac:dyDescent="0.25">
      <c r="A4238" s="119" t="s">
        <v>4770</v>
      </c>
      <c r="B4238" s="119" t="s">
        <v>10737</v>
      </c>
      <c r="C4238" s="119" t="s">
        <v>301</v>
      </c>
      <c r="D4238" t="s">
        <v>45</v>
      </c>
      <c r="E4238" s="117">
        <v>1913.56</v>
      </c>
    </row>
    <row r="4239" spans="1:5" x14ac:dyDescent="0.25">
      <c r="A4239" s="119" t="s">
        <v>4771</v>
      </c>
      <c r="B4239" s="119" t="s">
        <v>10738</v>
      </c>
      <c r="C4239" s="119" t="s">
        <v>301</v>
      </c>
      <c r="D4239" t="s">
        <v>45</v>
      </c>
      <c r="E4239" s="117">
        <v>1747.73</v>
      </c>
    </row>
    <row r="4240" spans="1:5" x14ac:dyDescent="0.25">
      <c r="A4240" s="119" t="s">
        <v>4772</v>
      </c>
      <c r="B4240" s="119" t="s">
        <v>10739</v>
      </c>
      <c r="C4240" s="119" t="s">
        <v>301</v>
      </c>
      <c r="D4240" t="s">
        <v>45</v>
      </c>
      <c r="E4240" s="117">
        <v>3030.25</v>
      </c>
    </row>
    <row r="4241" spans="1:5" x14ac:dyDescent="0.25">
      <c r="A4241" s="119" t="s">
        <v>4773</v>
      </c>
      <c r="B4241" s="119" t="s">
        <v>10740</v>
      </c>
      <c r="C4241" s="119" t="s">
        <v>301</v>
      </c>
      <c r="D4241" t="s">
        <v>45</v>
      </c>
      <c r="E4241" s="117">
        <v>1868.79</v>
      </c>
    </row>
    <row r="4242" spans="1:5" x14ac:dyDescent="0.25">
      <c r="A4242" s="119" t="s">
        <v>4774</v>
      </c>
      <c r="B4242" s="119" t="s">
        <v>4765</v>
      </c>
      <c r="C4242" s="119" t="s">
        <v>301</v>
      </c>
      <c r="D4242" t="s">
        <v>45</v>
      </c>
      <c r="E4242" s="117">
        <v>0</v>
      </c>
    </row>
    <row r="4243" spans="1:5" x14ac:dyDescent="0.25">
      <c r="A4243" s="119" t="s">
        <v>4775</v>
      </c>
      <c r="B4243" s="119" t="s">
        <v>4776</v>
      </c>
      <c r="C4243" s="119" t="s">
        <v>301</v>
      </c>
      <c r="D4243" t="s">
        <v>45</v>
      </c>
      <c r="E4243" s="117">
        <v>2199</v>
      </c>
    </row>
    <row r="4244" spans="1:5" x14ac:dyDescent="0.25">
      <c r="A4244" s="119" t="s">
        <v>4777</v>
      </c>
      <c r="B4244" s="119" t="s">
        <v>10741</v>
      </c>
      <c r="C4244" s="119" t="s">
        <v>301</v>
      </c>
      <c r="D4244" t="s">
        <v>45</v>
      </c>
      <c r="E4244" s="117">
        <v>1299</v>
      </c>
    </row>
    <row r="4245" spans="1:5" x14ac:dyDescent="0.25">
      <c r="A4245" s="119" t="s">
        <v>4778</v>
      </c>
      <c r="B4245" s="119" t="s">
        <v>4776</v>
      </c>
      <c r="C4245" s="119" t="s">
        <v>301</v>
      </c>
      <c r="D4245" t="s">
        <v>45</v>
      </c>
      <c r="E4245" s="117">
        <v>999999</v>
      </c>
    </row>
    <row r="4246" spans="1:5" x14ac:dyDescent="0.25">
      <c r="A4246" s="119" t="s">
        <v>4779</v>
      </c>
      <c r="B4246" s="119" t="s">
        <v>4780</v>
      </c>
      <c r="C4246" s="119" t="s">
        <v>301</v>
      </c>
      <c r="D4246" t="s">
        <v>45</v>
      </c>
      <c r="E4246" s="117">
        <v>769</v>
      </c>
    </row>
    <row r="4247" spans="1:5" x14ac:dyDescent="0.25">
      <c r="A4247" s="119" t="s">
        <v>4781</v>
      </c>
      <c r="B4247" s="119" t="s">
        <v>10742</v>
      </c>
      <c r="C4247" s="119" t="s">
        <v>301</v>
      </c>
      <c r="D4247" t="s">
        <v>45</v>
      </c>
      <c r="E4247" s="117">
        <v>1289.82</v>
      </c>
    </row>
    <row r="4248" spans="1:5" x14ac:dyDescent="0.25">
      <c r="A4248" s="119" t="s">
        <v>4782</v>
      </c>
      <c r="B4248" s="119" t="s">
        <v>10743</v>
      </c>
      <c r="C4248" s="119" t="s">
        <v>301</v>
      </c>
      <c r="D4248" t="s">
        <v>45</v>
      </c>
      <c r="E4248" s="117">
        <v>2146.2399999999998</v>
      </c>
    </row>
    <row r="4249" spans="1:5" x14ac:dyDescent="0.25">
      <c r="A4249" s="119" t="s">
        <v>4783</v>
      </c>
      <c r="B4249" s="119" t="s">
        <v>10744</v>
      </c>
      <c r="C4249" s="119" t="s">
        <v>301</v>
      </c>
      <c r="D4249" t="s">
        <v>45</v>
      </c>
      <c r="E4249" s="117">
        <v>1678.95</v>
      </c>
    </row>
    <row r="4250" spans="1:5" x14ac:dyDescent="0.25">
      <c r="A4250" s="119" t="s">
        <v>4784</v>
      </c>
      <c r="B4250" s="119" t="s">
        <v>10745</v>
      </c>
      <c r="C4250" s="119" t="s">
        <v>301</v>
      </c>
      <c r="D4250" t="s">
        <v>45</v>
      </c>
      <c r="E4250" s="117">
        <v>0</v>
      </c>
    </row>
    <row r="4251" spans="1:5" x14ac:dyDescent="0.25">
      <c r="A4251" s="119" t="s">
        <v>4786</v>
      </c>
      <c r="B4251" s="119" t="s">
        <v>10746</v>
      </c>
      <c r="C4251" s="119" t="s">
        <v>301</v>
      </c>
      <c r="D4251" t="s">
        <v>45</v>
      </c>
      <c r="E4251" s="117">
        <v>2445.4499999999998</v>
      </c>
    </row>
    <row r="4252" spans="1:5" x14ac:dyDescent="0.25">
      <c r="A4252" s="119" t="s">
        <v>4787</v>
      </c>
      <c r="B4252" s="119" t="s">
        <v>4788</v>
      </c>
      <c r="C4252" s="119" t="s">
        <v>301</v>
      </c>
      <c r="D4252" t="s">
        <v>45</v>
      </c>
      <c r="E4252" s="117">
        <v>0</v>
      </c>
    </row>
    <row r="4253" spans="1:5" x14ac:dyDescent="0.25">
      <c r="A4253" s="119" t="s">
        <v>4789</v>
      </c>
      <c r="B4253" s="119" t="s">
        <v>10747</v>
      </c>
      <c r="C4253" s="119" t="s">
        <v>301</v>
      </c>
      <c r="D4253" t="s">
        <v>6759</v>
      </c>
      <c r="E4253" s="117">
        <v>1678.95</v>
      </c>
    </row>
    <row r="4254" spans="1:5" x14ac:dyDescent="0.25">
      <c r="A4254" s="119" t="s">
        <v>4790</v>
      </c>
      <c r="B4254" s="119" t="s">
        <v>10745</v>
      </c>
      <c r="C4254" s="119" t="s">
        <v>301</v>
      </c>
      <c r="D4254" t="s">
        <v>45</v>
      </c>
      <c r="E4254" s="117">
        <v>0</v>
      </c>
    </row>
    <row r="4255" spans="1:5" x14ac:dyDescent="0.25">
      <c r="A4255" s="119" t="s">
        <v>4791</v>
      </c>
      <c r="B4255" s="119" t="s">
        <v>10748</v>
      </c>
      <c r="C4255" s="119" t="s">
        <v>301</v>
      </c>
      <c r="D4255" t="s">
        <v>49</v>
      </c>
      <c r="E4255" s="117">
        <v>999</v>
      </c>
    </row>
    <row r="4256" spans="1:5" x14ac:dyDescent="0.25">
      <c r="A4256" s="119" t="s">
        <v>4792</v>
      </c>
      <c r="B4256" s="119" t="s">
        <v>4785</v>
      </c>
      <c r="C4256" s="119" t="s">
        <v>301</v>
      </c>
      <c r="D4256" t="s">
        <v>45</v>
      </c>
      <c r="E4256" s="117">
        <v>999999</v>
      </c>
    </row>
    <row r="4257" spans="1:5" x14ac:dyDescent="0.25">
      <c r="A4257" s="119" t="s">
        <v>4793</v>
      </c>
      <c r="B4257" s="119" t="s">
        <v>10749</v>
      </c>
      <c r="C4257" s="119" t="s">
        <v>301</v>
      </c>
      <c r="D4257" t="s">
        <v>45</v>
      </c>
      <c r="E4257" s="117">
        <v>2980.89</v>
      </c>
    </row>
    <row r="4258" spans="1:5" x14ac:dyDescent="0.25">
      <c r="A4258" s="119" t="s">
        <v>4794</v>
      </c>
      <c r="B4258" s="119" t="s">
        <v>10750</v>
      </c>
      <c r="C4258" s="119" t="s">
        <v>301</v>
      </c>
      <c r="D4258" t="s">
        <v>45</v>
      </c>
      <c r="E4258" s="117">
        <v>1788.53</v>
      </c>
    </row>
    <row r="4259" spans="1:5" x14ac:dyDescent="0.25">
      <c r="A4259" s="119" t="s">
        <v>4795</v>
      </c>
      <c r="B4259" s="119" t="s">
        <v>10751</v>
      </c>
      <c r="C4259" s="119" t="s">
        <v>301</v>
      </c>
      <c r="D4259" t="s">
        <v>45</v>
      </c>
      <c r="E4259" s="117">
        <v>0</v>
      </c>
    </row>
    <row r="4260" spans="1:5" x14ac:dyDescent="0.25">
      <c r="A4260" s="119" t="s">
        <v>4796</v>
      </c>
      <c r="B4260" s="119" t="s">
        <v>10749</v>
      </c>
      <c r="C4260" s="119" t="s">
        <v>301</v>
      </c>
      <c r="D4260" t="s">
        <v>45</v>
      </c>
      <c r="E4260" s="117">
        <v>2980.89</v>
      </c>
    </row>
    <row r="4261" spans="1:5" x14ac:dyDescent="0.25">
      <c r="A4261" s="119" t="s">
        <v>4797</v>
      </c>
      <c r="B4261" s="119" t="s">
        <v>10750</v>
      </c>
      <c r="C4261" s="119" t="s">
        <v>301</v>
      </c>
      <c r="D4261" t="s">
        <v>45</v>
      </c>
      <c r="E4261" s="117">
        <v>1983.4</v>
      </c>
    </row>
    <row r="4262" spans="1:5" x14ac:dyDescent="0.25">
      <c r="A4262" s="119" t="s">
        <v>4798</v>
      </c>
      <c r="B4262" s="119" t="s">
        <v>10752</v>
      </c>
      <c r="C4262" s="119" t="s">
        <v>301</v>
      </c>
      <c r="D4262" t="s">
        <v>45</v>
      </c>
      <c r="E4262" s="117">
        <v>2539.9499999999998</v>
      </c>
    </row>
    <row r="4263" spans="1:5" x14ac:dyDescent="0.25">
      <c r="A4263" s="119" t="s">
        <v>4799</v>
      </c>
      <c r="B4263" s="119" t="s">
        <v>4788</v>
      </c>
      <c r="C4263" s="119" t="s">
        <v>301</v>
      </c>
      <c r="D4263" t="s">
        <v>45</v>
      </c>
      <c r="E4263" s="117">
        <v>0</v>
      </c>
    </row>
    <row r="4264" spans="1:5" x14ac:dyDescent="0.25">
      <c r="A4264" s="119" t="s">
        <v>4800</v>
      </c>
      <c r="B4264" s="119" t="s">
        <v>10753</v>
      </c>
      <c r="C4264" s="119" t="s">
        <v>301</v>
      </c>
      <c r="D4264" t="s">
        <v>6759</v>
      </c>
      <c r="E4264" s="117">
        <v>628.42999999999995</v>
      </c>
    </row>
    <row r="4265" spans="1:5" x14ac:dyDescent="0.25">
      <c r="A4265" s="119" t="s">
        <v>7696</v>
      </c>
      <c r="B4265" s="119" t="s">
        <v>10754</v>
      </c>
      <c r="C4265" s="119" t="s">
        <v>301</v>
      </c>
      <c r="D4265" t="s">
        <v>49</v>
      </c>
      <c r="E4265" s="117">
        <v>500</v>
      </c>
    </row>
    <row r="4266" spans="1:5" x14ac:dyDescent="0.25">
      <c r="A4266" s="119" t="s">
        <v>4801</v>
      </c>
      <c r="B4266" s="119" t="s">
        <v>4802</v>
      </c>
      <c r="C4266" s="119" t="s">
        <v>301</v>
      </c>
      <c r="D4266" t="s">
        <v>45</v>
      </c>
      <c r="E4266" s="117">
        <v>0</v>
      </c>
    </row>
    <row r="4267" spans="1:5" x14ac:dyDescent="0.25">
      <c r="A4267" s="119" t="s">
        <v>4803</v>
      </c>
      <c r="B4267" s="119" t="s">
        <v>10755</v>
      </c>
      <c r="C4267" s="119" t="s">
        <v>301</v>
      </c>
      <c r="D4267" t="s">
        <v>49</v>
      </c>
      <c r="E4267" s="117">
        <v>433.15</v>
      </c>
    </row>
    <row r="4268" spans="1:5" x14ac:dyDescent="0.25">
      <c r="A4268" s="119" t="s">
        <v>4804</v>
      </c>
      <c r="B4268" s="119" t="s">
        <v>10756</v>
      </c>
      <c r="C4268" s="119" t="s">
        <v>301</v>
      </c>
      <c r="D4268" t="s">
        <v>45</v>
      </c>
      <c r="E4268" s="117">
        <v>0</v>
      </c>
    </row>
    <row r="4269" spans="1:5" x14ac:dyDescent="0.25">
      <c r="A4269" s="119" t="s">
        <v>4805</v>
      </c>
      <c r="B4269" s="119" t="s">
        <v>881</v>
      </c>
      <c r="C4269" s="119" t="s">
        <v>66</v>
      </c>
      <c r="D4269" t="s">
        <v>45</v>
      </c>
      <c r="E4269" s="117">
        <v>0</v>
      </c>
    </row>
    <row r="4270" spans="1:5" x14ac:dyDescent="0.25">
      <c r="A4270" s="119" t="s">
        <v>4806</v>
      </c>
      <c r="B4270" s="119" t="s">
        <v>10757</v>
      </c>
      <c r="C4270" s="119" t="s">
        <v>301</v>
      </c>
      <c r="D4270" t="s">
        <v>49</v>
      </c>
      <c r="E4270" s="117">
        <v>765.45</v>
      </c>
    </row>
    <row r="4271" spans="1:5" x14ac:dyDescent="0.25">
      <c r="A4271" s="119" t="s">
        <v>4807</v>
      </c>
      <c r="B4271" s="119" t="s">
        <v>4808</v>
      </c>
      <c r="C4271" s="119" t="s">
        <v>301</v>
      </c>
      <c r="D4271" t="s">
        <v>45</v>
      </c>
      <c r="E4271" s="117">
        <v>0</v>
      </c>
    </row>
    <row r="4272" spans="1:5" x14ac:dyDescent="0.25">
      <c r="A4272" s="119" t="s">
        <v>4809</v>
      </c>
      <c r="B4272" s="119" t="s">
        <v>10758</v>
      </c>
      <c r="C4272" s="119" t="s">
        <v>301</v>
      </c>
      <c r="D4272" t="s">
        <v>6759</v>
      </c>
      <c r="E4272" s="117">
        <v>1758.49</v>
      </c>
    </row>
    <row r="4273" spans="1:5" x14ac:dyDescent="0.25">
      <c r="A4273" s="119" t="s">
        <v>4810</v>
      </c>
      <c r="B4273" s="119" t="s">
        <v>4808</v>
      </c>
      <c r="C4273" s="119" t="s">
        <v>301</v>
      </c>
      <c r="D4273" t="s">
        <v>45</v>
      </c>
      <c r="E4273" s="117">
        <v>0</v>
      </c>
    </row>
    <row r="4274" spans="1:5" x14ac:dyDescent="0.25">
      <c r="A4274" s="119" t="s">
        <v>4811</v>
      </c>
      <c r="B4274" s="119" t="s">
        <v>10759</v>
      </c>
      <c r="C4274" s="119" t="s">
        <v>301</v>
      </c>
      <c r="D4274" t="s">
        <v>49</v>
      </c>
      <c r="E4274" s="117">
        <v>3799</v>
      </c>
    </row>
    <row r="4275" spans="1:5" x14ac:dyDescent="0.25">
      <c r="A4275" s="119" t="s">
        <v>4812</v>
      </c>
      <c r="B4275" s="119" t="s">
        <v>4813</v>
      </c>
      <c r="C4275" s="119" t="s">
        <v>301</v>
      </c>
      <c r="D4275" t="s">
        <v>6759</v>
      </c>
      <c r="E4275" s="117">
        <v>999999</v>
      </c>
    </row>
    <row r="4276" spans="1:5" x14ac:dyDescent="0.25">
      <c r="A4276" s="119" t="s">
        <v>11917</v>
      </c>
      <c r="B4276" s="119" t="s">
        <v>10760</v>
      </c>
      <c r="C4276" s="119" t="s">
        <v>301</v>
      </c>
      <c r="D4276" t="s">
        <v>45</v>
      </c>
      <c r="E4276" s="117">
        <v>999999</v>
      </c>
    </row>
    <row r="4277" spans="1:5" x14ac:dyDescent="0.25">
      <c r="A4277" s="119" t="s">
        <v>7697</v>
      </c>
      <c r="B4277" s="119" t="s">
        <v>10760</v>
      </c>
      <c r="C4277" s="119" t="s">
        <v>301</v>
      </c>
      <c r="D4277" t="s">
        <v>51</v>
      </c>
      <c r="E4277" s="117">
        <v>1200</v>
      </c>
    </row>
    <row r="4278" spans="1:5" x14ac:dyDescent="0.25">
      <c r="A4278" s="119" t="s">
        <v>7698</v>
      </c>
      <c r="B4278" s="119" t="s">
        <v>10761</v>
      </c>
      <c r="C4278" s="119" t="s">
        <v>301</v>
      </c>
      <c r="D4278" t="s">
        <v>49</v>
      </c>
      <c r="E4278" s="117">
        <v>800</v>
      </c>
    </row>
    <row r="4279" spans="1:5" x14ac:dyDescent="0.25">
      <c r="A4279" s="119" t="s">
        <v>6852</v>
      </c>
      <c r="B4279" s="119" t="s">
        <v>4813</v>
      </c>
      <c r="C4279" s="119" t="s">
        <v>301</v>
      </c>
      <c r="D4279" t="s">
        <v>45</v>
      </c>
      <c r="E4279" s="117">
        <v>0</v>
      </c>
    </row>
    <row r="4280" spans="1:5" x14ac:dyDescent="0.25">
      <c r="A4280" s="119" t="s">
        <v>4814</v>
      </c>
      <c r="B4280" s="119" t="s">
        <v>10762</v>
      </c>
      <c r="C4280" s="119" t="s">
        <v>301</v>
      </c>
      <c r="D4280" t="s">
        <v>45</v>
      </c>
      <c r="E4280" s="117">
        <v>7379.15</v>
      </c>
    </row>
    <row r="4281" spans="1:5" x14ac:dyDescent="0.25">
      <c r="A4281" s="119" t="s">
        <v>4815</v>
      </c>
      <c r="B4281" s="119" t="s">
        <v>10763</v>
      </c>
      <c r="C4281" s="119" t="s">
        <v>301</v>
      </c>
      <c r="D4281" t="s">
        <v>45</v>
      </c>
      <c r="E4281" s="117">
        <v>0</v>
      </c>
    </row>
    <row r="4282" spans="1:5" x14ac:dyDescent="0.25">
      <c r="A4282" s="119" t="s">
        <v>4816</v>
      </c>
      <c r="B4282" s="119" t="s">
        <v>10764</v>
      </c>
      <c r="C4282" s="119" t="s">
        <v>301</v>
      </c>
      <c r="D4282" t="s">
        <v>45</v>
      </c>
      <c r="E4282" s="117">
        <v>6517.28</v>
      </c>
    </row>
    <row r="4283" spans="1:5" x14ac:dyDescent="0.25">
      <c r="A4283" s="119" t="s">
        <v>4817</v>
      </c>
      <c r="B4283" s="119" t="s">
        <v>10765</v>
      </c>
      <c r="C4283" s="119" t="s">
        <v>301</v>
      </c>
      <c r="D4283" t="s">
        <v>45</v>
      </c>
      <c r="E4283" s="117">
        <v>7344.17</v>
      </c>
    </row>
    <row r="4284" spans="1:5" x14ac:dyDescent="0.25">
      <c r="A4284" s="119" t="s">
        <v>4818</v>
      </c>
      <c r="B4284" s="119" t="s">
        <v>4819</v>
      </c>
      <c r="C4284" s="119" t="s">
        <v>301</v>
      </c>
      <c r="D4284" t="s">
        <v>45</v>
      </c>
      <c r="E4284" s="117">
        <v>0</v>
      </c>
    </row>
    <row r="4285" spans="1:5" x14ac:dyDescent="0.25">
      <c r="A4285" s="119" t="s">
        <v>4820</v>
      </c>
      <c r="B4285" s="119" t="s">
        <v>10766</v>
      </c>
      <c r="C4285" s="119" t="s">
        <v>301</v>
      </c>
      <c r="D4285" t="s">
        <v>45</v>
      </c>
      <c r="E4285" s="117">
        <v>618.45000000000005</v>
      </c>
    </row>
    <row r="4286" spans="1:5" x14ac:dyDescent="0.25">
      <c r="A4286" s="119" t="s">
        <v>4821</v>
      </c>
      <c r="B4286" s="119" t="s">
        <v>10767</v>
      </c>
      <c r="C4286" s="119" t="s">
        <v>301</v>
      </c>
      <c r="D4286" t="s">
        <v>45</v>
      </c>
      <c r="E4286" s="117">
        <v>1461.37</v>
      </c>
    </row>
    <row r="4287" spans="1:5" x14ac:dyDescent="0.25">
      <c r="A4287" s="119" t="s">
        <v>4822</v>
      </c>
      <c r="B4287" s="119" t="s">
        <v>10768</v>
      </c>
      <c r="C4287" s="119" t="s">
        <v>301</v>
      </c>
      <c r="D4287" t="s">
        <v>45</v>
      </c>
      <c r="E4287" s="117">
        <v>1016.6</v>
      </c>
    </row>
    <row r="4288" spans="1:5" x14ac:dyDescent="0.25">
      <c r="A4288" s="119" t="s">
        <v>4823</v>
      </c>
      <c r="B4288" s="119" t="s">
        <v>10769</v>
      </c>
      <c r="C4288" s="119" t="s">
        <v>301</v>
      </c>
      <c r="D4288" t="s">
        <v>45</v>
      </c>
      <c r="E4288" s="117">
        <v>1092.8499999999999</v>
      </c>
    </row>
    <row r="4289" spans="1:5" x14ac:dyDescent="0.25">
      <c r="A4289" s="119" t="s">
        <v>4824</v>
      </c>
      <c r="B4289" s="119" t="s">
        <v>10770</v>
      </c>
      <c r="C4289" s="119" t="s">
        <v>301</v>
      </c>
      <c r="D4289" t="s">
        <v>6759</v>
      </c>
      <c r="E4289" s="117">
        <v>1270.75</v>
      </c>
    </row>
    <row r="4290" spans="1:5" x14ac:dyDescent="0.25">
      <c r="A4290" s="119" t="s">
        <v>4825</v>
      </c>
      <c r="B4290" s="119" t="s">
        <v>10771</v>
      </c>
      <c r="C4290" s="119" t="s">
        <v>301</v>
      </c>
      <c r="D4290" t="s">
        <v>45</v>
      </c>
      <c r="E4290" s="117">
        <v>1690.16</v>
      </c>
    </row>
    <row r="4291" spans="1:5" x14ac:dyDescent="0.25">
      <c r="A4291" s="119" t="s">
        <v>4826</v>
      </c>
      <c r="B4291" s="119" t="s">
        <v>10772</v>
      </c>
      <c r="C4291" s="119" t="s">
        <v>301</v>
      </c>
      <c r="D4291" t="s">
        <v>45</v>
      </c>
      <c r="E4291" s="117">
        <v>1016.6</v>
      </c>
    </row>
    <row r="4292" spans="1:5" x14ac:dyDescent="0.25">
      <c r="A4292" s="119" t="s">
        <v>4827</v>
      </c>
      <c r="B4292" s="119" t="s">
        <v>4828</v>
      </c>
      <c r="C4292" s="119" t="s">
        <v>301</v>
      </c>
      <c r="D4292" t="s">
        <v>45</v>
      </c>
      <c r="E4292" s="117">
        <v>0</v>
      </c>
    </row>
    <row r="4293" spans="1:5" x14ac:dyDescent="0.25">
      <c r="A4293" s="119" t="s">
        <v>4829</v>
      </c>
      <c r="B4293" s="119" t="s">
        <v>10773</v>
      </c>
      <c r="C4293" s="119" t="s">
        <v>301</v>
      </c>
      <c r="D4293" t="s">
        <v>45</v>
      </c>
      <c r="E4293" s="117">
        <v>1129.78</v>
      </c>
    </row>
    <row r="4294" spans="1:5" x14ac:dyDescent="0.25">
      <c r="A4294" s="119" t="s">
        <v>4830</v>
      </c>
      <c r="B4294" s="119" t="s">
        <v>10771</v>
      </c>
      <c r="C4294" s="119" t="s">
        <v>301</v>
      </c>
      <c r="D4294" t="s">
        <v>45</v>
      </c>
      <c r="E4294" s="117">
        <v>1752.77</v>
      </c>
    </row>
    <row r="4295" spans="1:5" x14ac:dyDescent="0.25">
      <c r="A4295" s="119" t="s">
        <v>4831</v>
      </c>
      <c r="B4295" s="119" t="s">
        <v>10772</v>
      </c>
      <c r="C4295" s="119" t="s">
        <v>301</v>
      </c>
      <c r="D4295" t="s">
        <v>6759</v>
      </c>
      <c r="E4295" s="117">
        <v>1185.45</v>
      </c>
    </row>
    <row r="4296" spans="1:5" x14ac:dyDescent="0.25">
      <c r="A4296" s="119" t="s">
        <v>4832</v>
      </c>
      <c r="B4296" s="119" t="s">
        <v>4833</v>
      </c>
      <c r="C4296" s="119" t="s">
        <v>301</v>
      </c>
      <c r="D4296" t="s">
        <v>45</v>
      </c>
      <c r="E4296" s="117">
        <v>0</v>
      </c>
    </row>
    <row r="4297" spans="1:5" x14ac:dyDescent="0.25">
      <c r="A4297" s="119" t="s">
        <v>4834</v>
      </c>
      <c r="B4297" s="119" t="s">
        <v>10774</v>
      </c>
      <c r="C4297" s="119" t="s">
        <v>301</v>
      </c>
      <c r="D4297" t="s">
        <v>45</v>
      </c>
      <c r="E4297" s="117">
        <v>1311.45</v>
      </c>
    </row>
    <row r="4298" spans="1:5" x14ac:dyDescent="0.25">
      <c r="A4298" s="119" t="s">
        <v>4835</v>
      </c>
      <c r="B4298" s="119" t="s">
        <v>4836</v>
      </c>
      <c r="C4298" s="119" t="s">
        <v>301</v>
      </c>
      <c r="D4298" t="s">
        <v>45</v>
      </c>
      <c r="E4298" s="117">
        <v>0</v>
      </c>
    </row>
    <row r="4299" spans="1:5" x14ac:dyDescent="0.25">
      <c r="A4299" s="119" t="s">
        <v>4837</v>
      </c>
      <c r="B4299" s="119" t="s">
        <v>10775</v>
      </c>
      <c r="C4299" s="119" t="s">
        <v>301</v>
      </c>
      <c r="D4299" t="s">
        <v>6760</v>
      </c>
      <c r="E4299" s="117">
        <v>1300.95</v>
      </c>
    </row>
    <row r="4300" spans="1:5" x14ac:dyDescent="0.25">
      <c r="A4300" s="119" t="s">
        <v>4838</v>
      </c>
      <c r="B4300" s="119" t="s">
        <v>4839</v>
      </c>
      <c r="C4300" s="119" t="s">
        <v>301</v>
      </c>
      <c r="D4300" t="s">
        <v>45</v>
      </c>
      <c r="E4300" s="117">
        <v>0</v>
      </c>
    </row>
    <row r="4301" spans="1:5" x14ac:dyDescent="0.25">
      <c r="A4301" s="119" t="s">
        <v>4840</v>
      </c>
      <c r="B4301" s="119" t="s">
        <v>4841</v>
      </c>
      <c r="C4301" s="119" t="s">
        <v>301</v>
      </c>
      <c r="D4301" t="s">
        <v>45</v>
      </c>
      <c r="E4301" s="117">
        <v>670.95</v>
      </c>
    </row>
    <row r="4302" spans="1:5" x14ac:dyDescent="0.25">
      <c r="A4302" s="119" t="s">
        <v>4842</v>
      </c>
      <c r="B4302" s="119" t="s">
        <v>4839</v>
      </c>
      <c r="C4302" s="119" t="s">
        <v>301</v>
      </c>
      <c r="D4302" t="s">
        <v>45</v>
      </c>
      <c r="E4302" s="117">
        <v>999999</v>
      </c>
    </row>
    <row r="4303" spans="1:5" x14ac:dyDescent="0.25">
      <c r="A4303" s="119" t="s">
        <v>4843</v>
      </c>
      <c r="B4303" s="119" t="s">
        <v>10776</v>
      </c>
      <c r="C4303" s="119" t="s">
        <v>301</v>
      </c>
      <c r="D4303" t="s">
        <v>45</v>
      </c>
      <c r="E4303" s="117">
        <v>1489.95</v>
      </c>
    </row>
    <row r="4304" spans="1:5" x14ac:dyDescent="0.25">
      <c r="A4304" s="119" t="s">
        <v>4844</v>
      </c>
      <c r="B4304" s="119" t="s">
        <v>10777</v>
      </c>
      <c r="C4304" s="119" t="s">
        <v>301</v>
      </c>
      <c r="D4304" t="s">
        <v>45</v>
      </c>
      <c r="E4304" s="117">
        <v>922.95</v>
      </c>
    </row>
    <row r="4305" spans="1:5" x14ac:dyDescent="0.25">
      <c r="A4305" s="119" t="s">
        <v>4845</v>
      </c>
      <c r="B4305" s="119" t="s">
        <v>10777</v>
      </c>
      <c r="C4305" s="119" t="s">
        <v>301</v>
      </c>
      <c r="D4305" t="s">
        <v>6759</v>
      </c>
      <c r="E4305" s="117">
        <v>999999</v>
      </c>
    </row>
    <row r="4306" spans="1:5" x14ac:dyDescent="0.25">
      <c r="A4306" s="119" t="s">
        <v>4846</v>
      </c>
      <c r="B4306" s="119" t="s">
        <v>10778</v>
      </c>
      <c r="C4306" s="119" t="s">
        <v>301</v>
      </c>
      <c r="D4306" t="s">
        <v>45</v>
      </c>
      <c r="E4306" s="117">
        <v>0</v>
      </c>
    </row>
    <row r="4307" spans="1:5" x14ac:dyDescent="0.25">
      <c r="A4307" s="119" t="s">
        <v>4847</v>
      </c>
      <c r="B4307" s="119" t="s">
        <v>10779</v>
      </c>
      <c r="C4307" s="119" t="s">
        <v>301</v>
      </c>
      <c r="D4307" t="s">
        <v>45</v>
      </c>
      <c r="E4307" s="117">
        <v>2068.14</v>
      </c>
    </row>
    <row r="4308" spans="1:5" x14ac:dyDescent="0.25">
      <c r="A4308" s="119" t="s">
        <v>4848</v>
      </c>
      <c r="B4308" s="119" t="s">
        <v>10780</v>
      </c>
      <c r="C4308" s="119" t="s">
        <v>301</v>
      </c>
      <c r="D4308" t="s">
        <v>45</v>
      </c>
      <c r="E4308" s="117">
        <v>0</v>
      </c>
    </row>
    <row r="4309" spans="1:5" x14ac:dyDescent="0.25">
      <c r="A4309" s="119" t="s">
        <v>4849</v>
      </c>
      <c r="B4309" s="119" t="s">
        <v>10781</v>
      </c>
      <c r="C4309" s="119" t="s">
        <v>301</v>
      </c>
      <c r="D4309" t="s">
        <v>45</v>
      </c>
      <c r="E4309" s="117">
        <v>0</v>
      </c>
    </row>
    <row r="4310" spans="1:5" x14ac:dyDescent="0.25">
      <c r="A4310" s="119" t="s">
        <v>4850</v>
      </c>
      <c r="B4310" s="119" t="s">
        <v>10782</v>
      </c>
      <c r="C4310" s="119" t="s">
        <v>301</v>
      </c>
      <c r="D4310" t="s">
        <v>45</v>
      </c>
      <c r="E4310" s="117">
        <v>0</v>
      </c>
    </row>
    <row r="4311" spans="1:5" x14ac:dyDescent="0.25">
      <c r="A4311" s="119" t="s">
        <v>4851</v>
      </c>
      <c r="B4311" s="119" t="s">
        <v>10783</v>
      </c>
      <c r="C4311" s="119" t="s">
        <v>301</v>
      </c>
      <c r="D4311" t="s">
        <v>45</v>
      </c>
      <c r="E4311" s="117">
        <v>1779.05</v>
      </c>
    </row>
    <row r="4312" spans="1:5" x14ac:dyDescent="0.25">
      <c r="A4312" s="119" t="s">
        <v>4852</v>
      </c>
      <c r="B4312" s="119" t="s">
        <v>10783</v>
      </c>
      <c r="C4312" s="119" t="s">
        <v>301</v>
      </c>
      <c r="D4312" t="s">
        <v>45</v>
      </c>
      <c r="E4312" s="117">
        <v>1779.05</v>
      </c>
    </row>
    <row r="4313" spans="1:5" x14ac:dyDescent="0.25">
      <c r="A4313" s="119" t="s">
        <v>4853</v>
      </c>
      <c r="B4313" s="119" t="s">
        <v>10784</v>
      </c>
      <c r="C4313" s="119" t="s">
        <v>301</v>
      </c>
      <c r="D4313" t="s">
        <v>45</v>
      </c>
      <c r="E4313" s="117">
        <v>2245.9499999999998</v>
      </c>
    </row>
    <row r="4314" spans="1:5" x14ac:dyDescent="0.25">
      <c r="A4314" s="119" t="s">
        <v>4854</v>
      </c>
      <c r="B4314" s="119" t="s">
        <v>10785</v>
      </c>
      <c r="C4314" s="119" t="s">
        <v>301</v>
      </c>
      <c r="D4314" t="s">
        <v>45</v>
      </c>
      <c r="E4314" s="117">
        <v>0</v>
      </c>
    </row>
    <row r="4315" spans="1:5" x14ac:dyDescent="0.25">
      <c r="A4315" s="119" t="s">
        <v>4855</v>
      </c>
      <c r="B4315" s="119" t="s">
        <v>10786</v>
      </c>
      <c r="C4315" s="119" t="s">
        <v>301</v>
      </c>
      <c r="D4315" t="s">
        <v>49</v>
      </c>
      <c r="E4315" s="117">
        <v>807.45</v>
      </c>
    </row>
    <row r="4316" spans="1:5" x14ac:dyDescent="0.25">
      <c r="A4316" s="119" t="s">
        <v>4856</v>
      </c>
      <c r="B4316" s="119" t="s">
        <v>4857</v>
      </c>
      <c r="C4316" s="119" t="s">
        <v>301</v>
      </c>
      <c r="D4316" t="s">
        <v>45</v>
      </c>
      <c r="E4316" s="117">
        <v>0</v>
      </c>
    </row>
    <row r="4317" spans="1:5" x14ac:dyDescent="0.25">
      <c r="A4317" s="119" t="s">
        <v>4858</v>
      </c>
      <c r="B4317" s="119" t="s">
        <v>4859</v>
      </c>
      <c r="C4317" s="119" t="s">
        <v>301</v>
      </c>
      <c r="D4317" t="s">
        <v>6759</v>
      </c>
      <c r="E4317" s="117">
        <v>1549</v>
      </c>
    </row>
    <row r="4318" spans="1:5" x14ac:dyDescent="0.25">
      <c r="A4318" s="119" t="s">
        <v>4860</v>
      </c>
      <c r="B4318" s="119" t="s">
        <v>4857</v>
      </c>
      <c r="C4318" s="119" t="s">
        <v>301</v>
      </c>
      <c r="D4318" t="s">
        <v>6759</v>
      </c>
      <c r="E4318" s="117">
        <v>999999</v>
      </c>
    </row>
    <row r="4319" spans="1:5" x14ac:dyDescent="0.25">
      <c r="A4319" s="119" t="s">
        <v>4861</v>
      </c>
      <c r="B4319" s="119" t="s">
        <v>10787</v>
      </c>
      <c r="C4319" s="119" t="s">
        <v>301</v>
      </c>
      <c r="D4319" t="s">
        <v>6760</v>
      </c>
      <c r="E4319" s="117">
        <v>1599</v>
      </c>
    </row>
    <row r="4320" spans="1:5" x14ac:dyDescent="0.25">
      <c r="A4320" s="119" t="s">
        <v>4862</v>
      </c>
      <c r="B4320" s="119" t="s">
        <v>4857</v>
      </c>
      <c r="C4320" s="119" t="s">
        <v>301</v>
      </c>
      <c r="D4320" t="s">
        <v>45</v>
      </c>
      <c r="E4320" s="117">
        <v>0</v>
      </c>
    </row>
    <row r="4321" spans="1:5" x14ac:dyDescent="0.25">
      <c r="A4321" s="119" t="s">
        <v>4863</v>
      </c>
      <c r="B4321" s="119" t="s">
        <v>10788</v>
      </c>
      <c r="C4321" s="119" t="s">
        <v>301</v>
      </c>
      <c r="D4321" t="s">
        <v>45</v>
      </c>
      <c r="E4321" s="117">
        <v>2571.59</v>
      </c>
    </row>
    <row r="4322" spans="1:5" x14ac:dyDescent="0.25">
      <c r="A4322" s="119" t="s">
        <v>4864</v>
      </c>
      <c r="B4322" s="119" t="s">
        <v>10789</v>
      </c>
      <c r="C4322" s="119" t="s">
        <v>301</v>
      </c>
      <c r="D4322" t="s">
        <v>49</v>
      </c>
      <c r="E4322" s="117">
        <v>1576.07</v>
      </c>
    </row>
    <row r="4323" spans="1:5" x14ac:dyDescent="0.25">
      <c r="A4323" s="119" t="s">
        <v>4865</v>
      </c>
      <c r="B4323" s="119" t="s">
        <v>7699</v>
      </c>
      <c r="C4323" s="119" t="s">
        <v>301</v>
      </c>
      <c r="D4323" t="s">
        <v>6759</v>
      </c>
      <c r="E4323" s="117">
        <v>1285.29</v>
      </c>
    </row>
    <row r="4324" spans="1:5" x14ac:dyDescent="0.25">
      <c r="A4324" s="119" t="s">
        <v>4866</v>
      </c>
      <c r="B4324" s="119" t="s">
        <v>4867</v>
      </c>
      <c r="C4324" s="119" t="s">
        <v>301</v>
      </c>
      <c r="D4324" t="s">
        <v>45</v>
      </c>
      <c r="E4324" s="117">
        <v>0</v>
      </c>
    </row>
    <row r="4325" spans="1:5" x14ac:dyDescent="0.25">
      <c r="A4325" s="119" t="s">
        <v>6317</v>
      </c>
      <c r="B4325" s="119" t="s">
        <v>10790</v>
      </c>
      <c r="C4325" s="119" t="s">
        <v>301</v>
      </c>
      <c r="D4325" t="s">
        <v>49</v>
      </c>
      <c r="E4325" s="117">
        <v>1600</v>
      </c>
    </row>
    <row r="4326" spans="1:5" x14ac:dyDescent="0.25">
      <c r="A4326" s="119" t="s">
        <v>6584</v>
      </c>
      <c r="B4326" s="119" t="s">
        <v>10791</v>
      </c>
      <c r="C4326" s="119" t="s">
        <v>301</v>
      </c>
      <c r="D4326" t="s">
        <v>6759</v>
      </c>
      <c r="E4326" s="117">
        <v>99999</v>
      </c>
    </row>
    <row r="4327" spans="1:5" x14ac:dyDescent="0.25">
      <c r="A4327" s="119" t="s">
        <v>4868</v>
      </c>
      <c r="B4327" s="119" t="s">
        <v>10792</v>
      </c>
      <c r="C4327" s="119" t="s">
        <v>301</v>
      </c>
      <c r="D4327" t="s">
        <v>6759</v>
      </c>
      <c r="E4327" s="117">
        <v>1003.98</v>
      </c>
    </row>
    <row r="4328" spans="1:5" x14ac:dyDescent="0.25">
      <c r="A4328" s="119" t="s">
        <v>4869</v>
      </c>
      <c r="B4328" s="119" t="s">
        <v>4870</v>
      </c>
      <c r="C4328" s="119" t="s">
        <v>301</v>
      </c>
      <c r="D4328" t="s">
        <v>45</v>
      </c>
      <c r="E4328" s="117">
        <v>0</v>
      </c>
    </row>
    <row r="4329" spans="1:5" x14ac:dyDescent="0.25">
      <c r="A4329" s="119" t="s">
        <v>4871</v>
      </c>
      <c r="B4329" s="119" t="s">
        <v>10793</v>
      </c>
      <c r="C4329" s="119" t="s">
        <v>301</v>
      </c>
      <c r="D4329" t="s">
        <v>45</v>
      </c>
      <c r="E4329" s="117">
        <v>1442.21</v>
      </c>
    </row>
    <row r="4330" spans="1:5" x14ac:dyDescent="0.25">
      <c r="A4330" s="119" t="s">
        <v>4872</v>
      </c>
      <c r="B4330" s="119" t="s">
        <v>10794</v>
      </c>
      <c r="C4330" s="119" t="s">
        <v>301</v>
      </c>
      <c r="D4330" t="s">
        <v>45</v>
      </c>
      <c r="E4330" s="117">
        <v>1817.17</v>
      </c>
    </row>
    <row r="4331" spans="1:5" x14ac:dyDescent="0.25">
      <c r="A4331" s="119" t="s">
        <v>4873</v>
      </c>
      <c r="B4331" s="119" t="s">
        <v>10795</v>
      </c>
      <c r="C4331" s="119" t="s">
        <v>301</v>
      </c>
      <c r="D4331" t="s">
        <v>45</v>
      </c>
      <c r="E4331" s="117">
        <v>2913.65</v>
      </c>
    </row>
    <row r="4332" spans="1:5" x14ac:dyDescent="0.25">
      <c r="A4332" s="119" t="s">
        <v>4874</v>
      </c>
      <c r="B4332" s="119" t="s">
        <v>10796</v>
      </c>
      <c r="C4332" s="119" t="s">
        <v>301</v>
      </c>
      <c r="D4332" t="s">
        <v>45</v>
      </c>
      <c r="E4332" s="117">
        <v>3146.83</v>
      </c>
    </row>
    <row r="4333" spans="1:5" x14ac:dyDescent="0.25">
      <c r="A4333" s="119" t="s">
        <v>4875</v>
      </c>
      <c r="B4333" s="119" t="s">
        <v>10797</v>
      </c>
      <c r="C4333" s="119" t="s">
        <v>301</v>
      </c>
      <c r="D4333" t="s">
        <v>45</v>
      </c>
      <c r="E4333" s="117">
        <v>1460.1</v>
      </c>
    </row>
    <row r="4334" spans="1:5" x14ac:dyDescent="0.25">
      <c r="A4334" s="119" t="s">
        <v>4876</v>
      </c>
      <c r="B4334" s="119" t="s">
        <v>10798</v>
      </c>
      <c r="C4334" s="119" t="s">
        <v>301</v>
      </c>
      <c r="D4334" t="s">
        <v>45</v>
      </c>
      <c r="E4334" s="117">
        <v>2040.36</v>
      </c>
    </row>
    <row r="4335" spans="1:5" x14ac:dyDescent="0.25">
      <c r="A4335" s="119" t="s">
        <v>4877</v>
      </c>
      <c r="B4335" s="119" t="s">
        <v>10799</v>
      </c>
      <c r="C4335" s="119" t="s">
        <v>301</v>
      </c>
      <c r="D4335" t="s">
        <v>45</v>
      </c>
      <c r="E4335" s="117">
        <v>2244.33</v>
      </c>
    </row>
    <row r="4336" spans="1:5" x14ac:dyDescent="0.25">
      <c r="A4336" s="119" t="s">
        <v>4878</v>
      </c>
      <c r="B4336" s="119" t="s">
        <v>10800</v>
      </c>
      <c r="C4336" s="119" t="s">
        <v>301</v>
      </c>
      <c r="D4336" t="s">
        <v>45</v>
      </c>
      <c r="E4336" s="117">
        <v>2098.9499999999998</v>
      </c>
    </row>
    <row r="4337" spans="1:5" x14ac:dyDescent="0.25">
      <c r="A4337" s="119" t="s">
        <v>4879</v>
      </c>
      <c r="B4337" s="119" t="s">
        <v>10801</v>
      </c>
      <c r="C4337" s="119" t="s">
        <v>301</v>
      </c>
      <c r="D4337" t="s">
        <v>45</v>
      </c>
      <c r="E4337" s="117">
        <v>0</v>
      </c>
    </row>
    <row r="4338" spans="1:5" x14ac:dyDescent="0.25">
      <c r="A4338" s="119" t="s">
        <v>4880</v>
      </c>
      <c r="B4338" s="119" t="s">
        <v>10802</v>
      </c>
      <c r="C4338" s="119" t="s">
        <v>301</v>
      </c>
      <c r="D4338" t="s">
        <v>45</v>
      </c>
      <c r="E4338" s="117">
        <v>1399</v>
      </c>
    </row>
    <row r="4339" spans="1:5" x14ac:dyDescent="0.25">
      <c r="A4339" s="119" t="s">
        <v>4881</v>
      </c>
      <c r="B4339" s="119" t="s">
        <v>10803</v>
      </c>
      <c r="C4339" s="119" t="s">
        <v>301</v>
      </c>
      <c r="D4339" t="s">
        <v>45</v>
      </c>
      <c r="E4339" s="117">
        <v>0</v>
      </c>
    </row>
    <row r="4340" spans="1:5" x14ac:dyDescent="0.25">
      <c r="A4340" s="119" t="s">
        <v>4882</v>
      </c>
      <c r="B4340" s="119" t="s">
        <v>10804</v>
      </c>
      <c r="C4340" s="119" t="s">
        <v>301</v>
      </c>
      <c r="D4340" t="s">
        <v>45</v>
      </c>
      <c r="E4340" s="117">
        <v>1678.95</v>
      </c>
    </row>
    <row r="4341" spans="1:5" x14ac:dyDescent="0.25">
      <c r="A4341" s="119" t="s">
        <v>4883</v>
      </c>
      <c r="B4341" s="119" t="s">
        <v>10805</v>
      </c>
      <c r="C4341" s="119" t="s">
        <v>301</v>
      </c>
      <c r="D4341" t="s">
        <v>45</v>
      </c>
      <c r="E4341" s="117">
        <v>1626.45</v>
      </c>
    </row>
    <row r="4342" spans="1:5" x14ac:dyDescent="0.25">
      <c r="A4342" s="119" t="s">
        <v>4884</v>
      </c>
      <c r="B4342" s="119" t="s">
        <v>10806</v>
      </c>
      <c r="C4342" s="119" t="s">
        <v>301</v>
      </c>
      <c r="D4342" t="s">
        <v>49</v>
      </c>
      <c r="E4342" s="117">
        <v>858.49</v>
      </c>
    </row>
    <row r="4343" spans="1:5" x14ac:dyDescent="0.25">
      <c r="A4343" s="119" t="s">
        <v>4885</v>
      </c>
      <c r="B4343" s="119" t="s">
        <v>10807</v>
      </c>
      <c r="C4343" s="119" t="s">
        <v>301</v>
      </c>
      <c r="D4343" t="s">
        <v>6759</v>
      </c>
      <c r="E4343" s="117">
        <v>2623.95</v>
      </c>
    </row>
    <row r="4344" spans="1:5" x14ac:dyDescent="0.25">
      <c r="A4344" s="119" t="s">
        <v>4887</v>
      </c>
      <c r="B4344" s="119" t="s">
        <v>4886</v>
      </c>
      <c r="C4344" s="119" t="s">
        <v>301</v>
      </c>
      <c r="D4344" t="s">
        <v>45</v>
      </c>
      <c r="E4344" s="117">
        <v>0</v>
      </c>
    </row>
    <row r="4345" spans="1:5" x14ac:dyDescent="0.25">
      <c r="A4345" s="119" t="s">
        <v>4888</v>
      </c>
      <c r="B4345" s="119" t="s">
        <v>10808</v>
      </c>
      <c r="C4345" s="119" t="s">
        <v>301</v>
      </c>
      <c r="D4345" t="s">
        <v>49</v>
      </c>
      <c r="E4345" s="117">
        <v>1888.95</v>
      </c>
    </row>
    <row r="4346" spans="1:5" x14ac:dyDescent="0.25">
      <c r="A4346" s="119" t="s">
        <v>4889</v>
      </c>
      <c r="B4346" s="119" t="s">
        <v>4890</v>
      </c>
      <c r="C4346" s="119" t="s">
        <v>301</v>
      </c>
      <c r="D4346" t="s">
        <v>45</v>
      </c>
      <c r="E4346" s="117">
        <v>0</v>
      </c>
    </row>
    <row r="4347" spans="1:5" x14ac:dyDescent="0.25">
      <c r="A4347" s="119" t="s">
        <v>4891</v>
      </c>
      <c r="B4347" s="119" t="s">
        <v>10809</v>
      </c>
      <c r="C4347" s="119" t="s">
        <v>301</v>
      </c>
      <c r="D4347" t="s">
        <v>45</v>
      </c>
      <c r="E4347" s="117">
        <v>1888.95</v>
      </c>
    </row>
    <row r="4348" spans="1:5" x14ac:dyDescent="0.25">
      <c r="A4348" s="119" t="s">
        <v>4892</v>
      </c>
      <c r="B4348" s="119" t="s">
        <v>4890</v>
      </c>
      <c r="C4348" s="119" t="s">
        <v>301</v>
      </c>
      <c r="D4348" t="s">
        <v>45</v>
      </c>
      <c r="E4348" s="117">
        <v>0</v>
      </c>
    </row>
    <row r="4349" spans="1:5" x14ac:dyDescent="0.25">
      <c r="A4349" s="119" t="s">
        <v>4893</v>
      </c>
      <c r="B4349" s="119" t="s">
        <v>10810</v>
      </c>
      <c r="C4349" s="119" t="s">
        <v>301</v>
      </c>
      <c r="D4349" t="s">
        <v>49</v>
      </c>
      <c r="E4349" s="117">
        <v>954.45</v>
      </c>
    </row>
    <row r="4350" spans="1:5" x14ac:dyDescent="0.25">
      <c r="A4350" s="119" t="s">
        <v>4894</v>
      </c>
      <c r="B4350" s="119" t="s">
        <v>10811</v>
      </c>
      <c r="C4350" s="119" t="s">
        <v>301</v>
      </c>
      <c r="D4350" t="s">
        <v>45</v>
      </c>
      <c r="E4350" s="117">
        <v>0</v>
      </c>
    </row>
    <row r="4351" spans="1:5" x14ac:dyDescent="0.25">
      <c r="A4351" s="119" t="s">
        <v>4895</v>
      </c>
      <c r="B4351" s="119" t="s">
        <v>10812</v>
      </c>
      <c r="C4351" s="119" t="s">
        <v>301</v>
      </c>
      <c r="D4351" t="s">
        <v>45</v>
      </c>
      <c r="E4351" s="117">
        <v>0</v>
      </c>
    </row>
    <row r="4352" spans="1:5" x14ac:dyDescent="0.25">
      <c r="A4352" s="119" t="s">
        <v>4896</v>
      </c>
      <c r="B4352" s="119" t="s">
        <v>10813</v>
      </c>
      <c r="C4352" s="119" t="s">
        <v>301</v>
      </c>
      <c r="D4352" t="s">
        <v>45</v>
      </c>
      <c r="E4352" s="117">
        <v>0</v>
      </c>
    </row>
    <row r="4353" spans="1:5" x14ac:dyDescent="0.25">
      <c r="A4353" s="119" t="s">
        <v>4897</v>
      </c>
      <c r="B4353" s="119" t="s">
        <v>10814</v>
      </c>
      <c r="C4353" s="119" t="s">
        <v>301</v>
      </c>
      <c r="D4353" t="s">
        <v>45</v>
      </c>
      <c r="E4353" s="117">
        <v>2287.36</v>
      </c>
    </row>
    <row r="4354" spans="1:5" x14ac:dyDescent="0.25">
      <c r="A4354" s="119" t="s">
        <v>4898</v>
      </c>
      <c r="B4354" s="119" t="s">
        <v>10815</v>
      </c>
      <c r="C4354" s="119" t="s">
        <v>301</v>
      </c>
      <c r="D4354" t="s">
        <v>45</v>
      </c>
      <c r="E4354" s="117">
        <v>0</v>
      </c>
    </row>
    <row r="4355" spans="1:5" x14ac:dyDescent="0.25">
      <c r="A4355" s="119" t="s">
        <v>4899</v>
      </c>
      <c r="B4355" s="119" t="s">
        <v>10816</v>
      </c>
      <c r="C4355" s="119" t="s">
        <v>301</v>
      </c>
      <c r="D4355" t="s">
        <v>45</v>
      </c>
      <c r="E4355" s="117">
        <v>0</v>
      </c>
    </row>
    <row r="4356" spans="1:5" x14ac:dyDescent="0.25">
      <c r="A4356" s="119" t="s">
        <v>4900</v>
      </c>
      <c r="B4356" s="119" t="s">
        <v>10817</v>
      </c>
      <c r="C4356" s="119" t="s">
        <v>301</v>
      </c>
      <c r="D4356" t="s">
        <v>45</v>
      </c>
      <c r="E4356" s="117">
        <v>2214.4499999999998</v>
      </c>
    </row>
    <row r="4357" spans="1:5" x14ac:dyDescent="0.25">
      <c r="A4357" s="119" t="s">
        <v>4901</v>
      </c>
      <c r="B4357" s="119" t="s">
        <v>10818</v>
      </c>
      <c r="C4357" s="119" t="s">
        <v>301</v>
      </c>
      <c r="D4357" t="s">
        <v>45</v>
      </c>
      <c r="E4357" s="117">
        <v>0</v>
      </c>
    </row>
    <row r="4358" spans="1:5" x14ac:dyDescent="0.25">
      <c r="A4358" s="119" t="s">
        <v>4902</v>
      </c>
      <c r="B4358" s="119" t="s">
        <v>10819</v>
      </c>
      <c r="C4358" s="119" t="s">
        <v>301</v>
      </c>
      <c r="D4358" t="s">
        <v>6759</v>
      </c>
      <c r="E4358" s="117">
        <v>1339.51</v>
      </c>
    </row>
    <row r="4359" spans="1:5" x14ac:dyDescent="0.25">
      <c r="A4359" s="119" t="s">
        <v>4903</v>
      </c>
      <c r="B4359" s="119" t="s">
        <v>4904</v>
      </c>
      <c r="C4359" s="119" t="s">
        <v>301</v>
      </c>
      <c r="D4359" t="s">
        <v>45</v>
      </c>
      <c r="E4359" s="117">
        <v>999999</v>
      </c>
    </row>
    <row r="4360" spans="1:5" x14ac:dyDescent="0.25">
      <c r="A4360" s="119" t="s">
        <v>4905</v>
      </c>
      <c r="B4360" s="119" t="s">
        <v>10820</v>
      </c>
      <c r="C4360" s="119" t="s">
        <v>301</v>
      </c>
      <c r="D4360" t="s">
        <v>49</v>
      </c>
      <c r="E4360" s="117">
        <v>4237.3500000000004</v>
      </c>
    </row>
    <row r="4361" spans="1:5" x14ac:dyDescent="0.25">
      <c r="A4361" s="119" t="s">
        <v>4906</v>
      </c>
      <c r="B4361" s="119" t="s">
        <v>10821</v>
      </c>
      <c r="C4361" s="119" t="s">
        <v>301</v>
      </c>
      <c r="D4361" t="s">
        <v>6759</v>
      </c>
      <c r="E4361" s="117">
        <v>2009.75</v>
      </c>
    </row>
    <row r="4362" spans="1:5" x14ac:dyDescent="0.25">
      <c r="A4362" s="119" t="s">
        <v>4907</v>
      </c>
      <c r="B4362" s="119" t="s">
        <v>4908</v>
      </c>
      <c r="C4362" s="119" t="s">
        <v>301</v>
      </c>
      <c r="D4362" t="s">
        <v>45</v>
      </c>
      <c r="E4362" s="117">
        <v>0</v>
      </c>
    </row>
    <row r="4363" spans="1:5" x14ac:dyDescent="0.25">
      <c r="A4363" s="119" t="s">
        <v>4909</v>
      </c>
      <c r="B4363" s="119" t="s">
        <v>7700</v>
      </c>
      <c r="C4363" s="119" t="s">
        <v>301</v>
      </c>
      <c r="D4363" t="s">
        <v>45</v>
      </c>
      <c r="E4363" s="117">
        <v>7884.28</v>
      </c>
    </row>
    <row r="4364" spans="1:5" x14ac:dyDescent="0.25">
      <c r="A4364" s="119" t="s">
        <v>4910</v>
      </c>
      <c r="B4364" s="119" t="s">
        <v>10822</v>
      </c>
      <c r="C4364" s="119" t="s">
        <v>301</v>
      </c>
      <c r="D4364" t="s">
        <v>49</v>
      </c>
      <c r="E4364" s="117">
        <v>684.04</v>
      </c>
    </row>
    <row r="4365" spans="1:5" x14ac:dyDescent="0.25">
      <c r="A4365" s="119" t="s">
        <v>4911</v>
      </c>
      <c r="B4365" s="119" t="s">
        <v>4912</v>
      </c>
      <c r="C4365" s="119" t="s">
        <v>301</v>
      </c>
      <c r="D4365" t="s">
        <v>45</v>
      </c>
      <c r="E4365" s="117">
        <v>0</v>
      </c>
    </row>
    <row r="4366" spans="1:5" x14ac:dyDescent="0.25">
      <c r="A4366" s="119" t="s">
        <v>12003</v>
      </c>
      <c r="B4366" s="119" t="s">
        <v>4912</v>
      </c>
      <c r="C4366" s="119" t="s">
        <v>301</v>
      </c>
      <c r="D4366" t="s">
        <v>45</v>
      </c>
      <c r="E4366" s="117">
        <v>0</v>
      </c>
    </row>
    <row r="4367" spans="1:5" x14ac:dyDescent="0.25">
      <c r="A4367" s="119" t="s">
        <v>12004</v>
      </c>
      <c r="B4367" s="119" t="s">
        <v>4912</v>
      </c>
      <c r="C4367" s="119" t="s">
        <v>301</v>
      </c>
      <c r="D4367" t="s">
        <v>45</v>
      </c>
      <c r="E4367" s="117">
        <v>0</v>
      </c>
    </row>
    <row r="4368" spans="1:5" x14ac:dyDescent="0.25">
      <c r="A4368" s="119" t="s">
        <v>4913</v>
      </c>
      <c r="B4368" s="119" t="s">
        <v>10823</v>
      </c>
      <c r="C4368" s="119" t="s">
        <v>301</v>
      </c>
      <c r="D4368" t="s">
        <v>6759</v>
      </c>
      <c r="E4368" s="117">
        <v>8869.94</v>
      </c>
    </row>
    <row r="4369" spans="1:5" x14ac:dyDescent="0.25">
      <c r="A4369" s="119" t="s">
        <v>4914</v>
      </c>
      <c r="B4369" s="119" t="s">
        <v>4915</v>
      </c>
      <c r="C4369" s="119" t="s">
        <v>301</v>
      </c>
      <c r="D4369" t="s">
        <v>45</v>
      </c>
      <c r="E4369" s="117">
        <v>0</v>
      </c>
    </row>
    <row r="4370" spans="1:5" x14ac:dyDescent="0.25">
      <c r="A4370" s="119" t="s">
        <v>7701</v>
      </c>
      <c r="B4370" s="119" t="s">
        <v>11830</v>
      </c>
      <c r="C4370" s="119" t="s">
        <v>66</v>
      </c>
      <c r="D4370" t="s">
        <v>6759</v>
      </c>
      <c r="E4370" s="117">
        <v>308.83999999999997</v>
      </c>
    </row>
    <row r="4371" spans="1:5" x14ac:dyDescent="0.25">
      <c r="A4371" s="119" t="s">
        <v>4916</v>
      </c>
      <c r="B4371" s="119" t="s">
        <v>10824</v>
      </c>
      <c r="C4371" s="119" t="s">
        <v>66</v>
      </c>
      <c r="D4371" t="s">
        <v>45</v>
      </c>
      <c r="E4371" s="117">
        <v>10.11</v>
      </c>
    </row>
    <row r="4372" spans="1:5" x14ac:dyDescent="0.25">
      <c r="A4372" s="119" t="s">
        <v>4917</v>
      </c>
      <c r="B4372" s="119" t="s">
        <v>10824</v>
      </c>
      <c r="C4372" s="119" t="s">
        <v>66</v>
      </c>
      <c r="D4372" t="s">
        <v>45</v>
      </c>
      <c r="E4372" s="117">
        <v>13.48</v>
      </c>
    </row>
    <row r="4373" spans="1:5" x14ac:dyDescent="0.25">
      <c r="A4373" s="119" t="s">
        <v>4918</v>
      </c>
      <c r="B4373" s="119" t="s">
        <v>10825</v>
      </c>
      <c r="C4373" s="119" t="s">
        <v>66</v>
      </c>
      <c r="D4373" t="s">
        <v>51</v>
      </c>
      <c r="E4373" s="117">
        <v>12.36</v>
      </c>
    </row>
    <row r="4374" spans="1:5" x14ac:dyDescent="0.25">
      <c r="A4374" s="119" t="s">
        <v>4919</v>
      </c>
      <c r="B4374" s="119" t="s">
        <v>10826</v>
      </c>
      <c r="C4374" s="119" t="s">
        <v>66</v>
      </c>
      <c r="D4374" t="s">
        <v>45</v>
      </c>
      <c r="E4374" s="117">
        <v>12.36</v>
      </c>
    </row>
    <row r="4375" spans="1:5" x14ac:dyDescent="0.25">
      <c r="A4375" s="119" t="s">
        <v>4920</v>
      </c>
      <c r="B4375" s="119" t="s">
        <v>10826</v>
      </c>
      <c r="C4375" s="119" t="s">
        <v>66</v>
      </c>
      <c r="D4375" t="s">
        <v>45</v>
      </c>
      <c r="E4375" s="117">
        <v>16.850000000000001</v>
      </c>
    </row>
    <row r="4376" spans="1:5" x14ac:dyDescent="0.25">
      <c r="A4376" s="119" t="s">
        <v>4921</v>
      </c>
      <c r="B4376" s="119" t="s">
        <v>10827</v>
      </c>
      <c r="C4376" s="119" t="s">
        <v>66</v>
      </c>
      <c r="D4376" t="s">
        <v>45</v>
      </c>
      <c r="E4376" s="117">
        <v>13.48</v>
      </c>
    </row>
    <row r="4377" spans="1:5" x14ac:dyDescent="0.25">
      <c r="A4377" s="119" t="s">
        <v>4922</v>
      </c>
      <c r="B4377" s="119" t="s">
        <v>4923</v>
      </c>
      <c r="C4377" s="119" t="s">
        <v>66</v>
      </c>
      <c r="D4377" t="s">
        <v>51</v>
      </c>
      <c r="E4377" s="117">
        <v>15</v>
      </c>
    </row>
    <row r="4378" spans="1:5" x14ac:dyDescent="0.25">
      <c r="A4378" s="119" t="s">
        <v>4924</v>
      </c>
      <c r="B4378" s="119" t="s">
        <v>10828</v>
      </c>
      <c r="C4378" s="119" t="s">
        <v>66</v>
      </c>
      <c r="D4378" t="s">
        <v>49</v>
      </c>
      <c r="E4378" s="117">
        <v>18</v>
      </c>
    </row>
    <row r="4379" spans="1:5" x14ac:dyDescent="0.25">
      <c r="A4379" s="119" t="s">
        <v>8152</v>
      </c>
      <c r="B4379" s="119" t="s">
        <v>8153</v>
      </c>
      <c r="C4379" s="119" t="s">
        <v>66</v>
      </c>
      <c r="D4379" t="s">
        <v>6759</v>
      </c>
      <c r="E4379" s="117">
        <v>160</v>
      </c>
    </row>
    <row r="4380" spans="1:5" x14ac:dyDescent="0.25">
      <c r="A4380" s="119" t="s">
        <v>4925</v>
      </c>
      <c r="B4380" s="119" t="s">
        <v>6301</v>
      </c>
      <c r="C4380" s="119" t="s">
        <v>66</v>
      </c>
      <c r="D4380" t="s">
        <v>49</v>
      </c>
      <c r="E4380" s="117">
        <v>22</v>
      </c>
    </row>
    <row r="4381" spans="1:5" x14ac:dyDescent="0.25">
      <c r="A4381" s="119" t="s">
        <v>4926</v>
      </c>
      <c r="B4381" s="119" t="s">
        <v>10829</v>
      </c>
      <c r="C4381" s="119" t="s">
        <v>66</v>
      </c>
      <c r="D4381" t="s">
        <v>49</v>
      </c>
      <c r="E4381" s="117">
        <v>20</v>
      </c>
    </row>
    <row r="4382" spans="1:5" x14ac:dyDescent="0.25">
      <c r="A4382" s="119" t="s">
        <v>4927</v>
      </c>
      <c r="B4382" s="119" t="s">
        <v>4928</v>
      </c>
      <c r="C4382" s="119" t="s">
        <v>66</v>
      </c>
      <c r="D4382" t="s">
        <v>6760</v>
      </c>
      <c r="E4382" s="117">
        <v>247.17</v>
      </c>
    </row>
    <row r="4383" spans="1:5" x14ac:dyDescent="0.25">
      <c r="A4383" s="119" t="s">
        <v>4929</v>
      </c>
      <c r="B4383" s="119" t="s">
        <v>10830</v>
      </c>
      <c r="C4383" s="119" t="s">
        <v>66</v>
      </c>
      <c r="D4383" t="s">
        <v>49</v>
      </c>
      <c r="E4383" s="117">
        <v>140.69999999999999</v>
      </c>
    </row>
    <row r="4384" spans="1:5" x14ac:dyDescent="0.25">
      <c r="A4384" s="119" t="s">
        <v>4930</v>
      </c>
      <c r="B4384" s="119" t="s">
        <v>4931</v>
      </c>
      <c r="C4384" s="119" t="s">
        <v>66</v>
      </c>
      <c r="D4384" t="s">
        <v>45</v>
      </c>
      <c r="E4384" s="117">
        <v>178.61</v>
      </c>
    </row>
    <row r="4385" spans="1:5" x14ac:dyDescent="0.25">
      <c r="A4385" s="119" t="s">
        <v>4932</v>
      </c>
      <c r="B4385" s="119" t="s">
        <v>4933</v>
      </c>
      <c r="C4385" s="119" t="s">
        <v>66</v>
      </c>
      <c r="D4385" t="s">
        <v>45</v>
      </c>
      <c r="E4385" s="117">
        <v>178.61</v>
      </c>
    </row>
    <row r="4386" spans="1:5" x14ac:dyDescent="0.25">
      <c r="A4386" s="119" t="s">
        <v>4934</v>
      </c>
      <c r="B4386" s="119" t="s">
        <v>4935</v>
      </c>
      <c r="C4386" s="119" t="s">
        <v>66</v>
      </c>
      <c r="D4386" t="s">
        <v>45</v>
      </c>
      <c r="E4386" s="117">
        <v>0</v>
      </c>
    </row>
    <row r="4387" spans="1:5" x14ac:dyDescent="0.25">
      <c r="A4387" s="119" t="s">
        <v>4936</v>
      </c>
      <c r="B4387" s="119" t="s">
        <v>4937</v>
      </c>
      <c r="C4387" s="119" t="s">
        <v>66</v>
      </c>
      <c r="D4387" t="s">
        <v>45</v>
      </c>
      <c r="E4387" s="117">
        <v>189</v>
      </c>
    </row>
    <row r="4388" spans="1:5" x14ac:dyDescent="0.25">
      <c r="A4388" s="119" t="s">
        <v>4938</v>
      </c>
      <c r="B4388" s="119" t="s">
        <v>6509</v>
      </c>
      <c r="C4388" s="119" t="s">
        <v>66</v>
      </c>
      <c r="D4388" t="s">
        <v>6759</v>
      </c>
      <c r="E4388" s="117">
        <v>589.89</v>
      </c>
    </row>
    <row r="4389" spans="1:5" x14ac:dyDescent="0.25">
      <c r="A4389" s="119" t="s">
        <v>4939</v>
      </c>
      <c r="B4389" s="119" t="s">
        <v>10831</v>
      </c>
      <c r="C4389" s="119" t="s">
        <v>66</v>
      </c>
      <c r="D4389" t="s">
        <v>45</v>
      </c>
      <c r="E4389" s="117">
        <v>142.59</v>
      </c>
    </row>
    <row r="4390" spans="1:5" x14ac:dyDescent="0.25">
      <c r="A4390" s="119" t="s">
        <v>4940</v>
      </c>
      <c r="B4390" s="119" t="s">
        <v>2079</v>
      </c>
      <c r="C4390" s="119" t="s">
        <v>66</v>
      </c>
      <c r="D4390" t="s">
        <v>45</v>
      </c>
      <c r="E4390" s="117">
        <v>221.78</v>
      </c>
    </row>
    <row r="4391" spans="1:5" x14ac:dyDescent="0.25">
      <c r="A4391" s="119" t="s">
        <v>4941</v>
      </c>
      <c r="B4391" s="119" t="s">
        <v>4942</v>
      </c>
      <c r="C4391" s="119" t="s">
        <v>66</v>
      </c>
      <c r="D4391" t="s">
        <v>51</v>
      </c>
      <c r="E4391" s="117">
        <v>5.69</v>
      </c>
    </row>
    <row r="4392" spans="1:5" x14ac:dyDescent="0.25">
      <c r="A4392" s="119" t="s">
        <v>6272</v>
      </c>
      <c r="B4392" s="119" t="s">
        <v>9162</v>
      </c>
      <c r="C4392" s="119" t="s">
        <v>66</v>
      </c>
      <c r="D4392" t="s">
        <v>45</v>
      </c>
      <c r="E4392" s="117">
        <v>0</v>
      </c>
    </row>
    <row r="4393" spans="1:5" x14ac:dyDescent="0.25">
      <c r="A4393" s="119" t="s">
        <v>4943</v>
      </c>
      <c r="B4393" s="119" t="s">
        <v>4944</v>
      </c>
      <c r="C4393" s="119" t="s">
        <v>66</v>
      </c>
      <c r="D4393" t="s">
        <v>45</v>
      </c>
      <c r="E4393" s="117">
        <v>23.59</v>
      </c>
    </row>
    <row r="4394" spans="1:5" x14ac:dyDescent="0.25">
      <c r="A4394" s="119" t="s">
        <v>4945</v>
      </c>
      <c r="B4394" s="119" t="s">
        <v>10832</v>
      </c>
      <c r="C4394" s="119" t="s">
        <v>66</v>
      </c>
      <c r="D4394" t="s">
        <v>51</v>
      </c>
      <c r="E4394" s="117">
        <v>16.100000000000001</v>
      </c>
    </row>
    <row r="4395" spans="1:5" x14ac:dyDescent="0.25">
      <c r="A4395" s="119" t="s">
        <v>4946</v>
      </c>
      <c r="B4395" s="119" t="s">
        <v>10833</v>
      </c>
      <c r="C4395" s="119" t="s">
        <v>66</v>
      </c>
      <c r="D4395" t="s">
        <v>51</v>
      </c>
      <c r="E4395" s="117">
        <v>16.100000000000001</v>
      </c>
    </row>
    <row r="4396" spans="1:5" x14ac:dyDescent="0.25">
      <c r="A4396" s="119" t="s">
        <v>4947</v>
      </c>
      <c r="B4396" s="119" t="s">
        <v>10834</v>
      </c>
      <c r="C4396" s="119" t="s">
        <v>66</v>
      </c>
      <c r="D4396" t="s">
        <v>49</v>
      </c>
      <c r="E4396" s="117">
        <v>16.100000000000001</v>
      </c>
    </row>
    <row r="4397" spans="1:5" x14ac:dyDescent="0.25">
      <c r="A4397" s="119" t="s">
        <v>4948</v>
      </c>
      <c r="B4397" s="119" t="s">
        <v>10835</v>
      </c>
      <c r="C4397" s="119" t="s">
        <v>66</v>
      </c>
      <c r="D4397" t="s">
        <v>51</v>
      </c>
      <c r="E4397" s="117">
        <v>16.100000000000001</v>
      </c>
    </row>
    <row r="4398" spans="1:5" x14ac:dyDescent="0.25">
      <c r="A4398" s="119" t="s">
        <v>4949</v>
      </c>
      <c r="B4398" s="119" t="s">
        <v>4950</v>
      </c>
      <c r="C4398" s="119" t="s">
        <v>66</v>
      </c>
      <c r="D4398" t="s">
        <v>51</v>
      </c>
      <c r="E4398" s="117">
        <v>16.100000000000001</v>
      </c>
    </row>
    <row r="4399" spans="1:5" x14ac:dyDescent="0.25">
      <c r="A4399" s="119" t="s">
        <v>4951</v>
      </c>
      <c r="B4399" s="119" t="s">
        <v>4952</v>
      </c>
      <c r="C4399" s="119" t="s">
        <v>66</v>
      </c>
      <c r="D4399" t="s">
        <v>51</v>
      </c>
      <c r="E4399" s="117">
        <v>16.100000000000001</v>
      </c>
    </row>
    <row r="4400" spans="1:5" x14ac:dyDescent="0.25">
      <c r="A4400" s="119" t="s">
        <v>4953</v>
      </c>
      <c r="B4400" s="119" t="s">
        <v>4954</v>
      </c>
      <c r="C4400" s="119" t="s">
        <v>66</v>
      </c>
      <c r="D4400" t="s">
        <v>51</v>
      </c>
      <c r="E4400" s="117">
        <v>16.100000000000001</v>
      </c>
    </row>
    <row r="4401" spans="1:5" x14ac:dyDescent="0.25">
      <c r="A4401" s="119" t="s">
        <v>4955</v>
      </c>
      <c r="B4401" s="119" t="s">
        <v>10836</v>
      </c>
      <c r="C4401" s="119" t="s">
        <v>66</v>
      </c>
      <c r="D4401" t="s">
        <v>6760</v>
      </c>
      <c r="E4401" s="117">
        <v>16.100000000000001</v>
      </c>
    </row>
    <row r="4402" spans="1:5" x14ac:dyDescent="0.25">
      <c r="A4402" s="119" t="s">
        <v>4956</v>
      </c>
      <c r="B4402" s="119" t="s">
        <v>10837</v>
      </c>
      <c r="C4402" s="119" t="s">
        <v>66</v>
      </c>
      <c r="D4402" t="s">
        <v>6760</v>
      </c>
      <c r="E4402" s="117">
        <v>16.100000000000001</v>
      </c>
    </row>
    <row r="4403" spans="1:5" x14ac:dyDescent="0.25">
      <c r="A4403" s="119" t="s">
        <v>4957</v>
      </c>
      <c r="B4403" s="119" t="s">
        <v>10838</v>
      </c>
      <c r="C4403" s="119" t="s">
        <v>66</v>
      </c>
      <c r="D4403" t="s">
        <v>49</v>
      </c>
      <c r="E4403" s="117">
        <v>16.100000000000001</v>
      </c>
    </row>
    <row r="4404" spans="1:5" x14ac:dyDescent="0.25">
      <c r="A4404" s="119" t="s">
        <v>4958</v>
      </c>
      <c r="B4404" s="119" t="s">
        <v>10839</v>
      </c>
      <c r="C4404" s="119" t="s">
        <v>66</v>
      </c>
      <c r="D4404" t="s">
        <v>49</v>
      </c>
      <c r="E4404" s="117">
        <v>16.100000000000001</v>
      </c>
    </row>
    <row r="4405" spans="1:5" x14ac:dyDescent="0.25">
      <c r="A4405" s="119" t="s">
        <v>4959</v>
      </c>
      <c r="B4405" s="119" t="s">
        <v>10840</v>
      </c>
      <c r="C4405" s="119" t="s">
        <v>66</v>
      </c>
      <c r="D4405" t="s">
        <v>6759</v>
      </c>
      <c r="E4405" s="117">
        <v>16.100000000000001</v>
      </c>
    </row>
    <row r="4406" spans="1:5" x14ac:dyDescent="0.25">
      <c r="A4406" s="119" t="s">
        <v>4960</v>
      </c>
      <c r="B4406" s="119" t="s">
        <v>10841</v>
      </c>
      <c r="C4406" s="119" t="s">
        <v>66</v>
      </c>
      <c r="D4406" t="s">
        <v>49</v>
      </c>
      <c r="E4406" s="117">
        <v>82.99</v>
      </c>
    </row>
    <row r="4407" spans="1:5" x14ac:dyDescent="0.25">
      <c r="A4407" s="119" t="s">
        <v>4961</v>
      </c>
      <c r="B4407" s="119" t="s">
        <v>10842</v>
      </c>
      <c r="C4407" s="119" t="s">
        <v>66</v>
      </c>
      <c r="D4407" t="s">
        <v>6760</v>
      </c>
      <c r="E4407" s="117">
        <v>82.99</v>
      </c>
    </row>
    <row r="4408" spans="1:5" x14ac:dyDescent="0.25">
      <c r="A4408" s="119" t="s">
        <v>4962</v>
      </c>
      <c r="B4408" s="119" t="s">
        <v>10843</v>
      </c>
      <c r="C4408" s="119" t="s">
        <v>66</v>
      </c>
      <c r="D4408" t="s">
        <v>51</v>
      </c>
      <c r="E4408" s="117">
        <v>22.3</v>
      </c>
    </row>
    <row r="4409" spans="1:5" x14ac:dyDescent="0.25">
      <c r="A4409" s="119" t="s">
        <v>4963</v>
      </c>
      <c r="B4409" s="119" t="s">
        <v>4964</v>
      </c>
      <c r="C4409" s="119" t="s">
        <v>66</v>
      </c>
      <c r="D4409" t="s">
        <v>51</v>
      </c>
      <c r="E4409" s="117">
        <v>22.3</v>
      </c>
    </row>
    <row r="4410" spans="1:5" x14ac:dyDescent="0.25">
      <c r="A4410" s="119" t="s">
        <v>4965</v>
      </c>
      <c r="B4410" s="119" t="s">
        <v>10844</v>
      </c>
      <c r="C4410" s="119" t="s">
        <v>66</v>
      </c>
      <c r="D4410" t="s">
        <v>45</v>
      </c>
      <c r="E4410" s="117">
        <v>22.3</v>
      </c>
    </row>
    <row r="4411" spans="1:5" x14ac:dyDescent="0.25">
      <c r="A4411" s="119" t="s">
        <v>4966</v>
      </c>
      <c r="B4411" s="119" t="s">
        <v>4967</v>
      </c>
      <c r="C4411" s="119" t="s">
        <v>66</v>
      </c>
      <c r="D4411" t="s">
        <v>51</v>
      </c>
      <c r="E4411" s="117">
        <v>22.3</v>
      </c>
    </row>
    <row r="4412" spans="1:5" x14ac:dyDescent="0.25">
      <c r="A4412" s="119" t="s">
        <v>4968</v>
      </c>
      <c r="B4412" s="119" t="s">
        <v>4969</v>
      </c>
      <c r="C4412" s="119" t="s">
        <v>66</v>
      </c>
      <c r="D4412" t="s">
        <v>51</v>
      </c>
      <c r="E4412" s="117">
        <v>22.29</v>
      </c>
    </row>
    <row r="4413" spans="1:5" x14ac:dyDescent="0.25">
      <c r="A4413" s="119" t="s">
        <v>4970</v>
      </c>
      <c r="B4413" s="119" t="s">
        <v>10845</v>
      </c>
      <c r="C4413" s="119" t="s">
        <v>66</v>
      </c>
      <c r="D4413" t="s">
        <v>51</v>
      </c>
      <c r="E4413" s="117">
        <v>22.3</v>
      </c>
    </row>
    <row r="4414" spans="1:5" x14ac:dyDescent="0.25">
      <c r="A4414" s="119" t="s">
        <v>4971</v>
      </c>
      <c r="B4414" s="119" t="s">
        <v>10846</v>
      </c>
      <c r="C4414" s="119" t="s">
        <v>66</v>
      </c>
      <c r="D4414" t="s">
        <v>49</v>
      </c>
      <c r="E4414" s="117">
        <v>22.3</v>
      </c>
    </row>
    <row r="4415" spans="1:5" x14ac:dyDescent="0.25">
      <c r="A4415" s="119" t="s">
        <v>4972</v>
      </c>
      <c r="B4415" s="119" t="s">
        <v>10847</v>
      </c>
      <c r="C4415" s="119" t="s">
        <v>66</v>
      </c>
      <c r="D4415" t="s">
        <v>6759</v>
      </c>
      <c r="E4415" s="117">
        <v>22.3</v>
      </c>
    </row>
    <row r="4416" spans="1:5" x14ac:dyDescent="0.25">
      <c r="A4416" s="119" t="s">
        <v>4973</v>
      </c>
      <c r="B4416" s="119" t="s">
        <v>10848</v>
      </c>
      <c r="C4416" s="119" t="s">
        <v>66</v>
      </c>
      <c r="D4416" t="s">
        <v>49</v>
      </c>
      <c r="E4416" s="117">
        <v>22.3</v>
      </c>
    </row>
    <row r="4417" spans="1:5" x14ac:dyDescent="0.25">
      <c r="A4417" s="119" t="s">
        <v>4974</v>
      </c>
      <c r="B4417" s="119" t="s">
        <v>10849</v>
      </c>
      <c r="C4417" s="119" t="s">
        <v>66</v>
      </c>
      <c r="D4417" t="s">
        <v>45</v>
      </c>
      <c r="E4417" s="117">
        <v>22.3</v>
      </c>
    </row>
    <row r="4418" spans="1:5" x14ac:dyDescent="0.25">
      <c r="A4418" s="119" t="s">
        <v>4975</v>
      </c>
      <c r="B4418" s="119" t="s">
        <v>10850</v>
      </c>
      <c r="C4418" s="119" t="s">
        <v>66</v>
      </c>
      <c r="D4418" t="s">
        <v>49</v>
      </c>
      <c r="E4418" s="117">
        <v>22.3</v>
      </c>
    </row>
    <row r="4419" spans="1:5" x14ac:dyDescent="0.25">
      <c r="A4419" s="119" t="s">
        <v>4976</v>
      </c>
      <c r="B4419" s="119" t="s">
        <v>10851</v>
      </c>
      <c r="C4419" s="119" t="s">
        <v>66</v>
      </c>
      <c r="D4419" t="s">
        <v>49</v>
      </c>
      <c r="E4419" s="117">
        <v>83.61</v>
      </c>
    </row>
    <row r="4420" spans="1:5" x14ac:dyDescent="0.25">
      <c r="A4420" s="119" t="s">
        <v>4977</v>
      </c>
      <c r="B4420" s="119" t="s">
        <v>10852</v>
      </c>
      <c r="C4420" s="119" t="s">
        <v>66</v>
      </c>
      <c r="D4420" t="s">
        <v>49</v>
      </c>
      <c r="E4420" s="117">
        <v>83.61</v>
      </c>
    </row>
    <row r="4421" spans="1:5" x14ac:dyDescent="0.25">
      <c r="A4421" s="119" t="s">
        <v>4978</v>
      </c>
      <c r="B4421" s="119" t="s">
        <v>10853</v>
      </c>
      <c r="C4421" s="119" t="s">
        <v>66</v>
      </c>
      <c r="D4421" t="s">
        <v>45</v>
      </c>
      <c r="E4421" s="117">
        <v>37.17</v>
      </c>
    </row>
    <row r="4422" spans="1:5" x14ac:dyDescent="0.25">
      <c r="A4422" s="119" t="s">
        <v>4979</v>
      </c>
      <c r="B4422" s="119" t="s">
        <v>10854</v>
      </c>
      <c r="C4422" s="119" t="s">
        <v>66</v>
      </c>
      <c r="D4422" t="s">
        <v>49</v>
      </c>
      <c r="E4422" s="117">
        <v>26.25</v>
      </c>
    </row>
    <row r="4423" spans="1:5" x14ac:dyDescent="0.25">
      <c r="A4423" s="119" t="s">
        <v>4980</v>
      </c>
      <c r="B4423" s="119" t="s">
        <v>6510</v>
      </c>
      <c r="C4423" s="119" t="s">
        <v>66</v>
      </c>
      <c r="D4423" t="s">
        <v>51</v>
      </c>
      <c r="E4423" s="117">
        <v>29.4</v>
      </c>
    </row>
    <row r="4424" spans="1:5" x14ac:dyDescent="0.25">
      <c r="A4424" s="119" t="s">
        <v>4981</v>
      </c>
      <c r="B4424" s="119" t="s">
        <v>4982</v>
      </c>
      <c r="C4424" s="119" t="s">
        <v>66</v>
      </c>
      <c r="D4424" t="s">
        <v>6759</v>
      </c>
      <c r="E4424" s="117">
        <v>13.65</v>
      </c>
    </row>
    <row r="4425" spans="1:5" x14ac:dyDescent="0.25">
      <c r="A4425" s="119" t="s">
        <v>4983</v>
      </c>
      <c r="B4425" s="119" t="s">
        <v>4984</v>
      </c>
      <c r="C4425" s="119" t="s">
        <v>66</v>
      </c>
      <c r="D4425" t="s">
        <v>6760</v>
      </c>
      <c r="E4425" s="117">
        <v>111.51</v>
      </c>
    </row>
    <row r="4426" spans="1:5" x14ac:dyDescent="0.25">
      <c r="A4426" s="119" t="s">
        <v>4985</v>
      </c>
      <c r="B4426" s="119" t="s">
        <v>4986</v>
      </c>
      <c r="C4426" s="119" t="s">
        <v>66</v>
      </c>
      <c r="D4426" t="s">
        <v>51</v>
      </c>
      <c r="E4426" s="117">
        <v>111.51</v>
      </c>
    </row>
    <row r="4427" spans="1:5" x14ac:dyDescent="0.25">
      <c r="A4427" s="119" t="s">
        <v>4987</v>
      </c>
      <c r="B4427" s="119" t="s">
        <v>10855</v>
      </c>
      <c r="C4427" s="119" t="s">
        <v>66</v>
      </c>
      <c r="D4427" t="s">
        <v>51</v>
      </c>
      <c r="E4427" s="117">
        <v>36.75</v>
      </c>
    </row>
    <row r="4428" spans="1:5" x14ac:dyDescent="0.25">
      <c r="A4428" s="119" t="s">
        <v>4988</v>
      </c>
      <c r="B4428" s="119" t="s">
        <v>9111</v>
      </c>
      <c r="C4428" s="119" t="s">
        <v>66</v>
      </c>
      <c r="D4428" t="s">
        <v>51</v>
      </c>
      <c r="E4428" s="117">
        <v>39.9</v>
      </c>
    </row>
    <row r="4429" spans="1:5" x14ac:dyDescent="0.25">
      <c r="A4429" s="119" t="s">
        <v>4989</v>
      </c>
      <c r="B4429" s="119" t="s">
        <v>10856</v>
      </c>
      <c r="C4429" s="119" t="s">
        <v>66</v>
      </c>
      <c r="D4429" t="s">
        <v>51</v>
      </c>
      <c r="E4429" s="117">
        <v>42</v>
      </c>
    </row>
    <row r="4430" spans="1:5" x14ac:dyDescent="0.25">
      <c r="A4430" s="119" t="s">
        <v>4990</v>
      </c>
      <c r="B4430" s="119" t="s">
        <v>10857</v>
      </c>
      <c r="C4430" s="119" t="s">
        <v>66</v>
      </c>
      <c r="D4430" t="s">
        <v>51</v>
      </c>
      <c r="E4430" s="117">
        <v>43.58</v>
      </c>
    </row>
    <row r="4431" spans="1:5" x14ac:dyDescent="0.25">
      <c r="A4431" s="119" t="s">
        <v>4991</v>
      </c>
      <c r="B4431" s="119" t="s">
        <v>9114</v>
      </c>
      <c r="C4431" s="119" t="s">
        <v>66</v>
      </c>
      <c r="D4431" t="s">
        <v>51</v>
      </c>
      <c r="E4431" s="117">
        <v>46.1</v>
      </c>
    </row>
    <row r="4432" spans="1:5" x14ac:dyDescent="0.25">
      <c r="A4432" s="119" t="s">
        <v>8154</v>
      </c>
      <c r="B4432" s="119" t="s">
        <v>11831</v>
      </c>
      <c r="C4432" s="119" t="s">
        <v>66</v>
      </c>
      <c r="D4432" t="s">
        <v>6760</v>
      </c>
      <c r="E4432" s="117">
        <v>48.51</v>
      </c>
    </row>
    <row r="4433" spans="1:5" x14ac:dyDescent="0.25">
      <c r="A4433" s="119" t="s">
        <v>4992</v>
      </c>
      <c r="B4433" s="119" t="s">
        <v>10858</v>
      </c>
      <c r="C4433" s="119" t="s">
        <v>66</v>
      </c>
      <c r="D4433" t="s">
        <v>6760</v>
      </c>
      <c r="E4433" s="117">
        <v>57.23</v>
      </c>
    </row>
    <row r="4434" spans="1:5" x14ac:dyDescent="0.25">
      <c r="A4434" s="119" t="s">
        <v>4993</v>
      </c>
      <c r="B4434" s="119" t="s">
        <v>9306</v>
      </c>
      <c r="C4434" s="119" t="s">
        <v>66</v>
      </c>
      <c r="D4434" t="s">
        <v>6760</v>
      </c>
      <c r="E4434" s="117">
        <v>63.83</v>
      </c>
    </row>
    <row r="4435" spans="1:5" x14ac:dyDescent="0.25">
      <c r="A4435" s="119" t="s">
        <v>4994</v>
      </c>
      <c r="B4435" s="119" t="s">
        <v>2252</v>
      </c>
      <c r="C4435" s="119" t="s">
        <v>66</v>
      </c>
      <c r="D4435" t="s">
        <v>49</v>
      </c>
      <c r="E4435" s="117">
        <v>196.5</v>
      </c>
    </row>
    <row r="4436" spans="1:5" x14ac:dyDescent="0.25">
      <c r="A4436" s="119" t="s">
        <v>4995</v>
      </c>
      <c r="B4436" s="119" t="s">
        <v>9133</v>
      </c>
      <c r="C4436" s="119" t="s">
        <v>66</v>
      </c>
      <c r="D4436" t="s">
        <v>51</v>
      </c>
      <c r="E4436" s="117">
        <v>111.93</v>
      </c>
    </row>
    <row r="4437" spans="1:5" x14ac:dyDescent="0.25">
      <c r="A4437" s="119" t="s">
        <v>4996</v>
      </c>
      <c r="B4437" s="119" t="s">
        <v>10859</v>
      </c>
      <c r="C4437" s="119" t="s">
        <v>66</v>
      </c>
      <c r="D4437" t="s">
        <v>51</v>
      </c>
      <c r="E4437" s="117">
        <v>36.020000000000003</v>
      </c>
    </row>
    <row r="4438" spans="1:5" x14ac:dyDescent="0.25">
      <c r="A4438" s="119" t="s">
        <v>4997</v>
      </c>
      <c r="B4438" s="119" t="s">
        <v>12233</v>
      </c>
      <c r="C4438" s="119" t="s">
        <v>66</v>
      </c>
      <c r="D4438" t="s">
        <v>49</v>
      </c>
      <c r="E4438" s="117">
        <v>165.17</v>
      </c>
    </row>
    <row r="4439" spans="1:5" x14ac:dyDescent="0.25">
      <c r="A4439" s="119" t="s">
        <v>4998</v>
      </c>
      <c r="B4439" s="119" t="s">
        <v>4999</v>
      </c>
      <c r="C4439" s="119" t="s">
        <v>66</v>
      </c>
      <c r="D4439" t="s">
        <v>49</v>
      </c>
      <c r="E4439" s="117">
        <v>235.94</v>
      </c>
    </row>
    <row r="4440" spans="1:5" x14ac:dyDescent="0.25">
      <c r="A4440" s="119" t="s">
        <v>5000</v>
      </c>
      <c r="B4440" s="119" t="s">
        <v>5001</v>
      </c>
      <c r="C4440" s="119" t="s">
        <v>66</v>
      </c>
      <c r="D4440" t="s">
        <v>45</v>
      </c>
      <c r="E4440" s="117">
        <v>436.07</v>
      </c>
    </row>
    <row r="4441" spans="1:5" x14ac:dyDescent="0.25">
      <c r="A4441" s="119" t="s">
        <v>5002</v>
      </c>
      <c r="B4441" s="119" t="s">
        <v>6353</v>
      </c>
      <c r="C4441" s="119" t="s">
        <v>66</v>
      </c>
      <c r="D4441" t="s">
        <v>49</v>
      </c>
      <c r="E4441" s="117">
        <v>379.5</v>
      </c>
    </row>
    <row r="4442" spans="1:5" x14ac:dyDescent="0.25">
      <c r="A4442" s="119" t="s">
        <v>5004</v>
      </c>
      <c r="B4442" s="119" t="s">
        <v>5003</v>
      </c>
      <c r="C4442" s="119" t="s">
        <v>66</v>
      </c>
      <c r="D4442" t="s">
        <v>6759</v>
      </c>
      <c r="E4442" s="117">
        <v>9999</v>
      </c>
    </row>
    <row r="4443" spans="1:5" x14ac:dyDescent="0.25">
      <c r="A4443" s="119" t="s">
        <v>5005</v>
      </c>
      <c r="B4443" s="119" t="s">
        <v>10860</v>
      </c>
      <c r="C4443" s="119" t="s">
        <v>66</v>
      </c>
      <c r="D4443" t="s">
        <v>51</v>
      </c>
      <c r="E4443" s="117">
        <v>4.7300000000000004</v>
      </c>
    </row>
    <row r="4444" spans="1:5" x14ac:dyDescent="0.25">
      <c r="A4444" s="119" t="s">
        <v>5006</v>
      </c>
      <c r="B4444" s="119" t="s">
        <v>10861</v>
      </c>
      <c r="C4444" s="119" t="s">
        <v>66</v>
      </c>
      <c r="D4444" t="s">
        <v>51</v>
      </c>
      <c r="E4444" s="117">
        <v>4.7300000000000004</v>
      </c>
    </row>
    <row r="4445" spans="1:5" x14ac:dyDescent="0.25">
      <c r="A4445" s="119" t="s">
        <v>5007</v>
      </c>
      <c r="B4445" s="119" t="s">
        <v>10862</v>
      </c>
      <c r="C4445" s="119" t="s">
        <v>66</v>
      </c>
      <c r="D4445" t="s">
        <v>51</v>
      </c>
      <c r="E4445" s="117">
        <v>4.7300000000000004</v>
      </c>
    </row>
    <row r="4446" spans="1:5" x14ac:dyDescent="0.25">
      <c r="A4446" s="119" t="s">
        <v>5008</v>
      </c>
      <c r="B4446" s="119" t="s">
        <v>10863</v>
      </c>
      <c r="C4446" s="119" t="s">
        <v>66</v>
      </c>
      <c r="D4446" t="s">
        <v>51</v>
      </c>
      <c r="E4446" s="117">
        <v>5.04</v>
      </c>
    </row>
    <row r="4447" spans="1:5" x14ac:dyDescent="0.25">
      <c r="A4447" s="119" t="s">
        <v>5009</v>
      </c>
      <c r="B4447" s="119" t="s">
        <v>5010</v>
      </c>
      <c r="C4447" s="119" t="s">
        <v>66</v>
      </c>
      <c r="D4447" t="s">
        <v>51</v>
      </c>
      <c r="E4447" s="117">
        <v>5.2</v>
      </c>
    </row>
    <row r="4448" spans="1:5" x14ac:dyDescent="0.25">
      <c r="A4448" s="119" t="s">
        <v>5011</v>
      </c>
      <c r="B4448" s="119" t="s">
        <v>5012</v>
      </c>
      <c r="C4448" s="119" t="s">
        <v>66</v>
      </c>
      <c r="D4448" t="s">
        <v>51</v>
      </c>
      <c r="E4448" s="117">
        <v>5.5</v>
      </c>
    </row>
    <row r="4449" spans="1:5" x14ac:dyDescent="0.25">
      <c r="A4449" s="119" t="s">
        <v>5013</v>
      </c>
      <c r="B4449" s="119" t="s">
        <v>10864</v>
      </c>
      <c r="C4449" s="119" t="s">
        <v>66</v>
      </c>
      <c r="D4449" t="s">
        <v>49</v>
      </c>
      <c r="E4449" s="117">
        <v>5.04</v>
      </c>
    </row>
    <row r="4450" spans="1:5" x14ac:dyDescent="0.25">
      <c r="A4450" s="119" t="s">
        <v>5014</v>
      </c>
      <c r="B4450" s="119" t="s">
        <v>10865</v>
      </c>
      <c r="C4450" s="119" t="s">
        <v>66</v>
      </c>
      <c r="D4450" t="s">
        <v>51</v>
      </c>
      <c r="E4450" s="117">
        <v>5.25</v>
      </c>
    </row>
    <row r="4451" spans="1:5" x14ac:dyDescent="0.25">
      <c r="A4451" s="119" t="s">
        <v>5015</v>
      </c>
      <c r="B4451" s="119" t="s">
        <v>10866</v>
      </c>
      <c r="C4451" s="119" t="s">
        <v>66</v>
      </c>
      <c r="D4451" t="s">
        <v>6760</v>
      </c>
      <c r="E4451" s="117">
        <v>5.25</v>
      </c>
    </row>
    <row r="4452" spans="1:5" x14ac:dyDescent="0.25">
      <c r="A4452" s="119" t="s">
        <v>5016</v>
      </c>
      <c r="B4452" s="119" t="s">
        <v>10867</v>
      </c>
      <c r="C4452" s="119" t="s">
        <v>66</v>
      </c>
      <c r="D4452" t="s">
        <v>51</v>
      </c>
      <c r="E4452" s="117">
        <v>5.88</v>
      </c>
    </row>
    <row r="4453" spans="1:5" x14ac:dyDescent="0.25">
      <c r="A4453" s="119" t="s">
        <v>5017</v>
      </c>
      <c r="B4453" s="119" t="s">
        <v>10868</v>
      </c>
      <c r="C4453" s="119" t="s">
        <v>66</v>
      </c>
      <c r="D4453" t="s">
        <v>51</v>
      </c>
      <c r="E4453" s="117">
        <v>6.51</v>
      </c>
    </row>
    <row r="4454" spans="1:5" x14ac:dyDescent="0.25">
      <c r="A4454" s="119" t="s">
        <v>5018</v>
      </c>
      <c r="B4454" s="119" t="s">
        <v>5019</v>
      </c>
      <c r="C4454" s="119" t="s">
        <v>66</v>
      </c>
      <c r="D4454" t="s">
        <v>51</v>
      </c>
      <c r="E4454" s="117">
        <v>21.2</v>
      </c>
    </row>
    <row r="4455" spans="1:5" x14ac:dyDescent="0.25">
      <c r="A4455" s="119" t="s">
        <v>5020</v>
      </c>
      <c r="B4455" s="119" t="s">
        <v>10869</v>
      </c>
      <c r="C4455" s="119" t="s">
        <v>66</v>
      </c>
      <c r="D4455" t="s">
        <v>51</v>
      </c>
      <c r="E4455" s="117">
        <v>7.14</v>
      </c>
    </row>
    <row r="4456" spans="1:5" x14ac:dyDescent="0.25">
      <c r="A4456" s="119" t="s">
        <v>5021</v>
      </c>
      <c r="B4456" s="119" t="s">
        <v>5022</v>
      </c>
      <c r="C4456" s="119" t="s">
        <v>66</v>
      </c>
      <c r="D4456" t="s">
        <v>51</v>
      </c>
      <c r="E4456" s="117">
        <v>24</v>
      </c>
    </row>
    <row r="4457" spans="1:5" x14ac:dyDescent="0.25">
      <c r="A4457" s="119" t="s">
        <v>5023</v>
      </c>
      <c r="B4457" s="119" t="s">
        <v>5024</v>
      </c>
      <c r="C4457" s="119" t="s">
        <v>66</v>
      </c>
      <c r="D4457" t="s">
        <v>51</v>
      </c>
      <c r="E4457" s="117">
        <v>16.25</v>
      </c>
    </row>
    <row r="4458" spans="1:5" x14ac:dyDescent="0.25">
      <c r="A4458" s="119" t="s">
        <v>8253</v>
      </c>
      <c r="B4458" s="119" t="s">
        <v>8254</v>
      </c>
      <c r="C4458" s="119" t="s">
        <v>66</v>
      </c>
      <c r="D4458" t="s">
        <v>45</v>
      </c>
      <c r="E4458" s="117">
        <v>9999</v>
      </c>
    </row>
    <row r="4459" spans="1:5" x14ac:dyDescent="0.25">
      <c r="A4459" s="119" t="s">
        <v>5025</v>
      </c>
      <c r="B4459" s="119" t="s">
        <v>10870</v>
      </c>
      <c r="C4459" s="119" t="s">
        <v>66</v>
      </c>
      <c r="D4459" t="s">
        <v>49</v>
      </c>
      <c r="E4459" s="117">
        <v>303.35000000000002</v>
      </c>
    </row>
    <row r="4460" spans="1:5" x14ac:dyDescent="0.25">
      <c r="A4460" s="119" t="s">
        <v>7702</v>
      </c>
      <c r="B4460" s="119" t="s">
        <v>7703</v>
      </c>
      <c r="C4460" s="119" t="s">
        <v>66</v>
      </c>
      <c r="D4460" t="s">
        <v>45</v>
      </c>
      <c r="E4460" s="117">
        <v>9999</v>
      </c>
    </row>
    <row r="4461" spans="1:5" x14ac:dyDescent="0.25">
      <c r="A4461" s="119" t="s">
        <v>5026</v>
      </c>
      <c r="B4461" s="119" t="s">
        <v>10871</v>
      </c>
      <c r="C4461" s="119" t="s">
        <v>66</v>
      </c>
      <c r="D4461" t="s">
        <v>45</v>
      </c>
      <c r="E4461" s="117">
        <v>430</v>
      </c>
    </row>
    <row r="4462" spans="1:5" x14ac:dyDescent="0.25">
      <c r="A4462" s="119" t="s">
        <v>5027</v>
      </c>
      <c r="B4462" s="119" t="s">
        <v>10872</v>
      </c>
      <c r="C4462" s="119" t="s">
        <v>66</v>
      </c>
      <c r="D4462" t="s">
        <v>45</v>
      </c>
      <c r="E4462" s="117">
        <v>492.45</v>
      </c>
    </row>
    <row r="4463" spans="1:5" x14ac:dyDescent="0.25">
      <c r="A4463" s="119" t="s">
        <v>5028</v>
      </c>
      <c r="B4463" s="119" t="s">
        <v>10873</v>
      </c>
      <c r="C4463" s="119" t="s">
        <v>66</v>
      </c>
      <c r="D4463" t="s">
        <v>45</v>
      </c>
      <c r="E4463" s="117">
        <v>576.45000000000005</v>
      </c>
    </row>
    <row r="4464" spans="1:5" x14ac:dyDescent="0.25">
      <c r="A4464" s="119" t="s">
        <v>5029</v>
      </c>
      <c r="B4464" s="119" t="s">
        <v>10874</v>
      </c>
      <c r="C4464" s="119" t="s">
        <v>66</v>
      </c>
      <c r="D4464" t="s">
        <v>49</v>
      </c>
      <c r="E4464" s="117">
        <v>135.44999999999999</v>
      </c>
    </row>
    <row r="4465" spans="1:5" x14ac:dyDescent="0.25">
      <c r="A4465" s="119" t="s">
        <v>5030</v>
      </c>
      <c r="B4465" s="119" t="s">
        <v>10875</v>
      </c>
      <c r="C4465" s="119" t="s">
        <v>66</v>
      </c>
      <c r="D4465" t="s">
        <v>49</v>
      </c>
      <c r="E4465" s="117">
        <v>13.65</v>
      </c>
    </row>
    <row r="4466" spans="1:5" x14ac:dyDescent="0.25">
      <c r="A4466" s="119" t="s">
        <v>5031</v>
      </c>
      <c r="B4466" s="119" t="s">
        <v>10876</v>
      </c>
      <c r="C4466" s="119" t="s">
        <v>66</v>
      </c>
      <c r="D4466" t="s">
        <v>6759</v>
      </c>
      <c r="E4466" s="117">
        <v>50</v>
      </c>
    </row>
    <row r="4467" spans="1:5" x14ac:dyDescent="0.25">
      <c r="A4467" s="119" t="s">
        <v>5032</v>
      </c>
      <c r="B4467" s="119" t="s">
        <v>10877</v>
      </c>
      <c r="C4467" s="119" t="s">
        <v>66</v>
      </c>
      <c r="D4467" t="s">
        <v>6760</v>
      </c>
      <c r="E4467" s="117">
        <v>55</v>
      </c>
    </row>
    <row r="4468" spans="1:5" x14ac:dyDescent="0.25">
      <c r="A4468" s="119" t="s">
        <v>5033</v>
      </c>
      <c r="B4468" s="119" t="s">
        <v>5034</v>
      </c>
      <c r="C4468" s="119" t="s">
        <v>66</v>
      </c>
      <c r="D4468" t="s">
        <v>45</v>
      </c>
      <c r="E4468" s="117">
        <v>59</v>
      </c>
    </row>
    <row r="4469" spans="1:5" x14ac:dyDescent="0.25">
      <c r="A4469" s="119" t="s">
        <v>7704</v>
      </c>
      <c r="B4469" s="119" t="s">
        <v>10878</v>
      </c>
      <c r="C4469" s="119" t="s">
        <v>66</v>
      </c>
      <c r="D4469" t="s">
        <v>45</v>
      </c>
      <c r="E4469" s="117">
        <v>9999</v>
      </c>
    </row>
    <row r="4470" spans="1:5" x14ac:dyDescent="0.25">
      <c r="A4470" s="119" t="s">
        <v>5035</v>
      </c>
      <c r="B4470" s="119" t="s">
        <v>10879</v>
      </c>
      <c r="C4470" s="119" t="s">
        <v>66</v>
      </c>
      <c r="D4470" t="s">
        <v>45</v>
      </c>
      <c r="E4470" s="117">
        <v>525</v>
      </c>
    </row>
    <row r="4471" spans="1:5" x14ac:dyDescent="0.25">
      <c r="A4471" s="119" t="s">
        <v>5036</v>
      </c>
      <c r="B4471" s="119" t="s">
        <v>8155</v>
      </c>
      <c r="C4471" s="119" t="s">
        <v>66</v>
      </c>
      <c r="D4471" t="s">
        <v>51</v>
      </c>
      <c r="E4471" s="117">
        <v>309.75</v>
      </c>
    </row>
    <row r="4472" spans="1:5" x14ac:dyDescent="0.25">
      <c r="A4472" s="119" t="s">
        <v>5037</v>
      </c>
      <c r="B4472" s="119" t="s">
        <v>10880</v>
      </c>
      <c r="C4472" s="119" t="s">
        <v>66</v>
      </c>
      <c r="D4472" t="s">
        <v>45</v>
      </c>
      <c r="E4472" s="117">
        <v>11.03</v>
      </c>
    </row>
    <row r="4473" spans="1:5" x14ac:dyDescent="0.25">
      <c r="A4473" s="119" t="s">
        <v>5038</v>
      </c>
      <c r="B4473" s="119" t="s">
        <v>10881</v>
      </c>
      <c r="C4473" s="119" t="s">
        <v>66</v>
      </c>
      <c r="D4473" t="s">
        <v>49</v>
      </c>
      <c r="E4473" s="117">
        <v>330.75</v>
      </c>
    </row>
    <row r="4474" spans="1:5" x14ac:dyDescent="0.25">
      <c r="A4474" s="119" t="s">
        <v>5039</v>
      </c>
      <c r="B4474" s="119" t="s">
        <v>5040</v>
      </c>
      <c r="C4474" s="119" t="s">
        <v>66</v>
      </c>
      <c r="D4474" t="s">
        <v>51</v>
      </c>
      <c r="E4474" s="117">
        <v>280.88</v>
      </c>
    </row>
    <row r="4475" spans="1:5" x14ac:dyDescent="0.25">
      <c r="A4475" s="119" t="s">
        <v>5041</v>
      </c>
      <c r="B4475" s="119" t="s">
        <v>10882</v>
      </c>
      <c r="C4475" s="119" t="s">
        <v>66</v>
      </c>
      <c r="D4475" t="s">
        <v>49</v>
      </c>
      <c r="E4475" s="117">
        <v>265.44</v>
      </c>
    </row>
    <row r="4476" spans="1:5" x14ac:dyDescent="0.25">
      <c r="A4476" s="119" t="s">
        <v>5042</v>
      </c>
      <c r="B4476" s="119" t="s">
        <v>5043</v>
      </c>
      <c r="C4476" s="119" t="s">
        <v>66</v>
      </c>
      <c r="D4476" t="s">
        <v>6759</v>
      </c>
      <c r="E4476" s="117">
        <v>303.35000000000002</v>
      </c>
    </row>
    <row r="4477" spans="1:5" x14ac:dyDescent="0.25">
      <c r="A4477" s="119" t="s">
        <v>5044</v>
      </c>
      <c r="B4477" s="119" t="s">
        <v>5045</v>
      </c>
      <c r="C4477" s="119" t="s">
        <v>66</v>
      </c>
      <c r="D4477" t="s">
        <v>45</v>
      </c>
      <c r="E4477" s="117">
        <v>53.97</v>
      </c>
    </row>
    <row r="4478" spans="1:5" x14ac:dyDescent="0.25">
      <c r="A4478" s="119" t="s">
        <v>5046</v>
      </c>
      <c r="B4478" s="119" t="s">
        <v>5047</v>
      </c>
      <c r="C4478" s="119" t="s">
        <v>66</v>
      </c>
      <c r="D4478" t="s">
        <v>6760</v>
      </c>
      <c r="E4478" s="117">
        <v>110.25</v>
      </c>
    </row>
    <row r="4479" spans="1:5" x14ac:dyDescent="0.25">
      <c r="A4479" s="119" t="s">
        <v>5048</v>
      </c>
      <c r="B4479" s="119" t="s">
        <v>10883</v>
      </c>
      <c r="C4479" s="119" t="s">
        <v>66</v>
      </c>
      <c r="D4479" t="s">
        <v>51</v>
      </c>
      <c r="E4479" s="117">
        <v>31.5</v>
      </c>
    </row>
    <row r="4480" spans="1:5" x14ac:dyDescent="0.25">
      <c r="A4480" s="119" t="s">
        <v>5049</v>
      </c>
      <c r="B4480" s="119" t="s">
        <v>5050</v>
      </c>
      <c r="C4480" s="119" t="s">
        <v>66</v>
      </c>
      <c r="D4480" t="s">
        <v>51</v>
      </c>
      <c r="E4480" s="117">
        <v>42</v>
      </c>
    </row>
    <row r="4481" spans="1:5" x14ac:dyDescent="0.25">
      <c r="A4481" s="119" t="s">
        <v>5051</v>
      </c>
      <c r="B4481" s="119" t="s">
        <v>10884</v>
      </c>
      <c r="C4481" s="119" t="s">
        <v>66</v>
      </c>
      <c r="D4481" t="s">
        <v>6759</v>
      </c>
      <c r="E4481" s="117">
        <v>781.5</v>
      </c>
    </row>
    <row r="4482" spans="1:5" x14ac:dyDescent="0.25">
      <c r="A4482" s="119" t="s">
        <v>5052</v>
      </c>
      <c r="B4482" s="119" t="s">
        <v>10885</v>
      </c>
      <c r="C4482" s="119" t="s">
        <v>66</v>
      </c>
      <c r="D4482" t="s">
        <v>51</v>
      </c>
      <c r="E4482" s="117">
        <v>54.6</v>
      </c>
    </row>
    <row r="4483" spans="1:5" x14ac:dyDescent="0.25">
      <c r="A4483" s="119" t="s">
        <v>5053</v>
      </c>
      <c r="B4483" s="119" t="s">
        <v>5054</v>
      </c>
      <c r="C4483" s="119" t="s">
        <v>66</v>
      </c>
      <c r="D4483" t="s">
        <v>6759</v>
      </c>
      <c r="E4483" s="117">
        <v>169</v>
      </c>
    </row>
    <row r="4484" spans="1:5" x14ac:dyDescent="0.25">
      <c r="A4484" s="119" t="s">
        <v>5055</v>
      </c>
      <c r="B4484" s="119" t="s">
        <v>6303</v>
      </c>
      <c r="C4484" s="119" t="s">
        <v>66</v>
      </c>
      <c r="D4484" t="s">
        <v>6759</v>
      </c>
      <c r="E4484" s="117">
        <v>189</v>
      </c>
    </row>
    <row r="4485" spans="1:5" x14ac:dyDescent="0.25">
      <c r="A4485" s="119" t="s">
        <v>5056</v>
      </c>
      <c r="B4485" s="119" t="s">
        <v>6304</v>
      </c>
      <c r="C4485" s="119" t="s">
        <v>66</v>
      </c>
      <c r="D4485" t="s">
        <v>6759</v>
      </c>
      <c r="E4485" s="117">
        <v>199</v>
      </c>
    </row>
    <row r="4486" spans="1:5" x14ac:dyDescent="0.25">
      <c r="A4486" s="119" t="s">
        <v>5057</v>
      </c>
      <c r="B4486" s="119" t="s">
        <v>10886</v>
      </c>
      <c r="C4486" s="119" t="s">
        <v>66</v>
      </c>
      <c r="D4486" t="s">
        <v>6759</v>
      </c>
      <c r="E4486" s="117">
        <v>189</v>
      </c>
    </row>
    <row r="4487" spans="1:5" x14ac:dyDescent="0.25">
      <c r="A4487" s="119" t="s">
        <v>5058</v>
      </c>
      <c r="B4487" s="119" t="s">
        <v>10887</v>
      </c>
      <c r="C4487" s="119" t="s">
        <v>66</v>
      </c>
      <c r="D4487" t="s">
        <v>6759</v>
      </c>
      <c r="E4487" s="117">
        <v>219</v>
      </c>
    </row>
    <row r="4488" spans="1:5" x14ac:dyDescent="0.25">
      <c r="A4488" s="119" t="s">
        <v>5059</v>
      </c>
      <c r="B4488" s="119" t="s">
        <v>10888</v>
      </c>
      <c r="C4488" s="119" t="s">
        <v>66</v>
      </c>
      <c r="D4488" t="s">
        <v>6759</v>
      </c>
      <c r="E4488" s="117">
        <v>249</v>
      </c>
    </row>
    <row r="4489" spans="1:5" x14ac:dyDescent="0.25">
      <c r="A4489" s="119" t="s">
        <v>5060</v>
      </c>
      <c r="B4489" s="119" t="s">
        <v>5061</v>
      </c>
      <c r="C4489" s="119" t="s">
        <v>66</v>
      </c>
      <c r="D4489" t="s">
        <v>6759</v>
      </c>
      <c r="E4489" s="117">
        <v>79</v>
      </c>
    </row>
    <row r="4490" spans="1:5" x14ac:dyDescent="0.25">
      <c r="A4490" s="119" t="s">
        <v>5062</v>
      </c>
      <c r="B4490" s="119" t="s">
        <v>10889</v>
      </c>
      <c r="C4490" s="119" t="s">
        <v>66</v>
      </c>
      <c r="D4490" t="s">
        <v>45</v>
      </c>
      <c r="E4490" s="117">
        <v>347.81</v>
      </c>
    </row>
    <row r="4491" spans="1:5" x14ac:dyDescent="0.25">
      <c r="A4491" s="119" t="s">
        <v>5063</v>
      </c>
      <c r="B4491" s="119" t="s">
        <v>10890</v>
      </c>
      <c r="C4491" s="119" t="s">
        <v>66</v>
      </c>
      <c r="D4491" t="s">
        <v>45</v>
      </c>
      <c r="E4491" s="117">
        <v>433.82</v>
      </c>
    </row>
    <row r="4492" spans="1:5" x14ac:dyDescent="0.25">
      <c r="A4492" s="119" t="s">
        <v>5064</v>
      </c>
      <c r="B4492" s="119" t="s">
        <v>10891</v>
      </c>
      <c r="C4492" s="119" t="s">
        <v>66</v>
      </c>
      <c r="D4492" t="s">
        <v>6759</v>
      </c>
      <c r="E4492" s="117">
        <v>94.5</v>
      </c>
    </row>
    <row r="4493" spans="1:5" x14ac:dyDescent="0.25">
      <c r="A4493" s="119" t="s">
        <v>5065</v>
      </c>
      <c r="B4493" s="119" t="s">
        <v>10892</v>
      </c>
      <c r="C4493" s="119" t="s">
        <v>66</v>
      </c>
      <c r="D4493" t="s">
        <v>49</v>
      </c>
      <c r="E4493" s="117">
        <v>630</v>
      </c>
    </row>
    <row r="4494" spans="1:5" x14ac:dyDescent="0.25">
      <c r="A4494" s="119" t="s">
        <v>5066</v>
      </c>
      <c r="B4494" s="119" t="s">
        <v>5067</v>
      </c>
      <c r="C4494" s="119" t="s">
        <v>66</v>
      </c>
      <c r="D4494" t="s">
        <v>6759</v>
      </c>
      <c r="E4494" s="117">
        <v>193.2</v>
      </c>
    </row>
    <row r="4495" spans="1:5" x14ac:dyDescent="0.25">
      <c r="A4495" s="119" t="s">
        <v>5068</v>
      </c>
      <c r="B4495" s="119" t="s">
        <v>10893</v>
      </c>
      <c r="C4495" s="119" t="s">
        <v>66</v>
      </c>
      <c r="D4495" t="s">
        <v>6759</v>
      </c>
      <c r="E4495" s="117">
        <v>241.5</v>
      </c>
    </row>
    <row r="4496" spans="1:5" x14ac:dyDescent="0.25">
      <c r="A4496" s="119" t="s">
        <v>5069</v>
      </c>
      <c r="B4496" s="119" t="s">
        <v>10894</v>
      </c>
      <c r="C4496" s="119" t="s">
        <v>66</v>
      </c>
      <c r="D4496" t="s">
        <v>51</v>
      </c>
      <c r="E4496" s="117">
        <v>84.39</v>
      </c>
    </row>
    <row r="4497" spans="1:5" x14ac:dyDescent="0.25">
      <c r="A4497" s="119" t="s">
        <v>5070</v>
      </c>
      <c r="B4497" s="119" t="s">
        <v>10895</v>
      </c>
      <c r="C4497" s="119" t="s">
        <v>66</v>
      </c>
      <c r="D4497" t="s">
        <v>45</v>
      </c>
      <c r="E4497" s="117">
        <v>93.78</v>
      </c>
    </row>
    <row r="4498" spans="1:5" x14ac:dyDescent="0.25">
      <c r="A4498" s="119" t="s">
        <v>5071</v>
      </c>
      <c r="B4498" s="119" t="s">
        <v>10896</v>
      </c>
      <c r="C4498" s="119" t="s">
        <v>66</v>
      </c>
      <c r="D4498" t="s">
        <v>49</v>
      </c>
      <c r="E4498" s="117">
        <v>525</v>
      </c>
    </row>
    <row r="4499" spans="1:5" x14ac:dyDescent="0.25">
      <c r="A4499" s="119" t="s">
        <v>5072</v>
      </c>
      <c r="B4499" s="119" t="s">
        <v>10897</v>
      </c>
      <c r="C4499" s="119" t="s">
        <v>66</v>
      </c>
      <c r="D4499" t="s">
        <v>49</v>
      </c>
      <c r="E4499" s="117">
        <v>577.5</v>
      </c>
    </row>
    <row r="4500" spans="1:5" x14ac:dyDescent="0.25">
      <c r="A4500" s="119" t="s">
        <v>5073</v>
      </c>
      <c r="B4500" s="119" t="s">
        <v>10898</v>
      </c>
      <c r="C4500" s="119" t="s">
        <v>66</v>
      </c>
      <c r="D4500" t="s">
        <v>6760</v>
      </c>
      <c r="E4500" s="117">
        <v>14.7</v>
      </c>
    </row>
    <row r="4501" spans="1:5" x14ac:dyDescent="0.25">
      <c r="A4501" s="119" t="s">
        <v>5074</v>
      </c>
      <c r="B4501" s="119" t="s">
        <v>10899</v>
      </c>
      <c r="C4501" s="119" t="s">
        <v>66</v>
      </c>
      <c r="D4501" t="s">
        <v>6760</v>
      </c>
      <c r="E4501" s="117">
        <v>12.6</v>
      </c>
    </row>
    <row r="4502" spans="1:5" x14ac:dyDescent="0.25">
      <c r="A4502" s="119" t="s">
        <v>5075</v>
      </c>
      <c r="B4502" s="119" t="s">
        <v>10900</v>
      </c>
      <c r="C4502" s="119" t="s">
        <v>66</v>
      </c>
      <c r="D4502" t="s">
        <v>6760</v>
      </c>
      <c r="E4502" s="117">
        <v>12.6</v>
      </c>
    </row>
    <row r="4503" spans="1:5" x14ac:dyDescent="0.25">
      <c r="A4503" s="119" t="s">
        <v>7705</v>
      </c>
      <c r="B4503" s="119" t="s">
        <v>12241</v>
      </c>
      <c r="C4503" s="119" t="s">
        <v>66</v>
      </c>
      <c r="D4503" t="s">
        <v>51</v>
      </c>
      <c r="E4503" s="117">
        <v>122.03</v>
      </c>
    </row>
    <row r="4504" spans="1:5" x14ac:dyDescent="0.25">
      <c r="A4504" s="119" t="s">
        <v>5076</v>
      </c>
      <c r="B4504" s="119" t="s">
        <v>7706</v>
      </c>
      <c r="C4504" s="119" t="s">
        <v>66</v>
      </c>
      <c r="D4504" t="s">
        <v>51</v>
      </c>
      <c r="E4504" s="117">
        <v>45.15</v>
      </c>
    </row>
    <row r="4505" spans="1:5" x14ac:dyDescent="0.25">
      <c r="A4505" s="119" t="s">
        <v>5077</v>
      </c>
      <c r="B4505" s="119" t="s">
        <v>10901</v>
      </c>
      <c r="C4505" s="119" t="s">
        <v>66</v>
      </c>
      <c r="D4505" t="s">
        <v>6759</v>
      </c>
      <c r="E4505" s="117">
        <v>380</v>
      </c>
    </row>
    <row r="4506" spans="1:5" x14ac:dyDescent="0.25">
      <c r="A4506" s="119" t="s">
        <v>5078</v>
      </c>
      <c r="B4506" s="119" t="s">
        <v>10902</v>
      </c>
      <c r="C4506" s="119" t="s">
        <v>66</v>
      </c>
      <c r="D4506" t="s">
        <v>49</v>
      </c>
      <c r="E4506" s="117">
        <v>408.45</v>
      </c>
    </row>
    <row r="4507" spans="1:5" x14ac:dyDescent="0.25">
      <c r="A4507" s="119" t="s">
        <v>5079</v>
      </c>
      <c r="B4507" s="119" t="s">
        <v>10903</v>
      </c>
      <c r="C4507" s="119" t="s">
        <v>66</v>
      </c>
      <c r="D4507" t="s">
        <v>6759</v>
      </c>
      <c r="E4507" s="117">
        <v>40</v>
      </c>
    </row>
    <row r="4508" spans="1:5" x14ac:dyDescent="0.25">
      <c r="A4508" s="119" t="s">
        <v>5080</v>
      </c>
      <c r="B4508" s="119" t="s">
        <v>10904</v>
      </c>
      <c r="C4508" s="119" t="s">
        <v>66</v>
      </c>
      <c r="D4508" t="s">
        <v>6759</v>
      </c>
      <c r="E4508" s="117">
        <v>45</v>
      </c>
    </row>
    <row r="4509" spans="1:5" x14ac:dyDescent="0.25">
      <c r="A4509" s="119" t="s">
        <v>5081</v>
      </c>
      <c r="B4509" s="119" t="s">
        <v>10905</v>
      </c>
      <c r="C4509" s="119" t="s">
        <v>66</v>
      </c>
      <c r="D4509" t="s">
        <v>45</v>
      </c>
      <c r="E4509" s="117">
        <v>8.93</v>
      </c>
    </row>
    <row r="4510" spans="1:5" x14ac:dyDescent="0.25">
      <c r="A4510" s="119" t="s">
        <v>5082</v>
      </c>
      <c r="B4510" s="119" t="s">
        <v>10906</v>
      </c>
      <c r="C4510" s="119" t="s">
        <v>66</v>
      </c>
      <c r="D4510" t="s">
        <v>51</v>
      </c>
      <c r="E4510" s="117">
        <v>15.75</v>
      </c>
    </row>
    <row r="4511" spans="1:5" x14ac:dyDescent="0.25">
      <c r="A4511" s="119" t="s">
        <v>5083</v>
      </c>
      <c r="B4511" s="119" t="s">
        <v>10907</v>
      </c>
      <c r="C4511" s="119" t="s">
        <v>66</v>
      </c>
      <c r="D4511" t="s">
        <v>51</v>
      </c>
      <c r="E4511" s="117">
        <v>54.6</v>
      </c>
    </row>
    <row r="4512" spans="1:5" x14ac:dyDescent="0.25">
      <c r="A4512" s="119" t="s">
        <v>5084</v>
      </c>
      <c r="B4512" s="119" t="s">
        <v>10908</v>
      </c>
      <c r="C4512" s="119" t="s">
        <v>66</v>
      </c>
      <c r="D4512" t="s">
        <v>51</v>
      </c>
      <c r="E4512" s="117">
        <v>47.25</v>
      </c>
    </row>
    <row r="4513" spans="1:5" x14ac:dyDescent="0.25">
      <c r="A4513" s="119" t="s">
        <v>5085</v>
      </c>
      <c r="B4513" s="119" t="s">
        <v>10909</v>
      </c>
      <c r="C4513" s="119" t="s">
        <v>66</v>
      </c>
      <c r="D4513" t="s">
        <v>49</v>
      </c>
      <c r="E4513" s="117">
        <v>315</v>
      </c>
    </row>
    <row r="4514" spans="1:5" x14ac:dyDescent="0.25">
      <c r="A4514" s="119" t="s">
        <v>5086</v>
      </c>
      <c r="B4514" s="119" t="s">
        <v>10910</v>
      </c>
      <c r="C4514" s="119" t="s">
        <v>66</v>
      </c>
      <c r="D4514" t="s">
        <v>51</v>
      </c>
      <c r="E4514" s="117">
        <v>152.25</v>
      </c>
    </row>
    <row r="4515" spans="1:5" x14ac:dyDescent="0.25">
      <c r="A4515" s="119" t="s">
        <v>5087</v>
      </c>
      <c r="B4515" s="119" t="s">
        <v>10911</v>
      </c>
      <c r="C4515" s="119" t="s">
        <v>66</v>
      </c>
      <c r="D4515" t="s">
        <v>45</v>
      </c>
      <c r="E4515" s="117">
        <v>999999</v>
      </c>
    </row>
    <row r="4516" spans="1:5" x14ac:dyDescent="0.25">
      <c r="A4516" s="119" t="s">
        <v>5088</v>
      </c>
      <c r="B4516" s="119" t="s">
        <v>5089</v>
      </c>
      <c r="C4516" s="119" t="s">
        <v>66</v>
      </c>
      <c r="D4516" t="s">
        <v>6759</v>
      </c>
      <c r="E4516" s="117">
        <v>147</v>
      </c>
    </row>
    <row r="4517" spans="1:5" x14ac:dyDescent="0.25">
      <c r="A4517" s="119" t="s">
        <v>5090</v>
      </c>
      <c r="B4517" s="119" t="s">
        <v>5091</v>
      </c>
      <c r="C4517" s="119" t="s">
        <v>66</v>
      </c>
      <c r="D4517" t="s">
        <v>49</v>
      </c>
      <c r="E4517" s="117">
        <v>378</v>
      </c>
    </row>
    <row r="4518" spans="1:5" x14ac:dyDescent="0.25">
      <c r="A4518" s="119" t="s">
        <v>5092</v>
      </c>
      <c r="B4518" s="119" t="s">
        <v>5093</v>
      </c>
      <c r="C4518" s="119" t="s">
        <v>66</v>
      </c>
      <c r="D4518" t="s">
        <v>49</v>
      </c>
      <c r="E4518" s="117">
        <v>357</v>
      </c>
    </row>
    <row r="4519" spans="1:5" x14ac:dyDescent="0.25">
      <c r="A4519" s="119" t="s">
        <v>5094</v>
      </c>
      <c r="B4519" s="119" t="s">
        <v>5095</v>
      </c>
      <c r="C4519" s="119" t="s">
        <v>66</v>
      </c>
      <c r="D4519" t="s">
        <v>49</v>
      </c>
      <c r="E4519" s="117">
        <v>204.75</v>
      </c>
    </row>
    <row r="4520" spans="1:5" x14ac:dyDescent="0.25">
      <c r="A4520" s="119" t="s">
        <v>5096</v>
      </c>
      <c r="B4520" s="119" t="s">
        <v>5097</v>
      </c>
      <c r="C4520" s="119" t="s">
        <v>66</v>
      </c>
      <c r="D4520" t="s">
        <v>49</v>
      </c>
      <c r="E4520" s="117">
        <v>199.5</v>
      </c>
    </row>
    <row r="4521" spans="1:5" x14ac:dyDescent="0.25">
      <c r="A4521" s="119" t="s">
        <v>5098</v>
      </c>
      <c r="B4521" s="119" t="s">
        <v>5099</v>
      </c>
      <c r="C4521" s="119" t="s">
        <v>66</v>
      </c>
      <c r="D4521" t="s">
        <v>49</v>
      </c>
      <c r="E4521" s="117">
        <v>168</v>
      </c>
    </row>
    <row r="4522" spans="1:5" x14ac:dyDescent="0.25">
      <c r="A4522" s="119" t="s">
        <v>5100</v>
      </c>
      <c r="B4522" s="119" t="s">
        <v>10912</v>
      </c>
      <c r="C4522" s="119" t="s">
        <v>66</v>
      </c>
      <c r="D4522" t="s">
        <v>51</v>
      </c>
      <c r="E4522" s="117">
        <v>65.099999999999994</v>
      </c>
    </row>
    <row r="4523" spans="1:5" x14ac:dyDescent="0.25">
      <c r="A4523" s="119" t="s">
        <v>7707</v>
      </c>
      <c r="B4523" s="119" t="s">
        <v>10913</v>
      </c>
      <c r="C4523" s="119" t="s">
        <v>66</v>
      </c>
      <c r="D4523" t="s">
        <v>49</v>
      </c>
      <c r="E4523" s="117">
        <v>75.099999999999994</v>
      </c>
    </row>
    <row r="4524" spans="1:5" x14ac:dyDescent="0.25">
      <c r="A4524" s="119" t="s">
        <v>5101</v>
      </c>
      <c r="B4524" s="119" t="s">
        <v>5102</v>
      </c>
      <c r="C4524" s="119" t="s">
        <v>66</v>
      </c>
      <c r="D4524" t="s">
        <v>51</v>
      </c>
      <c r="E4524" s="117">
        <v>17.84</v>
      </c>
    </row>
    <row r="4525" spans="1:5" x14ac:dyDescent="0.25">
      <c r="A4525" s="119" t="s">
        <v>5103</v>
      </c>
      <c r="B4525" s="119" t="s">
        <v>5104</v>
      </c>
      <c r="C4525" s="119" t="s">
        <v>66</v>
      </c>
      <c r="D4525" t="s">
        <v>51</v>
      </c>
      <c r="E4525" s="117">
        <v>19.71</v>
      </c>
    </row>
    <row r="4526" spans="1:5" x14ac:dyDescent="0.25">
      <c r="A4526" s="119" t="s">
        <v>5105</v>
      </c>
      <c r="B4526" s="119" t="s">
        <v>5106</v>
      </c>
      <c r="C4526" s="119" t="s">
        <v>66</v>
      </c>
      <c r="D4526" t="s">
        <v>51</v>
      </c>
      <c r="E4526" s="117">
        <v>20.65</v>
      </c>
    </row>
    <row r="4527" spans="1:5" x14ac:dyDescent="0.25">
      <c r="A4527" s="119" t="s">
        <v>5107</v>
      </c>
      <c r="B4527" s="119" t="s">
        <v>5108</v>
      </c>
      <c r="C4527" s="119" t="s">
        <v>66</v>
      </c>
      <c r="D4527" t="s">
        <v>51</v>
      </c>
      <c r="E4527" s="117">
        <v>22.53</v>
      </c>
    </row>
    <row r="4528" spans="1:5" x14ac:dyDescent="0.25">
      <c r="A4528" s="119" t="s">
        <v>5109</v>
      </c>
      <c r="B4528" s="119" t="s">
        <v>5110</v>
      </c>
      <c r="C4528" s="119" t="s">
        <v>66</v>
      </c>
      <c r="D4528" t="s">
        <v>51</v>
      </c>
      <c r="E4528" s="117">
        <v>26.28</v>
      </c>
    </row>
    <row r="4529" spans="1:5" x14ac:dyDescent="0.25">
      <c r="A4529" s="119" t="s">
        <v>12411</v>
      </c>
      <c r="B4529" s="119" t="s">
        <v>8296</v>
      </c>
      <c r="C4529" s="119" t="s">
        <v>66</v>
      </c>
      <c r="D4529" t="s">
        <v>45</v>
      </c>
      <c r="E4529" s="117">
        <v>27.29</v>
      </c>
    </row>
    <row r="4530" spans="1:5" x14ac:dyDescent="0.25">
      <c r="A4530" s="119" t="s">
        <v>5111</v>
      </c>
      <c r="B4530" s="119" t="s">
        <v>5112</v>
      </c>
      <c r="C4530" s="119" t="s">
        <v>66</v>
      </c>
      <c r="D4530" t="s">
        <v>51</v>
      </c>
      <c r="E4530" s="117">
        <v>41.3</v>
      </c>
    </row>
    <row r="4531" spans="1:5" x14ac:dyDescent="0.25">
      <c r="A4531" s="119" t="s">
        <v>5113</v>
      </c>
      <c r="B4531" s="119" t="s">
        <v>5114</v>
      </c>
      <c r="C4531" s="119" t="s">
        <v>66</v>
      </c>
      <c r="D4531" t="s">
        <v>51</v>
      </c>
      <c r="E4531" s="117">
        <v>46</v>
      </c>
    </row>
    <row r="4532" spans="1:5" x14ac:dyDescent="0.25">
      <c r="A4532" s="119" t="s">
        <v>5115</v>
      </c>
      <c r="B4532" s="119" t="s">
        <v>5116</v>
      </c>
      <c r="C4532" s="119" t="s">
        <v>66</v>
      </c>
      <c r="D4532" t="s">
        <v>51</v>
      </c>
      <c r="E4532" s="117">
        <v>20.65</v>
      </c>
    </row>
    <row r="4533" spans="1:5" x14ac:dyDescent="0.25">
      <c r="A4533" s="119" t="s">
        <v>5117</v>
      </c>
      <c r="B4533" s="119" t="s">
        <v>5118</v>
      </c>
      <c r="C4533" s="119" t="s">
        <v>66</v>
      </c>
      <c r="D4533" t="s">
        <v>51</v>
      </c>
      <c r="E4533" s="117">
        <v>22.53</v>
      </c>
    </row>
    <row r="4534" spans="1:5" x14ac:dyDescent="0.25">
      <c r="A4534" s="119" t="s">
        <v>5119</v>
      </c>
      <c r="B4534" s="119" t="s">
        <v>5120</v>
      </c>
      <c r="C4534" s="119" t="s">
        <v>66</v>
      </c>
      <c r="D4534" t="s">
        <v>51</v>
      </c>
      <c r="E4534" s="117">
        <v>25.35</v>
      </c>
    </row>
    <row r="4535" spans="1:5" x14ac:dyDescent="0.25">
      <c r="A4535" s="119" t="s">
        <v>5121</v>
      </c>
      <c r="B4535" s="119" t="s">
        <v>5122</v>
      </c>
      <c r="C4535" s="119" t="s">
        <v>66</v>
      </c>
      <c r="D4535" t="s">
        <v>51</v>
      </c>
      <c r="E4535" s="117">
        <v>30.04</v>
      </c>
    </row>
    <row r="4536" spans="1:5" x14ac:dyDescent="0.25">
      <c r="A4536" s="119" t="s">
        <v>5123</v>
      </c>
      <c r="B4536" s="119" t="s">
        <v>5124</v>
      </c>
      <c r="C4536" s="119" t="s">
        <v>66</v>
      </c>
      <c r="D4536" t="s">
        <v>51</v>
      </c>
      <c r="E4536" s="117">
        <v>32.86</v>
      </c>
    </row>
    <row r="4537" spans="1:5" x14ac:dyDescent="0.25">
      <c r="A4537" s="119" t="s">
        <v>5125</v>
      </c>
      <c r="B4537" s="119" t="s">
        <v>5126</v>
      </c>
      <c r="C4537" s="119" t="s">
        <v>66</v>
      </c>
      <c r="D4537" t="s">
        <v>51</v>
      </c>
      <c r="E4537" s="117">
        <v>45.06</v>
      </c>
    </row>
    <row r="4538" spans="1:5" x14ac:dyDescent="0.25">
      <c r="A4538" s="119" t="s">
        <v>5127</v>
      </c>
      <c r="B4538" s="119" t="s">
        <v>5128</v>
      </c>
      <c r="C4538" s="119" t="s">
        <v>66</v>
      </c>
      <c r="D4538" t="s">
        <v>51</v>
      </c>
      <c r="E4538" s="117">
        <v>48.81</v>
      </c>
    </row>
    <row r="4539" spans="1:5" x14ac:dyDescent="0.25">
      <c r="A4539" s="119" t="s">
        <v>5129</v>
      </c>
      <c r="B4539" s="119" t="s">
        <v>5130</v>
      </c>
      <c r="C4539" s="119" t="s">
        <v>66</v>
      </c>
      <c r="D4539" t="s">
        <v>51</v>
      </c>
      <c r="E4539" s="117">
        <v>60.08</v>
      </c>
    </row>
    <row r="4540" spans="1:5" x14ac:dyDescent="0.25">
      <c r="A4540" s="119" t="s">
        <v>7708</v>
      </c>
      <c r="B4540" s="119" t="s">
        <v>11832</v>
      </c>
      <c r="C4540" s="119" t="s">
        <v>66</v>
      </c>
      <c r="D4540" t="s">
        <v>51</v>
      </c>
      <c r="E4540" s="117">
        <v>374.55</v>
      </c>
    </row>
    <row r="4541" spans="1:5" x14ac:dyDescent="0.25">
      <c r="A4541" s="119" t="s">
        <v>5131</v>
      </c>
      <c r="B4541" s="119" t="s">
        <v>10914</v>
      </c>
      <c r="C4541" s="119" t="s">
        <v>66</v>
      </c>
      <c r="D4541" t="s">
        <v>51</v>
      </c>
      <c r="E4541" s="117">
        <v>140.71</v>
      </c>
    </row>
    <row r="4542" spans="1:5" x14ac:dyDescent="0.25">
      <c r="A4542" s="119" t="s">
        <v>5132</v>
      </c>
      <c r="B4542" s="119" t="s">
        <v>10915</v>
      </c>
      <c r="C4542" s="119" t="s">
        <v>66</v>
      </c>
      <c r="D4542" t="s">
        <v>49</v>
      </c>
      <c r="E4542" s="117">
        <v>280.68</v>
      </c>
    </row>
    <row r="4543" spans="1:5" x14ac:dyDescent="0.25">
      <c r="A4543" s="119" t="s">
        <v>5133</v>
      </c>
      <c r="B4543" s="119" t="s">
        <v>10915</v>
      </c>
      <c r="C4543" s="119" t="s">
        <v>66</v>
      </c>
      <c r="D4543" t="s">
        <v>49</v>
      </c>
      <c r="E4543" s="117">
        <v>308.83999999999997</v>
      </c>
    </row>
    <row r="4544" spans="1:5" x14ac:dyDescent="0.25">
      <c r="A4544" s="119" t="s">
        <v>5134</v>
      </c>
      <c r="B4544" s="119" t="s">
        <v>6354</v>
      </c>
      <c r="C4544" s="119" t="s">
        <v>66</v>
      </c>
      <c r="D4544" t="s">
        <v>45</v>
      </c>
      <c r="E4544" s="117">
        <v>319.17</v>
      </c>
    </row>
    <row r="4545" spans="1:5" x14ac:dyDescent="0.25">
      <c r="A4545" s="119" t="s">
        <v>5135</v>
      </c>
      <c r="B4545" s="119" t="s">
        <v>10916</v>
      </c>
      <c r="C4545" s="119" t="s">
        <v>66</v>
      </c>
      <c r="D4545" t="s">
        <v>6759</v>
      </c>
      <c r="E4545" s="117">
        <v>420</v>
      </c>
    </row>
    <row r="4546" spans="1:5" x14ac:dyDescent="0.25">
      <c r="A4546" s="119" t="s">
        <v>5136</v>
      </c>
      <c r="B4546" s="119" t="s">
        <v>5137</v>
      </c>
      <c r="C4546" s="119" t="s">
        <v>66</v>
      </c>
      <c r="D4546" t="s">
        <v>51</v>
      </c>
      <c r="E4546" s="117">
        <v>8</v>
      </c>
    </row>
    <row r="4547" spans="1:5" x14ac:dyDescent="0.25">
      <c r="A4547" s="119" t="s">
        <v>5138</v>
      </c>
      <c r="B4547" s="119" t="s">
        <v>5139</v>
      </c>
      <c r="C4547" s="119" t="s">
        <v>66</v>
      </c>
      <c r="D4547" t="s">
        <v>51</v>
      </c>
      <c r="E4547" s="117">
        <v>67.59</v>
      </c>
    </row>
    <row r="4548" spans="1:5" x14ac:dyDescent="0.25">
      <c r="A4548" s="119" t="s">
        <v>5140</v>
      </c>
      <c r="B4548" s="119" t="s">
        <v>5141</v>
      </c>
      <c r="C4548" s="119" t="s">
        <v>66</v>
      </c>
      <c r="D4548" t="s">
        <v>51</v>
      </c>
      <c r="E4548" s="117">
        <v>443.76</v>
      </c>
    </row>
    <row r="4549" spans="1:5" x14ac:dyDescent="0.25">
      <c r="A4549" s="119" t="s">
        <v>5142</v>
      </c>
      <c r="B4549" s="119" t="s">
        <v>5143</v>
      </c>
      <c r="C4549" s="119" t="s">
        <v>66</v>
      </c>
      <c r="D4549" t="s">
        <v>51</v>
      </c>
      <c r="E4549" s="117">
        <v>665.64</v>
      </c>
    </row>
    <row r="4550" spans="1:5" x14ac:dyDescent="0.25">
      <c r="A4550" s="119" t="s">
        <v>11658</v>
      </c>
      <c r="B4550" s="119" t="s">
        <v>11659</v>
      </c>
      <c r="C4550" s="119" t="s">
        <v>66</v>
      </c>
      <c r="D4550" t="s">
        <v>45</v>
      </c>
      <c r="E4550" s="117">
        <v>99999</v>
      </c>
    </row>
    <row r="4551" spans="1:5" x14ac:dyDescent="0.25">
      <c r="A4551" s="119" t="s">
        <v>8156</v>
      </c>
      <c r="B4551" s="119" t="s">
        <v>10917</v>
      </c>
      <c r="C4551" s="119" t="s">
        <v>66</v>
      </c>
      <c r="D4551" t="s">
        <v>45</v>
      </c>
      <c r="E4551" s="117">
        <v>9999</v>
      </c>
    </row>
    <row r="4552" spans="1:5" x14ac:dyDescent="0.25">
      <c r="A4552" s="119" t="s">
        <v>8157</v>
      </c>
      <c r="B4552" s="119" t="s">
        <v>8893</v>
      </c>
      <c r="C4552" s="119" t="s">
        <v>66</v>
      </c>
      <c r="D4552" t="s">
        <v>45</v>
      </c>
      <c r="E4552" s="117">
        <v>9999</v>
      </c>
    </row>
    <row r="4553" spans="1:5" x14ac:dyDescent="0.25">
      <c r="A4553" s="119" t="s">
        <v>5144</v>
      </c>
      <c r="B4553" s="119" t="s">
        <v>5145</v>
      </c>
      <c r="C4553" s="119" t="s">
        <v>66</v>
      </c>
      <c r="D4553" t="s">
        <v>6759</v>
      </c>
      <c r="E4553" s="117">
        <v>199</v>
      </c>
    </row>
    <row r="4554" spans="1:5" x14ac:dyDescent="0.25">
      <c r="A4554" s="119" t="s">
        <v>5146</v>
      </c>
      <c r="B4554" s="119" t="s">
        <v>5147</v>
      </c>
      <c r="C4554" s="119" t="s">
        <v>66</v>
      </c>
      <c r="D4554" t="s">
        <v>6759</v>
      </c>
      <c r="E4554" s="117">
        <v>249</v>
      </c>
    </row>
    <row r="4555" spans="1:5" x14ac:dyDescent="0.25">
      <c r="A4555" s="119" t="s">
        <v>5148</v>
      </c>
      <c r="B4555" s="119" t="s">
        <v>5149</v>
      </c>
      <c r="C4555" s="119" t="s">
        <v>66</v>
      </c>
      <c r="D4555" t="s">
        <v>51</v>
      </c>
      <c r="E4555" s="117">
        <v>56.23</v>
      </c>
    </row>
    <row r="4556" spans="1:5" x14ac:dyDescent="0.25">
      <c r="A4556" s="119" t="s">
        <v>5150</v>
      </c>
      <c r="B4556" s="119" t="s">
        <v>5151</v>
      </c>
      <c r="C4556" s="119" t="s">
        <v>66</v>
      </c>
      <c r="D4556" t="s">
        <v>49</v>
      </c>
      <c r="E4556" s="117">
        <v>130.47999999999999</v>
      </c>
    </row>
    <row r="4557" spans="1:5" x14ac:dyDescent="0.25">
      <c r="A4557" s="119" t="s">
        <v>5152</v>
      </c>
      <c r="B4557" s="119" t="s">
        <v>7709</v>
      </c>
      <c r="C4557" s="119" t="s">
        <v>66</v>
      </c>
      <c r="D4557" t="s">
        <v>51</v>
      </c>
      <c r="E4557" s="117">
        <v>38.200000000000003</v>
      </c>
    </row>
    <row r="4558" spans="1:5" x14ac:dyDescent="0.25">
      <c r="A4558" s="119" t="s">
        <v>5153</v>
      </c>
      <c r="B4558" s="119" t="s">
        <v>5154</v>
      </c>
      <c r="C4558" s="119" t="s">
        <v>66</v>
      </c>
      <c r="D4558" t="s">
        <v>51</v>
      </c>
      <c r="E4558" s="117">
        <v>34.9</v>
      </c>
    </row>
    <row r="4559" spans="1:5" x14ac:dyDescent="0.25">
      <c r="A4559" s="119" t="s">
        <v>5155</v>
      </c>
      <c r="B4559" s="119" t="s">
        <v>7710</v>
      </c>
      <c r="C4559" s="119" t="s">
        <v>66</v>
      </c>
      <c r="D4559" t="s">
        <v>49</v>
      </c>
      <c r="E4559" s="117">
        <v>82.9</v>
      </c>
    </row>
    <row r="4560" spans="1:5" x14ac:dyDescent="0.25">
      <c r="A4560" s="119" t="s">
        <v>5156</v>
      </c>
      <c r="B4560" s="119" t="s">
        <v>8303</v>
      </c>
      <c r="C4560" s="119" t="s">
        <v>66</v>
      </c>
      <c r="D4560" t="s">
        <v>6760</v>
      </c>
      <c r="E4560" s="117">
        <v>74.16</v>
      </c>
    </row>
    <row r="4561" spans="1:5" x14ac:dyDescent="0.25">
      <c r="A4561" s="119" t="s">
        <v>6845</v>
      </c>
      <c r="B4561" s="119" t="s">
        <v>11833</v>
      </c>
      <c r="C4561" s="119" t="s">
        <v>66</v>
      </c>
      <c r="D4561" t="s">
        <v>49</v>
      </c>
      <c r="E4561" s="117">
        <v>44.72</v>
      </c>
    </row>
    <row r="4562" spans="1:5" x14ac:dyDescent="0.25">
      <c r="A4562" s="119" t="s">
        <v>5157</v>
      </c>
      <c r="B4562" s="119" t="s">
        <v>8314</v>
      </c>
      <c r="C4562" s="119" t="s">
        <v>66</v>
      </c>
      <c r="D4562" t="s">
        <v>45</v>
      </c>
      <c r="E4562" s="117">
        <v>999999</v>
      </c>
    </row>
    <row r="4563" spans="1:5" x14ac:dyDescent="0.25">
      <c r="A4563" s="119" t="s">
        <v>7711</v>
      </c>
      <c r="B4563" s="119" t="s">
        <v>11834</v>
      </c>
      <c r="C4563" s="119" t="s">
        <v>66</v>
      </c>
      <c r="D4563" t="s">
        <v>49</v>
      </c>
      <c r="E4563" s="117">
        <v>75.599999999999994</v>
      </c>
    </row>
    <row r="4564" spans="1:5" x14ac:dyDescent="0.25">
      <c r="A4564" s="119" t="s">
        <v>7712</v>
      </c>
      <c r="B4564" s="119" t="s">
        <v>11835</v>
      </c>
      <c r="C4564" s="119" t="s">
        <v>66</v>
      </c>
      <c r="D4564" t="s">
        <v>49</v>
      </c>
      <c r="E4564" s="117">
        <v>77.7</v>
      </c>
    </row>
    <row r="4565" spans="1:5" x14ac:dyDescent="0.25">
      <c r="A4565" s="119" t="s">
        <v>5158</v>
      </c>
      <c r="B4565" s="119" t="s">
        <v>8306</v>
      </c>
      <c r="C4565" s="119" t="s">
        <v>66</v>
      </c>
      <c r="D4565" t="s">
        <v>6760</v>
      </c>
      <c r="E4565" s="117">
        <v>0</v>
      </c>
    </row>
    <row r="4566" spans="1:5" x14ac:dyDescent="0.25">
      <c r="A4566" s="119" t="s">
        <v>5159</v>
      </c>
      <c r="B4566" s="119" t="s">
        <v>6731</v>
      </c>
      <c r="C4566" s="119" t="s">
        <v>66</v>
      </c>
      <c r="D4566" t="s">
        <v>6760</v>
      </c>
      <c r="E4566" s="117">
        <v>153.9</v>
      </c>
    </row>
    <row r="4567" spans="1:5" x14ac:dyDescent="0.25">
      <c r="A4567" s="119" t="s">
        <v>5160</v>
      </c>
      <c r="B4567" s="119" t="s">
        <v>5161</v>
      </c>
      <c r="C4567" s="119" t="s">
        <v>66</v>
      </c>
      <c r="D4567" t="s">
        <v>51</v>
      </c>
      <c r="E4567" s="117">
        <v>9.9</v>
      </c>
    </row>
    <row r="4568" spans="1:5" x14ac:dyDescent="0.25">
      <c r="A4568" s="119" t="s">
        <v>5162</v>
      </c>
      <c r="B4568" s="119" t="s">
        <v>5163</v>
      </c>
      <c r="C4568" s="119" t="s">
        <v>66</v>
      </c>
      <c r="D4568" t="s">
        <v>51</v>
      </c>
      <c r="E4568" s="117">
        <v>13.1</v>
      </c>
    </row>
    <row r="4569" spans="1:5" x14ac:dyDescent="0.25">
      <c r="A4569" s="119" t="s">
        <v>5164</v>
      </c>
      <c r="B4569" s="119" t="s">
        <v>7713</v>
      </c>
      <c r="C4569" s="119" t="s">
        <v>66</v>
      </c>
      <c r="D4569" t="s">
        <v>51</v>
      </c>
      <c r="E4569" s="117">
        <v>104.9</v>
      </c>
    </row>
    <row r="4570" spans="1:5" x14ac:dyDescent="0.25">
      <c r="A4570" s="119" t="s">
        <v>5165</v>
      </c>
      <c r="B4570" s="119" t="s">
        <v>6305</v>
      </c>
      <c r="C4570" s="119" t="s">
        <v>66</v>
      </c>
      <c r="D4570" t="s">
        <v>6760</v>
      </c>
      <c r="E4570" s="117">
        <v>29.8</v>
      </c>
    </row>
    <row r="4571" spans="1:5" x14ac:dyDescent="0.25">
      <c r="A4571" s="119" t="s">
        <v>5166</v>
      </c>
      <c r="B4571" s="119" t="s">
        <v>6306</v>
      </c>
      <c r="C4571" s="119" t="s">
        <v>66</v>
      </c>
      <c r="D4571" t="s">
        <v>49</v>
      </c>
      <c r="E4571" s="117">
        <v>31.5</v>
      </c>
    </row>
    <row r="4572" spans="1:5" x14ac:dyDescent="0.25">
      <c r="A4572" s="119" t="s">
        <v>5167</v>
      </c>
      <c r="B4572" s="119" t="s">
        <v>7714</v>
      </c>
      <c r="C4572" s="119" t="s">
        <v>66</v>
      </c>
      <c r="D4572" t="s">
        <v>51</v>
      </c>
      <c r="E4572" s="117">
        <v>124.5</v>
      </c>
    </row>
    <row r="4573" spans="1:5" x14ac:dyDescent="0.25">
      <c r="A4573" s="119" t="s">
        <v>5168</v>
      </c>
      <c r="B4573" s="119" t="s">
        <v>6323</v>
      </c>
      <c r="C4573" s="119" t="s">
        <v>66</v>
      </c>
      <c r="D4573" t="s">
        <v>51</v>
      </c>
      <c r="E4573" s="117">
        <v>7.2</v>
      </c>
    </row>
    <row r="4574" spans="1:5" x14ac:dyDescent="0.25">
      <c r="A4574" s="119" t="s">
        <v>5169</v>
      </c>
      <c r="B4574" s="119" t="s">
        <v>10918</v>
      </c>
      <c r="C4574" s="119" t="s">
        <v>66</v>
      </c>
      <c r="D4574" t="s">
        <v>51</v>
      </c>
      <c r="E4574" s="117">
        <v>84.9</v>
      </c>
    </row>
    <row r="4575" spans="1:5" x14ac:dyDescent="0.25">
      <c r="A4575" s="119" t="s">
        <v>5170</v>
      </c>
      <c r="B4575" s="119" t="s">
        <v>6307</v>
      </c>
      <c r="C4575" s="119" t="s">
        <v>66</v>
      </c>
      <c r="D4575" t="s">
        <v>6760</v>
      </c>
      <c r="E4575" s="117">
        <v>589</v>
      </c>
    </row>
    <row r="4576" spans="1:5" x14ac:dyDescent="0.25">
      <c r="A4576" s="119" t="s">
        <v>5171</v>
      </c>
      <c r="B4576" s="119" t="s">
        <v>5172</v>
      </c>
      <c r="C4576" s="119" t="s">
        <v>66</v>
      </c>
      <c r="D4576" t="s">
        <v>45</v>
      </c>
      <c r="E4576" s="117">
        <v>522.80999999999995</v>
      </c>
    </row>
    <row r="4577" spans="1:5" x14ac:dyDescent="0.25">
      <c r="A4577" s="119" t="s">
        <v>5173</v>
      </c>
      <c r="B4577" s="119" t="s">
        <v>8294</v>
      </c>
      <c r="C4577" s="119" t="s">
        <v>66</v>
      </c>
      <c r="D4577" t="s">
        <v>45</v>
      </c>
      <c r="E4577" s="117">
        <v>999999</v>
      </c>
    </row>
    <row r="4578" spans="1:5" x14ac:dyDescent="0.25">
      <c r="A4578" s="119" t="s">
        <v>5174</v>
      </c>
      <c r="B4578" s="119" t="s">
        <v>6774</v>
      </c>
      <c r="C4578" s="119" t="s">
        <v>66</v>
      </c>
      <c r="D4578" t="s">
        <v>49</v>
      </c>
      <c r="E4578" s="117">
        <v>229.9</v>
      </c>
    </row>
    <row r="4579" spans="1:5" x14ac:dyDescent="0.25">
      <c r="A4579" s="119" t="s">
        <v>5175</v>
      </c>
      <c r="B4579" s="119" t="s">
        <v>7715</v>
      </c>
      <c r="C4579" s="119" t="s">
        <v>66</v>
      </c>
      <c r="D4579" t="s">
        <v>51</v>
      </c>
      <c r="E4579" s="117">
        <v>21.9</v>
      </c>
    </row>
    <row r="4580" spans="1:5" x14ac:dyDescent="0.25">
      <c r="A4580" s="119" t="s">
        <v>5176</v>
      </c>
      <c r="B4580" s="119" t="s">
        <v>6775</v>
      </c>
      <c r="C4580" s="119" t="s">
        <v>66</v>
      </c>
      <c r="D4580" t="s">
        <v>51</v>
      </c>
      <c r="E4580" s="117">
        <v>33.9</v>
      </c>
    </row>
    <row r="4581" spans="1:5" x14ac:dyDescent="0.25">
      <c r="A4581" s="119" t="s">
        <v>5177</v>
      </c>
      <c r="B4581" s="119" t="s">
        <v>6776</v>
      </c>
      <c r="C4581" s="119" t="s">
        <v>66</v>
      </c>
      <c r="D4581" t="s">
        <v>51</v>
      </c>
      <c r="E4581" s="117">
        <v>39.9</v>
      </c>
    </row>
    <row r="4582" spans="1:5" x14ac:dyDescent="0.25">
      <c r="A4582" s="119" t="s">
        <v>5178</v>
      </c>
      <c r="B4582" s="119" t="s">
        <v>6732</v>
      </c>
      <c r="C4582" s="119" t="s">
        <v>66</v>
      </c>
      <c r="D4582" t="s">
        <v>6760</v>
      </c>
      <c r="E4582" s="117">
        <v>89.9</v>
      </c>
    </row>
    <row r="4583" spans="1:5" x14ac:dyDescent="0.25">
      <c r="A4583" s="119" t="s">
        <v>5179</v>
      </c>
      <c r="B4583" s="119" t="s">
        <v>6733</v>
      </c>
      <c r="C4583" s="119" t="s">
        <v>66</v>
      </c>
      <c r="D4583" t="s">
        <v>49</v>
      </c>
      <c r="E4583" s="117">
        <v>100.9</v>
      </c>
    </row>
    <row r="4584" spans="1:5" x14ac:dyDescent="0.25">
      <c r="A4584" s="119" t="s">
        <v>5180</v>
      </c>
      <c r="B4584" s="119" t="s">
        <v>6734</v>
      </c>
      <c r="C4584" s="119" t="s">
        <v>66</v>
      </c>
      <c r="D4584" t="s">
        <v>6760</v>
      </c>
      <c r="E4584" s="117">
        <v>102.9</v>
      </c>
    </row>
    <row r="4585" spans="1:5" x14ac:dyDescent="0.25">
      <c r="A4585" s="119" t="s">
        <v>5181</v>
      </c>
      <c r="B4585" s="119" t="s">
        <v>6735</v>
      </c>
      <c r="C4585" s="119" t="s">
        <v>66</v>
      </c>
      <c r="D4585" t="s">
        <v>6760</v>
      </c>
      <c r="E4585" s="117">
        <v>105.9</v>
      </c>
    </row>
    <row r="4586" spans="1:5" x14ac:dyDescent="0.25">
      <c r="A4586" s="119" t="s">
        <v>5182</v>
      </c>
      <c r="B4586" s="119" t="s">
        <v>6736</v>
      </c>
      <c r="C4586" s="119" t="s">
        <v>66</v>
      </c>
      <c r="D4586" t="s">
        <v>49</v>
      </c>
      <c r="E4586" s="117">
        <v>107.9</v>
      </c>
    </row>
    <row r="4587" spans="1:5" x14ac:dyDescent="0.25">
      <c r="A4587" s="119" t="s">
        <v>5183</v>
      </c>
      <c r="B4587" s="119" t="s">
        <v>6737</v>
      </c>
      <c r="C4587" s="119" t="s">
        <v>66</v>
      </c>
      <c r="D4587" t="s">
        <v>49</v>
      </c>
      <c r="E4587" s="117">
        <v>141.9</v>
      </c>
    </row>
    <row r="4588" spans="1:5" x14ac:dyDescent="0.25">
      <c r="A4588" s="119" t="s">
        <v>5184</v>
      </c>
      <c r="B4588" s="119" t="s">
        <v>6738</v>
      </c>
      <c r="C4588" s="119" t="s">
        <v>66</v>
      </c>
      <c r="D4588" t="s">
        <v>6760</v>
      </c>
      <c r="E4588" s="117">
        <v>143.9</v>
      </c>
    </row>
    <row r="4589" spans="1:5" x14ac:dyDescent="0.25">
      <c r="A4589" s="119" t="s">
        <v>5185</v>
      </c>
      <c r="B4589" s="119" t="s">
        <v>6739</v>
      </c>
      <c r="C4589" s="119" t="s">
        <v>66</v>
      </c>
      <c r="D4589" t="s">
        <v>49</v>
      </c>
      <c r="E4589" s="117">
        <v>150.5</v>
      </c>
    </row>
    <row r="4590" spans="1:5" x14ac:dyDescent="0.25">
      <c r="A4590" s="119" t="s">
        <v>5186</v>
      </c>
      <c r="B4590" s="119" t="s">
        <v>6740</v>
      </c>
      <c r="C4590" s="119" t="s">
        <v>66</v>
      </c>
      <c r="D4590" t="s">
        <v>49</v>
      </c>
      <c r="E4590" s="117">
        <v>159.9</v>
      </c>
    </row>
    <row r="4591" spans="1:5" x14ac:dyDescent="0.25">
      <c r="A4591" s="119" t="s">
        <v>6839</v>
      </c>
      <c r="B4591" s="119" t="s">
        <v>7716</v>
      </c>
      <c r="C4591" s="119" t="s">
        <v>66</v>
      </c>
      <c r="D4591" t="s">
        <v>6760</v>
      </c>
      <c r="E4591" s="117">
        <v>280.68</v>
      </c>
    </row>
    <row r="4592" spans="1:5" x14ac:dyDescent="0.25">
      <c r="A4592" s="119" t="s">
        <v>6386</v>
      </c>
      <c r="B4592" s="119" t="s">
        <v>10919</v>
      </c>
      <c r="C4592" s="119" t="s">
        <v>66</v>
      </c>
      <c r="D4592" t="s">
        <v>6759</v>
      </c>
      <c r="E4592" s="117">
        <v>374.55</v>
      </c>
    </row>
    <row r="4593" spans="1:5" x14ac:dyDescent="0.25">
      <c r="A4593" s="119" t="s">
        <v>6298</v>
      </c>
      <c r="B4593" s="119" t="s">
        <v>7717</v>
      </c>
      <c r="C4593" s="119" t="s">
        <v>66</v>
      </c>
      <c r="D4593" t="s">
        <v>45</v>
      </c>
      <c r="E4593" s="117">
        <v>234.59</v>
      </c>
    </row>
    <row r="4594" spans="1:5" x14ac:dyDescent="0.25">
      <c r="A4594" s="119" t="s">
        <v>7718</v>
      </c>
      <c r="B4594" s="119" t="s">
        <v>11836</v>
      </c>
      <c r="C4594" s="119" t="s">
        <v>66</v>
      </c>
      <c r="D4594" t="s">
        <v>6760</v>
      </c>
      <c r="E4594" s="117">
        <v>64.77</v>
      </c>
    </row>
    <row r="4595" spans="1:5" x14ac:dyDescent="0.25">
      <c r="A4595" s="119" t="s">
        <v>8158</v>
      </c>
      <c r="B4595" s="119" t="s">
        <v>8159</v>
      </c>
      <c r="C4595" s="119" t="s">
        <v>66</v>
      </c>
      <c r="D4595" t="s">
        <v>45</v>
      </c>
      <c r="E4595" s="117">
        <v>9999</v>
      </c>
    </row>
    <row r="4596" spans="1:5" x14ac:dyDescent="0.25">
      <c r="A4596" s="119" t="s">
        <v>8160</v>
      </c>
      <c r="B4596" s="119" t="s">
        <v>8161</v>
      </c>
      <c r="C4596" s="119" t="s">
        <v>66</v>
      </c>
      <c r="D4596" t="s">
        <v>45</v>
      </c>
      <c r="E4596" s="117">
        <v>9999</v>
      </c>
    </row>
    <row r="4597" spans="1:5" x14ac:dyDescent="0.25">
      <c r="A4597" s="119" t="s">
        <v>8162</v>
      </c>
      <c r="B4597" s="119" t="s">
        <v>8163</v>
      </c>
      <c r="C4597" s="119" t="s">
        <v>66</v>
      </c>
      <c r="D4597" t="s">
        <v>45</v>
      </c>
      <c r="E4597" s="117">
        <v>9999</v>
      </c>
    </row>
    <row r="4598" spans="1:5" x14ac:dyDescent="0.25">
      <c r="A4598" s="119" t="s">
        <v>7719</v>
      </c>
      <c r="B4598" s="119" t="s">
        <v>11837</v>
      </c>
      <c r="C4598" s="119" t="s">
        <v>66</v>
      </c>
      <c r="D4598" t="s">
        <v>6760</v>
      </c>
      <c r="E4598" s="117">
        <v>102.32</v>
      </c>
    </row>
    <row r="4599" spans="1:5" x14ac:dyDescent="0.25">
      <c r="A4599" s="119" t="s">
        <v>6613</v>
      </c>
      <c r="B4599" s="119" t="s">
        <v>7720</v>
      </c>
      <c r="C4599" s="119" t="s">
        <v>66</v>
      </c>
      <c r="D4599" t="s">
        <v>49</v>
      </c>
      <c r="E4599" s="117">
        <v>1313.27</v>
      </c>
    </row>
    <row r="4600" spans="1:5" x14ac:dyDescent="0.25">
      <c r="A4600" s="119" t="s">
        <v>6751</v>
      </c>
      <c r="B4600" s="119" t="s">
        <v>7721</v>
      </c>
      <c r="C4600" s="119" t="s">
        <v>66</v>
      </c>
      <c r="D4600" t="s">
        <v>6760</v>
      </c>
      <c r="E4600" s="117">
        <v>122.88</v>
      </c>
    </row>
    <row r="4601" spans="1:5" x14ac:dyDescent="0.25">
      <c r="A4601" s="119" t="s">
        <v>6752</v>
      </c>
      <c r="B4601" s="119" t="s">
        <v>7722</v>
      </c>
      <c r="C4601" s="119" t="s">
        <v>66</v>
      </c>
      <c r="D4601" t="s">
        <v>6760</v>
      </c>
      <c r="E4601" s="117">
        <v>365.16</v>
      </c>
    </row>
    <row r="4602" spans="1:5" x14ac:dyDescent="0.25">
      <c r="A4602" s="119" t="s">
        <v>6753</v>
      </c>
      <c r="B4602" s="119" t="s">
        <v>10920</v>
      </c>
      <c r="C4602" s="119" t="s">
        <v>66</v>
      </c>
      <c r="D4602" t="s">
        <v>49</v>
      </c>
      <c r="E4602" s="117">
        <v>346.39</v>
      </c>
    </row>
    <row r="4603" spans="1:5" x14ac:dyDescent="0.25">
      <c r="A4603" s="119" t="s">
        <v>6754</v>
      </c>
      <c r="B4603" s="119" t="s">
        <v>7723</v>
      </c>
      <c r="C4603" s="119" t="s">
        <v>66</v>
      </c>
      <c r="D4603" t="s">
        <v>6760</v>
      </c>
      <c r="E4603" s="117">
        <v>562.29</v>
      </c>
    </row>
    <row r="4604" spans="1:5" x14ac:dyDescent="0.25">
      <c r="A4604" s="119" t="s">
        <v>6755</v>
      </c>
      <c r="B4604" s="119" t="s">
        <v>7724</v>
      </c>
      <c r="C4604" s="119" t="s">
        <v>66</v>
      </c>
      <c r="D4604" t="s">
        <v>6759</v>
      </c>
      <c r="E4604" s="117">
        <v>374.55</v>
      </c>
    </row>
    <row r="4605" spans="1:5" x14ac:dyDescent="0.25">
      <c r="A4605" s="119" t="s">
        <v>6756</v>
      </c>
      <c r="B4605" s="119" t="s">
        <v>7725</v>
      </c>
      <c r="C4605" s="119" t="s">
        <v>66</v>
      </c>
      <c r="D4605" t="s">
        <v>49</v>
      </c>
      <c r="E4605" s="117">
        <v>402.71</v>
      </c>
    </row>
    <row r="4606" spans="1:5" x14ac:dyDescent="0.25">
      <c r="A4606" s="119" t="s">
        <v>10921</v>
      </c>
      <c r="B4606" s="119" t="s">
        <v>10922</v>
      </c>
      <c r="C4606" s="119" t="s">
        <v>66</v>
      </c>
      <c r="D4606" t="s">
        <v>45</v>
      </c>
      <c r="E4606" s="117">
        <v>9999</v>
      </c>
    </row>
    <row r="4607" spans="1:5" x14ac:dyDescent="0.25">
      <c r="A4607" s="119" t="s">
        <v>6778</v>
      </c>
      <c r="B4607" s="119" t="s">
        <v>10923</v>
      </c>
      <c r="C4607" s="119" t="s">
        <v>66</v>
      </c>
      <c r="D4607" t="s">
        <v>49</v>
      </c>
      <c r="E4607" s="117">
        <v>380</v>
      </c>
    </row>
    <row r="4608" spans="1:5" x14ac:dyDescent="0.25">
      <c r="A4608" s="119" t="s">
        <v>6779</v>
      </c>
      <c r="B4608" s="119" t="s">
        <v>10924</v>
      </c>
      <c r="C4608" s="119" t="s">
        <v>66</v>
      </c>
      <c r="D4608" t="s">
        <v>49</v>
      </c>
      <c r="E4608" s="117">
        <v>410</v>
      </c>
    </row>
    <row r="4609" spans="1:5" x14ac:dyDescent="0.25">
      <c r="A4609" s="119" t="s">
        <v>6780</v>
      </c>
      <c r="B4609" s="119" t="s">
        <v>10925</v>
      </c>
      <c r="C4609" s="119" t="s">
        <v>66</v>
      </c>
      <c r="D4609" t="s">
        <v>49</v>
      </c>
      <c r="E4609" s="117">
        <v>430</v>
      </c>
    </row>
    <row r="4610" spans="1:5" x14ac:dyDescent="0.25">
      <c r="A4610" s="119" t="s">
        <v>6781</v>
      </c>
      <c r="B4610" s="119" t="s">
        <v>10926</v>
      </c>
      <c r="C4610" s="119" t="s">
        <v>66</v>
      </c>
      <c r="D4610" t="s">
        <v>51</v>
      </c>
      <c r="E4610" s="117">
        <v>495</v>
      </c>
    </row>
    <row r="4611" spans="1:5" x14ac:dyDescent="0.25">
      <c r="A4611" s="119" t="s">
        <v>6782</v>
      </c>
      <c r="B4611" s="119" t="s">
        <v>10927</v>
      </c>
      <c r="C4611" s="119" t="s">
        <v>66</v>
      </c>
      <c r="D4611" t="s">
        <v>51</v>
      </c>
      <c r="E4611" s="117">
        <v>580</v>
      </c>
    </row>
    <row r="4612" spans="1:5" x14ac:dyDescent="0.25">
      <c r="A4612" s="119" t="s">
        <v>6783</v>
      </c>
      <c r="B4612" s="119" t="s">
        <v>10928</v>
      </c>
      <c r="C4612" s="119" t="s">
        <v>66</v>
      </c>
      <c r="D4612" t="s">
        <v>6760</v>
      </c>
      <c r="E4612" s="117">
        <v>14</v>
      </c>
    </row>
    <row r="4613" spans="1:5" x14ac:dyDescent="0.25">
      <c r="A4613" s="119" t="s">
        <v>6784</v>
      </c>
      <c r="B4613" s="119" t="s">
        <v>10929</v>
      </c>
      <c r="C4613" s="119" t="s">
        <v>66</v>
      </c>
      <c r="D4613" t="s">
        <v>49</v>
      </c>
      <c r="E4613" s="117">
        <v>140</v>
      </c>
    </row>
    <row r="4614" spans="1:5" x14ac:dyDescent="0.25">
      <c r="A4614" s="119" t="s">
        <v>6785</v>
      </c>
      <c r="B4614" s="119" t="s">
        <v>10930</v>
      </c>
      <c r="C4614" s="119" t="s">
        <v>66</v>
      </c>
      <c r="D4614" t="s">
        <v>6760</v>
      </c>
      <c r="E4614" s="117">
        <v>40</v>
      </c>
    </row>
    <row r="4615" spans="1:5" x14ac:dyDescent="0.25">
      <c r="A4615" s="119" t="s">
        <v>6786</v>
      </c>
      <c r="B4615" s="119" t="s">
        <v>10931</v>
      </c>
      <c r="C4615" s="119" t="s">
        <v>66</v>
      </c>
      <c r="D4615" t="s">
        <v>6760</v>
      </c>
      <c r="E4615" s="117">
        <v>45</v>
      </c>
    </row>
    <row r="4616" spans="1:5" x14ac:dyDescent="0.25">
      <c r="A4616" s="119" t="s">
        <v>6787</v>
      </c>
      <c r="B4616" s="119" t="s">
        <v>10932</v>
      </c>
      <c r="C4616" s="119" t="s">
        <v>66</v>
      </c>
      <c r="D4616" t="s">
        <v>45</v>
      </c>
      <c r="E4616" s="117">
        <v>0</v>
      </c>
    </row>
    <row r="4617" spans="1:5" x14ac:dyDescent="0.25">
      <c r="A4617" s="119" t="s">
        <v>6788</v>
      </c>
      <c r="B4617" s="119" t="s">
        <v>10933</v>
      </c>
      <c r="C4617" s="119" t="s">
        <v>66</v>
      </c>
      <c r="D4617" t="s">
        <v>6760</v>
      </c>
      <c r="E4617" s="117">
        <v>55</v>
      </c>
    </row>
    <row r="4618" spans="1:5" x14ac:dyDescent="0.25">
      <c r="A4618" s="119" t="s">
        <v>6789</v>
      </c>
      <c r="B4618" s="119" t="s">
        <v>11632</v>
      </c>
      <c r="C4618" s="119" t="s">
        <v>66</v>
      </c>
      <c r="D4618" t="s">
        <v>49</v>
      </c>
      <c r="E4618" s="117">
        <v>59</v>
      </c>
    </row>
    <row r="4619" spans="1:5" x14ac:dyDescent="0.25">
      <c r="A4619" s="119" t="s">
        <v>7726</v>
      </c>
      <c r="B4619" s="119" t="s">
        <v>7727</v>
      </c>
      <c r="C4619" s="119" t="s">
        <v>66</v>
      </c>
      <c r="D4619" t="s">
        <v>45</v>
      </c>
      <c r="E4619" s="117">
        <v>9999</v>
      </c>
    </row>
    <row r="4620" spans="1:5" x14ac:dyDescent="0.25">
      <c r="A4620" s="119" t="s">
        <v>7728</v>
      </c>
      <c r="B4620" s="119" t="s">
        <v>7729</v>
      </c>
      <c r="C4620" s="119" t="s">
        <v>66</v>
      </c>
      <c r="D4620" t="s">
        <v>45</v>
      </c>
      <c r="E4620" s="117">
        <v>9999</v>
      </c>
    </row>
    <row r="4621" spans="1:5" x14ac:dyDescent="0.25">
      <c r="A4621" s="119" t="s">
        <v>6819</v>
      </c>
      <c r="B4621" s="119" t="s">
        <v>11838</v>
      </c>
      <c r="C4621" s="119" t="s">
        <v>66</v>
      </c>
      <c r="D4621" t="s">
        <v>49</v>
      </c>
      <c r="E4621" s="117">
        <v>64.77</v>
      </c>
    </row>
    <row r="4622" spans="1:5" x14ac:dyDescent="0.25">
      <c r="A4622" s="119" t="s">
        <v>6820</v>
      </c>
      <c r="B4622" s="119" t="s">
        <v>11839</v>
      </c>
      <c r="C4622" s="119" t="s">
        <v>66</v>
      </c>
      <c r="D4622" t="s">
        <v>49</v>
      </c>
      <c r="E4622" s="117">
        <v>64.77</v>
      </c>
    </row>
    <row r="4623" spans="1:5" x14ac:dyDescent="0.25">
      <c r="A4623" s="119" t="s">
        <v>6821</v>
      </c>
      <c r="B4623" s="119" t="s">
        <v>11840</v>
      </c>
      <c r="C4623" s="119" t="s">
        <v>66</v>
      </c>
      <c r="D4623" t="s">
        <v>49</v>
      </c>
      <c r="E4623" s="117">
        <v>64.77</v>
      </c>
    </row>
    <row r="4624" spans="1:5" x14ac:dyDescent="0.25">
      <c r="A4624" s="119" t="s">
        <v>6822</v>
      </c>
      <c r="B4624" s="119" t="s">
        <v>11841</v>
      </c>
      <c r="C4624" s="119" t="s">
        <v>66</v>
      </c>
      <c r="D4624" t="s">
        <v>49</v>
      </c>
      <c r="E4624" s="117">
        <v>64.77</v>
      </c>
    </row>
    <row r="4625" spans="1:5" x14ac:dyDescent="0.25">
      <c r="A4625" s="119" t="s">
        <v>6823</v>
      </c>
      <c r="B4625" s="119" t="s">
        <v>11842</v>
      </c>
      <c r="C4625" s="119" t="s">
        <v>66</v>
      </c>
      <c r="D4625" t="s">
        <v>49</v>
      </c>
      <c r="E4625" s="117">
        <v>64.77</v>
      </c>
    </row>
    <row r="4626" spans="1:5" x14ac:dyDescent="0.25">
      <c r="A4626" s="119" t="s">
        <v>11678</v>
      </c>
      <c r="B4626" s="119" t="s">
        <v>11679</v>
      </c>
      <c r="C4626" s="119" t="s">
        <v>66</v>
      </c>
      <c r="D4626" t="s">
        <v>45</v>
      </c>
      <c r="E4626" s="117">
        <v>9999</v>
      </c>
    </row>
    <row r="4627" spans="1:5" x14ac:dyDescent="0.25">
      <c r="A4627" s="119" t="s">
        <v>7730</v>
      </c>
      <c r="B4627" s="119" t="s">
        <v>7731</v>
      </c>
      <c r="C4627" s="119" t="s">
        <v>66</v>
      </c>
      <c r="D4627" t="s">
        <v>6759</v>
      </c>
      <c r="E4627" s="117">
        <v>211.21</v>
      </c>
    </row>
    <row r="4628" spans="1:5" x14ac:dyDescent="0.25">
      <c r="A4628" s="119" t="s">
        <v>7732</v>
      </c>
      <c r="B4628" s="119" t="s">
        <v>7733</v>
      </c>
      <c r="C4628" s="119" t="s">
        <v>66</v>
      </c>
      <c r="D4628" t="s">
        <v>6759</v>
      </c>
      <c r="E4628" s="117">
        <v>239.37</v>
      </c>
    </row>
    <row r="4629" spans="1:5" x14ac:dyDescent="0.25">
      <c r="A4629" s="119" t="s">
        <v>7734</v>
      </c>
      <c r="B4629" s="119" t="s">
        <v>7735</v>
      </c>
      <c r="C4629" s="119" t="s">
        <v>66</v>
      </c>
      <c r="D4629" t="s">
        <v>45</v>
      </c>
      <c r="E4629" s="117">
        <v>267.54000000000002</v>
      </c>
    </row>
    <row r="4630" spans="1:5" x14ac:dyDescent="0.25">
      <c r="A4630" s="119" t="s">
        <v>7736</v>
      </c>
      <c r="B4630" s="119" t="s">
        <v>7737</v>
      </c>
      <c r="C4630" s="119" t="s">
        <v>66</v>
      </c>
      <c r="D4630" t="s">
        <v>45</v>
      </c>
      <c r="E4630" s="117">
        <v>225.29</v>
      </c>
    </row>
    <row r="4631" spans="1:5" x14ac:dyDescent="0.25">
      <c r="A4631" s="119" t="s">
        <v>7738</v>
      </c>
      <c r="B4631" s="119" t="s">
        <v>7739</v>
      </c>
      <c r="C4631" s="119" t="s">
        <v>66</v>
      </c>
      <c r="D4631" t="s">
        <v>49</v>
      </c>
      <c r="E4631" s="117">
        <v>83.55</v>
      </c>
    </row>
    <row r="4632" spans="1:5" x14ac:dyDescent="0.25">
      <c r="A4632" s="119" t="s">
        <v>7740</v>
      </c>
      <c r="B4632" s="119" t="s">
        <v>11843</v>
      </c>
      <c r="C4632" s="119" t="s">
        <v>66</v>
      </c>
      <c r="D4632" t="s">
        <v>6760</v>
      </c>
      <c r="E4632" s="117">
        <v>92.93</v>
      </c>
    </row>
    <row r="4633" spans="1:5" x14ac:dyDescent="0.25">
      <c r="A4633" s="119" t="s">
        <v>7741</v>
      </c>
      <c r="B4633" s="119" t="s">
        <v>7742</v>
      </c>
      <c r="C4633" s="119" t="s">
        <v>66</v>
      </c>
      <c r="D4633" t="s">
        <v>6760</v>
      </c>
      <c r="E4633" s="117">
        <v>73.22</v>
      </c>
    </row>
    <row r="4634" spans="1:5" x14ac:dyDescent="0.25">
      <c r="A4634" s="119" t="s">
        <v>7743</v>
      </c>
      <c r="B4634" s="119" t="s">
        <v>11844</v>
      </c>
      <c r="C4634" s="119" t="s">
        <v>66</v>
      </c>
      <c r="D4634" t="s">
        <v>49</v>
      </c>
      <c r="E4634" s="117">
        <v>130.47999999999999</v>
      </c>
    </row>
    <row r="4635" spans="1:5" x14ac:dyDescent="0.25">
      <c r="A4635" s="119" t="s">
        <v>6885</v>
      </c>
      <c r="B4635" s="119" t="s">
        <v>10934</v>
      </c>
      <c r="C4635" s="119" t="s">
        <v>66</v>
      </c>
      <c r="D4635" t="s">
        <v>45</v>
      </c>
      <c r="E4635" s="117">
        <v>9999</v>
      </c>
    </row>
    <row r="4636" spans="1:5" x14ac:dyDescent="0.25">
      <c r="A4636" s="119" t="s">
        <v>6886</v>
      </c>
      <c r="B4636" s="119" t="s">
        <v>10935</v>
      </c>
      <c r="C4636" s="119" t="s">
        <v>66</v>
      </c>
      <c r="D4636" t="s">
        <v>45</v>
      </c>
      <c r="E4636" s="117">
        <v>9999</v>
      </c>
    </row>
    <row r="4637" spans="1:5" x14ac:dyDescent="0.25">
      <c r="A4637" s="119" t="s">
        <v>6887</v>
      </c>
      <c r="B4637" s="119" t="s">
        <v>10936</v>
      </c>
      <c r="C4637" s="119" t="s">
        <v>66</v>
      </c>
      <c r="D4637" t="s">
        <v>45</v>
      </c>
      <c r="E4637" s="117">
        <v>9999</v>
      </c>
    </row>
    <row r="4638" spans="1:5" x14ac:dyDescent="0.25">
      <c r="A4638" s="119" t="s">
        <v>7744</v>
      </c>
      <c r="B4638" s="119" t="s">
        <v>11845</v>
      </c>
      <c r="C4638" s="119" t="s">
        <v>66</v>
      </c>
      <c r="D4638" t="s">
        <v>6759</v>
      </c>
      <c r="E4638" s="117">
        <v>637.39</v>
      </c>
    </row>
    <row r="4639" spans="1:5" x14ac:dyDescent="0.25">
      <c r="A4639" s="119" t="s">
        <v>7745</v>
      </c>
      <c r="B4639" s="119" t="s">
        <v>11846</v>
      </c>
      <c r="C4639" s="119" t="s">
        <v>66</v>
      </c>
      <c r="D4639" t="s">
        <v>49</v>
      </c>
      <c r="E4639" s="117">
        <v>12.11</v>
      </c>
    </row>
    <row r="4640" spans="1:5" x14ac:dyDescent="0.25">
      <c r="A4640" s="119" t="s">
        <v>7746</v>
      </c>
      <c r="B4640" s="119" t="s">
        <v>11847</v>
      </c>
      <c r="C4640" s="119" t="s">
        <v>66</v>
      </c>
      <c r="D4640" t="s">
        <v>49</v>
      </c>
      <c r="E4640" s="117">
        <v>12.11</v>
      </c>
    </row>
    <row r="4641" spans="1:5" x14ac:dyDescent="0.25">
      <c r="A4641" s="119" t="s">
        <v>7747</v>
      </c>
      <c r="B4641" s="119" t="s">
        <v>11848</v>
      </c>
      <c r="C4641" s="119" t="s">
        <v>66</v>
      </c>
      <c r="D4641" t="s">
        <v>49</v>
      </c>
      <c r="E4641" s="117">
        <v>12.11</v>
      </c>
    </row>
    <row r="4642" spans="1:5" x14ac:dyDescent="0.25">
      <c r="A4642" s="119" t="s">
        <v>7748</v>
      </c>
      <c r="B4642" s="119" t="s">
        <v>11849</v>
      </c>
      <c r="C4642" s="119" t="s">
        <v>66</v>
      </c>
      <c r="D4642" t="s">
        <v>49</v>
      </c>
      <c r="E4642" s="117">
        <v>12.11</v>
      </c>
    </row>
    <row r="4643" spans="1:5" x14ac:dyDescent="0.25">
      <c r="A4643" s="119" t="s">
        <v>7749</v>
      </c>
      <c r="B4643" s="119" t="s">
        <v>12242</v>
      </c>
      <c r="C4643" s="119" t="s">
        <v>66</v>
      </c>
      <c r="D4643" t="s">
        <v>51</v>
      </c>
      <c r="E4643" s="117">
        <v>122.03</v>
      </c>
    </row>
    <row r="4644" spans="1:5" x14ac:dyDescent="0.25">
      <c r="A4644" s="119" t="s">
        <v>7750</v>
      </c>
      <c r="B4644" s="119" t="s">
        <v>12243</v>
      </c>
      <c r="C4644" s="119" t="s">
        <v>66</v>
      </c>
      <c r="D4644" t="s">
        <v>51</v>
      </c>
      <c r="E4644" s="117">
        <v>155.83000000000001</v>
      </c>
    </row>
    <row r="4645" spans="1:5" x14ac:dyDescent="0.25">
      <c r="A4645" s="119" t="s">
        <v>6872</v>
      </c>
      <c r="B4645" s="119" t="s">
        <v>10937</v>
      </c>
      <c r="C4645" s="119" t="s">
        <v>66</v>
      </c>
      <c r="D4645" t="s">
        <v>49</v>
      </c>
      <c r="E4645" s="117">
        <v>168.03</v>
      </c>
    </row>
    <row r="4646" spans="1:5" x14ac:dyDescent="0.25">
      <c r="A4646" s="119" t="s">
        <v>7751</v>
      </c>
      <c r="B4646" s="119" t="s">
        <v>7752</v>
      </c>
      <c r="C4646" s="119" t="s">
        <v>66</v>
      </c>
      <c r="D4646" t="s">
        <v>49</v>
      </c>
      <c r="E4646" s="117">
        <v>40.369999999999997</v>
      </c>
    </row>
    <row r="4647" spans="1:5" x14ac:dyDescent="0.25">
      <c r="A4647" s="119" t="s">
        <v>7753</v>
      </c>
      <c r="B4647" s="119" t="s">
        <v>7754</v>
      </c>
      <c r="C4647" s="119" t="s">
        <v>66</v>
      </c>
      <c r="D4647" t="s">
        <v>49</v>
      </c>
      <c r="E4647" s="117">
        <v>49.75</v>
      </c>
    </row>
    <row r="4648" spans="1:5" x14ac:dyDescent="0.25">
      <c r="A4648" s="119" t="s">
        <v>7755</v>
      </c>
      <c r="B4648" s="119" t="s">
        <v>7756</v>
      </c>
      <c r="C4648" s="119" t="s">
        <v>66</v>
      </c>
      <c r="D4648" t="s">
        <v>49</v>
      </c>
      <c r="E4648" s="117">
        <v>64.77</v>
      </c>
    </row>
    <row r="4649" spans="1:5" x14ac:dyDescent="0.25">
      <c r="A4649" s="119" t="s">
        <v>7757</v>
      </c>
      <c r="B4649" s="119" t="s">
        <v>7758</v>
      </c>
      <c r="C4649" s="119" t="s">
        <v>66</v>
      </c>
      <c r="D4649" t="s">
        <v>49</v>
      </c>
      <c r="E4649" s="117">
        <v>76.98</v>
      </c>
    </row>
    <row r="4650" spans="1:5" x14ac:dyDescent="0.25">
      <c r="A4650" s="119" t="s">
        <v>7759</v>
      </c>
      <c r="B4650" s="119" t="s">
        <v>7760</v>
      </c>
      <c r="C4650" s="119" t="s">
        <v>66</v>
      </c>
      <c r="D4650" t="s">
        <v>49</v>
      </c>
      <c r="E4650" s="117">
        <v>87.3</v>
      </c>
    </row>
    <row r="4651" spans="1:5" x14ac:dyDescent="0.25">
      <c r="A4651" s="119" t="s">
        <v>8164</v>
      </c>
      <c r="B4651" s="119" t="s">
        <v>8165</v>
      </c>
      <c r="C4651" s="119" t="s">
        <v>66</v>
      </c>
      <c r="D4651" t="s">
        <v>45</v>
      </c>
      <c r="E4651" s="117">
        <v>9999</v>
      </c>
    </row>
    <row r="4652" spans="1:5" x14ac:dyDescent="0.25">
      <c r="A4652" s="119" t="s">
        <v>8166</v>
      </c>
      <c r="B4652" s="119" t="s">
        <v>8165</v>
      </c>
      <c r="C4652" s="119" t="s">
        <v>66</v>
      </c>
      <c r="D4652" t="s">
        <v>45</v>
      </c>
      <c r="E4652" s="117">
        <v>9999</v>
      </c>
    </row>
    <row r="4653" spans="1:5" x14ac:dyDescent="0.25">
      <c r="A4653" s="119" t="s">
        <v>11680</v>
      </c>
      <c r="B4653" s="119" t="s">
        <v>11681</v>
      </c>
      <c r="C4653" s="119" t="s">
        <v>66</v>
      </c>
      <c r="D4653" t="s">
        <v>45</v>
      </c>
      <c r="E4653" s="117">
        <v>9999</v>
      </c>
    </row>
    <row r="4654" spans="1:5" x14ac:dyDescent="0.25">
      <c r="A4654" s="119" t="s">
        <v>11682</v>
      </c>
      <c r="B4654" s="119" t="s">
        <v>11683</v>
      </c>
      <c r="C4654" s="119" t="s">
        <v>66</v>
      </c>
      <c r="D4654" t="s">
        <v>45</v>
      </c>
      <c r="E4654" s="117">
        <v>9999</v>
      </c>
    </row>
    <row r="4655" spans="1:5" x14ac:dyDescent="0.25">
      <c r="A4655" s="119" t="s">
        <v>11684</v>
      </c>
      <c r="B4655" s="119" t="s">
        <v>11685</v>
      </c>
      <c r="C4655" s="119" t="s">
        <v>66</v>
      </c>
      <c r="D4655" t="s">
        <v>45</v>
      </c>
      <c r="E4655" s="117">
        <v>9999</v>
      </c>
    </row>
    <row r="4656" spans="1:5" x14ac:dyDescent="0.25">
      <c r="A4656" s="119" t="s">
        <v>11686</v>
      </c>
      <c r="B4656" s="119" t="s">
        <v>11687</v>
      </c>
      <c r="C4656" s="119" t="s">
        <v>66</v>
      </c>
      <c r="D4656" t="s">
        <v>45</v>
      </c>
      <c r="E4656" s="117">
        <v>9999</v>
      </c>
    </row>
    <row r="4657" spans="1:5" x14ac:dyDescent="0.25">
      <c r="A4657" s="119" t="s">
        <v>11688</v>
      </c>
      <c r="B4657" s="119" t="s">
        <v>11689</v>
      </c>
      <c r="C4657" s="119" t="s">
        <v>66</v>
      </c>
      <c r="D4657" t="s">
        <v>45</v>
      </c>
      <c r="E4657" s="117">
        <v>9999</v>
      </c>
    </row>
    <row r="4658" spans="1:5" x14ac:dyDescent="0.25">
      <c r="A4658" s="119" t="s">
        <v>11690</v>
      </c>
      <c r="B4658" s="119" t="s">
        <v>11691</v>
      </c>
      <c r="C4658" s="119" t="s">
        <v>66</v>
      </c>
      <c r="D4658" t="s">
        <v>45</v>
      </c>
      <c r="E4658" s="117">
        <v>9999</v>
      </c>
    </row>
    <row r="4659" spans="1:5" x14ac:dyDescent="0.25">
      <c r="A4659" s="119" t="s">
        <v>11692</v>
      </c>
      <c r="B4659" s="119" t="s">
        <v>11693</v>
      </c>
      <c r="C4659" s="119" t="s">
        <v>66</v>
      </c>
      <c r="D4659" t="s">
        <v>45</v>
      </c>
      <c r="E4659" s="117">
        <v>9999</v>
      </c>
    </row>
    <row r="4660" spans="1:5" x14ac:dyDescent="0.25">
      <c r="A4660" s="119" t="s">
        <v>11694</v>
      </c>
      <c r="B4660" s="119" t="s">
        <v>11695</v>
      </c>
      <c r="C4660" s="119" t="s">
        <v>66</v>
      </c>
      <c r="D4660" t="s">
        <v>45</v>
      </c>
      <c r="E4660" s="117">
        <v>9999</v>
      </c>
    </row>
    <row r="4661" spans="1:5" x14ac:dyDescent="0.25">
      <c r="A4661" s="119" t="s">
        <v>11696</v>
      </c>
      <c r="B4661" s="119" t="s">
        <v>11697</v>
      </c>
      <c r="C4661" s="119" t="s">
        <v>66</v>
      </c>
      <c r="D4661" t="s">
        <v>45</v>
      </c>
      <c r="E4661" s="117">
        <v>9999</v>
      </c>
    </row>
    <row r="4662" spans="1:5" x14ac:dyDescent="0.25">
      <c r="A4662" s="119" t="s">
        <v>11698</v>
      </c>
      <c r="B4662" s="119" t="s">
        <v>11699</v>
      </c>
      <c r="C4662" s="119" t="s">
        <v>66</v>
      </c>
      <c r="D4662" t="s">
        <v>45</v>
      </c>
      <c r="E4662" s="117">
        <v>9999</v>
      </c>
    </row>
    <row r="4663" spans="1:5" x14ac:dyDescent="0.25">
      <c r="A4663" s="119" t="s">
        <v>11700</v>
      </c>
      <c r="B4663" s="119" t="s">
        <v>11701</v>
      </c>
      <c r="C4663" s="119" t="s">
        <v>66</v>
      </c>
      <c r="D4663" t="s">
        <v>45</v>
      </c>
      <c r="E4663" s="117">
        <v>9999</v>
      </c>
    </row>
    <row r="4664" spans="1:5" x14ac:dyDescent="0.25">
      <c r="A4664" s="119" t="s">
        <v>11702</v>
      </c>
      <c r="B4664" s="119" t="s">
        <v>11703</v>
      </c>
      <c r="C4664" s="119" t="s">
        <v>66</v>
      </c>
      <c r="D4664" t="s">
        <v>45</v>
      </c>
      <c r="E4664" s="117">
        <v>9999</v>
      </c>
    </row>
    <row r="4665" spans="1:5" x14ac:dyDescent="0.25">
      <c r="A4665" s="119" t="s">
        <v>11704</v>
      </c>
      <c r="B4665" s="119" t="s">
        <v>11705</v>
      </c>
      <c r="C4665" s="119" t="s">
        <v>66</v>
      </c>
      <c r="D4665" t="s">
        <v>45</v>
      </c>
      <c r="E4665" s="117">
        <v>9999</v>
      </c>
    </row>
    <row r="4666" spans="1:5" x14ac:dyDescent="0.25">
      <c r="A4666" s="119" t="s">
        <v>11706</v>
      </c>
      <c r="B4666" s="119" t="s">
        <v>11707</v>
      </c>
      <c r="C4666" s="119" t="s">
        <v>66</v>
      </c>
      <c r="D4666" t="s">
        <v>45</v>
      </c>
      <c r="E4666" s="117">
        <v>9999</v>
      </c>
    </row>
    <row r="4667" spans="1:5" x14ac:dyDescent="0.25">
      <c r="A4667" s="119" t="s">
        <v>11708</v>
      </c>
      <c r="B4667" s="119" t="s">
        <v>11709</v>
      </c>
      <c r="C4667" s="119" t="s">
        <v>66</v>
      </c>
      <c r="D4667" t="s">
        <v>45</v>
      </c>
      <c r="E4667" s="117">
        <v>9999</v>
      </c>
    </row>
    <row r="4668" spans="1:5" x14ac:dyDescent="0.25">
      <c r="A4668" s="119" t="s">
        <v>11710</v>
      </c>
      <c r="B4668" s="119" t="s">
        <v>11711</v>
      </c>
      <c r="C4668" s="119" t="s">
        <v>66</v>
      </c>
      <c r="D4668" t="s">
        <v>45</v>
      </c>
      <c r="E4668" s="117">
        <v>9999</v>
      </c>
    </row>
    <row r="4669" spans="1:5" x14ac:dyDescent="0.25">
      <c r="A4669" s="119" t="s">
        <v>11712</v>
      </c>
      <c r="B4669" s="119" t="s">
        <v>11713</v>
      </c>
      <c r="C4669" s="119" t="s">
        <v>66</v>
      </c>
      <c r="D4669" t="s">
        <v>45</v>
      </c>
      <c r="E4669" s="117">
        <v>9999</v>
      </c>
    </row>
    <row r="4670" spans="1:5" x14ac:dyDescent="0.25">
      <c r="A4670" s="119" t="s">
        <v>11714</v>
      </c>
      <c r="B4670" s="119" t="s">
        <v>11715</v>
      </c>
      <c r="C4670" s="119" t="s">
        <v>66</v>
      </c>
      <c r="D4670" t="s">
        <v>45</v>
      </c>
      <c r="E4670" s="117">
        <v>9999</v>
      </c>
    </row>
    <row r="4671" spans="1:5" x14ac:dyDescent="0.25">
      <c r="A4671" s="119" t="s">
        <v>11716</v>
      </c>
      <c r="B4671" s="119" t="s">
        <v>11717</v>
      </c>
      <c r="C4671" s="119" t="s">
        <v>66</v>
      </c>
      <c r="D4671" t="s">
        <v>45</v>
      </c>
      <c r="E4671" s="117">
        <v>9999</v>
      </c>
    </row>
    <row r="4672" spans="1:5" x14ac:dyDescent="0.25">
      <c r="A4672" s="119" t="s">
        <v>11718</v>
      </c>
      <c r="B4672" s="119" t="s">
        <v>11719</v>
      </c>
      <c r="C4672" s="119" t="s">
        <v>66</v>
      </c>
      <c r="D4672" t="s">
        <v>45</v>
      </c>
      <c r="E4672" s="117">
        <v>9999</v>
      </c>
    </row>
    <row r="4673" spans="1:5" x14ac:dyDescent="0.25">
      <c r="A4673" s="119" t="s">
        <v>11720</v>
      </c>
      <c r="B4673" s="119" t="s">
        <v>11721</v>
      </c>
      <c r="C4673" s="119" t="s">
        <v>66</v>
      </c>
      <c r="D4673" t="s">
        <v>45</v>
      </c>
      <c r="E4673" s="117">
        <v>9999</v>
      </c>
    </row>
    <row r="4674" spans="1:5" x14ac:dyDescent="0.25">
      <c r="A4674" s="119" t="s">
        <v>11722</v>
      </c>
      <c r="B4674" s="119" t="s">
        <v>11723</v>
      </c>
      <c r="C4674" s="119" t="s">
        <v>66</v>
      </c>
      <c r="D4674" t="s">
        <v>45</v>
      </c>
      <c r="E4674" s="117">
        <v>9999</v>
      </c>
    </row>
    <row r="4675" spans="1:5" x14ac:dyDescent="0.25">
      <c r="A4675" s="119" t="s">
        <v>11724</v>
      </c>
      <c r="B4675" s="119" t="s">
        <v>11725</v>
      </c>
      <c r="C4675" s="119" t="s">
        <v>66</v>
      </c>
      <c r="D4675" t="s">
        <v>45</v>
      </c>
      <c r="E4675" s="117">
        <v>9999</v>
      </c>
    </row>
    <row r="4676" spans="1:5" x14ac:dyDescent="0.25">
      <c r="A4676" s="119" t="s">
        <v>11726</v>
      </c>
      <c r="B4676" s="119" t="s">
        <v>11727</v>
      </c>
      <c r="C4676" s="119" t="s">
        <v>66</v>
      </c>
      <c r="D4676" t="s">
        <v>45</v>
      </c>
      <c r="E4676" s="117">
        <v>9999</v>
      </c>
    </row>
    <row r="4677" spans="1:5" x14ac:dyDescent="0.25">
      <c r="A4677" s="119" t="s">
        <v>11728</v>
      </c>
      <c r="B4677" s="119" t="s">
        <v>11727</v>
      </c>
      <c r="C4677" s="119" t="s">
        <v>66</v>
      </c>
      <c r="D4677" t="s">
        <v>45</v>
      </c>
      <c r="E4677" s="117">
        <v>9999</v>
      </c>
    </row>
    <row r="4678" spans="1:5" x14ac:dyDescent="0.25">
      <c r="A4678" s="119" t="s">
        <v>11729</v>
      </c>
      <c r="B4678" s="119" t="s">
        <v>11730</v>
      </c>
      <c r="C4678" s="119" t="s">
        <v>66</v>
      </c>
      <c r="D4678" t="s">
        <v>45</v>
      </c>
      <c r="E4678" s="117">
        <v>9999</v>
      </c>
    </row>
    <row r="4679" spans="1:5" x14ac:dyDescent="0.25">
      <c r="A4679" s="119" t="s">
        <v>11731</v>
      </c>
      <c r="B4679" s="119" t="s">
        <v>11732</v>
      </c>
      <c r="C4679" s="119" t="s">
        <v>66</v>
      </c>
      <c r="D4679" t="s">
        <v>45</v>
      </c>
      <c r="E4679" s="117">
        <v>9999</v>
      </c>
    </row>
    <row r="4680" spans="1:5" x14ac:dyDescent="0.25">
      <c r="A4680" s="119" t="s">
        <v>11733</v>
      </c>
      <c r="B4680" s="119" t="s">
        <v>11734</v>
      </c>
      <c r="C4680" s="119" t="s">
        <v>66</v>
      </c>
      <c r="D4680" t="s">
        <v>45</v>
      </c>
      <c r="E4680" s="117">
        <v>9999</v>
      </c>
    </row>
    <row r="4681" spans="1:5" x14ac:dyDescent="0.25">
      <c r="A4681" s="119" t="s">
        <v>11735</v>
      </c>
      <c r="B4681" s="119" t="s">
        <v>11736</v>
      </c>
      <c r="C4681" s="119" t="s">
        <v>66</v>
      </c>
      <c r="D4681" t="s">
        <v>45</v>
      </c>
      <c r="E4681" s="117">
        <v>9999</v>
      </c>
    </row>
    <row r="4682" spans="1:5" x14ac:dyDescent="0.25">
      <c r="A4682" s="119" t="s">
        <v>11737</v>
      </c>
      <c r="B4682" s="119" t="s">
        <v>11738</v>
      </c>
      <c r="C4682" s="119" t="s">
        <v>66</v>
      </c>
      <c r="D4682" t="s">
        <v>45</v>
      </c>
      <c r="E4682" s="117">
        <v>9999</v>
      </c>
    </row>
    <row r="4683" spans="1:5" x14ac:dyDescent="0.25">
      <c r="A4683" s="119" t="s">
        <v>11967</v>
      </c>
      <c r="B4683" s="119" t="s">
        <v>11968</v>
      </c>
      <c r="C4683" s="119" t="s">
        <v>66</v>
      </c>
      <c r="D4683" t="s">
        <v>45</v>
      </c>
      <c r="E4683" s="117">
        <v>9999</v>
      </c>
    </row>
    <row r="4684" spans="1:5" x14ac:dyDescent="0.25">
      <c r="A4684" s="119" t="s">
        <v>8260</v>
      </c>
      <c r="B4684" s="119" t="s">
        <v>10938</v>
      </c>
      <c r="C4684" s="119" t="s">
        <v>66</v>
      </c>
      <c r="D4684" t="s">
        <v>45</v>
      </c>
      <c r="E4684" s="117">
        <v>9999</v>
      </c>
    </row>
    <row r="4685" spans="1:5" x14ac:dyDescent="0.25">
      <c r="A4685" s="119" t="s">
        <v>8261</v>
      </c>
      <c r="B4685" s="119" t="s">
        <v>10939</v>
      </c>
      <c r="C4685" s="119" t="s">
        <v>66</v>
      </c>
      <c r="D4685" t="s">
        <v>45</v>
      </c>
      <c r="E4685" s="117">
        <v>9999</v>
      </c>
    </row>
    <row r="4686" spans="1:5" x14ac:dyDescent="0.25">
      <c r="A4686" s="119" t="s">
        <v>8167</v>
      </c>
      <c r="B4686" s="119" t="s">
        <v>8168</v>
      </c>
      <c r="C4686" s="119" t="s">
        <v>66</v>
      </c>
      <c r="D4686" t="s">
        <v>45</v>
      </c>
      <c r="E4686" s="117">
        <v>9999</v>
      </c>
    </row>
    <row r="4687" spans="1:5" x14ac:dyDescent="0.25">
      <c r="A4687" s="119" t="s">
        <v>11739</v>
      </c>
      <c r="B4687" s="119" t="s">
        <v>11740</v>
      </c>
      <c r="C4687" s="119" t="s">
        <v>66</v>
      </c>
      <c r="D4687" t="s">
        <v>45</v>
      </c>
      <c r="E4687" s="117">
        <v>9999</v>
      </c>
    </row>
    <row r="4688" spans="1:5" x14ac:dyDescent="0.25">
      <c r="A4688" s="119" t="s">
        <v>11741</v>
      </c>
      <c r="B4688" s="119" t="s">
        <v>11742</v>
      </c>
      <c r="C4688" s="119" t="s">
        <v>66</v>
      </c>
      <c r="D4688" t="s">
        <v>45</v>
      </c>
      <c r="E4688" s="117">
        <v>0</v>
      </c>
    </row>
    <row r="4689" spans="1:5" x14ac:dyDescent="0.25">
      <c r="A4689" s="119" t="s">
        <v>11743</v>
      </c>
      <c r="B4689" s="119" t="s">
        <v>11744</v>
      </c>
      <c r="C4689" s="119" t="s">
        <v>66</v>
      </c>
      <c r="D4689" t="s">
        <v>45</v>
      </c>
      <c r="E4689" s="117">
        <v>9999</v>
      </c>
    </row>
    <row r="4690" spans="1:5" x14ac:dyDescent="0.25">
      <c r="A4690" s="119" t="s">
        <v>11636</v>
      </c>
      <c r="B4690" s="119" t="s">
        <v>11637</v>
      </c>
      <c r="C4690" s="119" t="s">
        <v>66</v>
      </c>
      <c r="D4690" t="s">
        <v>45</v>
      </c>
      <c r="E4690" s="117">
        <v>249</v>
      </c>
    </row>
    <row r="4691" spans="1:5" x14ac:dyDescent="0.25">
      <c r="A4691" s="119" t="s">
        <v>11638</v>
      </c>
      <c r="B4691" s="119" t="s">
        <v>11639</v>
      </c>
      <c r="C4691" s="119" t="s">
        <v>66</v>
      </c>
      <c r="D4691" t="s">
        <v>45</v>
      </c>
      <c r="E4691" s="117">
        <v>249</v>
      </c>
    </row>
    <row r="4692" spans="1:5" x14ac:dyDescent="0.25">
      <c r="A4692" s="119" t="s">
        <v>11640</v>
      </c>
      <c r="B4692" s="119" t="s">
        <v>11641</v>
      </c>
      <c r="C4692" s="119" t="s">
        <v>66</v>
      </c>
      <c r="D4692" t="s">
        <v>45</v>
      </c>
      <c r="E4692" s="117">
        <v>249</v>
      </c>
    </row>
    <row r="4693" spans="1:5" x14ac:dyDescent="0.25">
      <c r="A4693" s="119" t="s">
        <v>11642</v>
      </c>
      <c r="B4693" s="119" t="s">
        <v>11643</v>
      </c>
      <c r="C4693" s="119" t="s">
        <v>66</v>
      </c>
      <c r="D4693" t="s">
        <v>45</v>
      </c>
      <c r="E4693" s="117">
        <v>249</v>
      </c>
    </row>
    <row r="4694" spans="1:5" x14ac:dyDescent="0.25">
      <c r="A4694" s="119" t="s">
        <v>11644</v>
      </c>
      <c r="B4694" s="119" t="s">
        <v>11645</v>
      </c>
      <c r="C4694" s="119" t="s">
        <v>66</v>
      </c>
      <c r="D4694" t="s">
        <v>45</v>
      </c>
      <c r="E4694" s="117">
        <v>249</v>
      </c>
    </row>
    <row r="4695" spans="1:5" x14ac:dyDescent="0.25">
      <c r="A4695" s="119" t="s">
        <v>11646</v>
      </c>
      <c r="B4695" s="119" t="s">
        <v>11752</v>
      </c>
      <c r="C4695" s="119" t="s">
        <v>66</v>
      </c>
      <c r="D4695" t="s">
        <v>45</v>
      </c>
      <c r="E4695" s="117">
        <v>9999</v>
      </c>
    </row>
    <row r="4696" spans="1:5" x14ac:dyDescent="0.25">
      <c r="A4696" s="119" t="s">
        <v>11647</v>
      </c>
      <c r="B4696" s="119" t="s">
        <v>11753</v>
      </c>
      <c r="C4696" s="119" t="s">
        <v>66</v>
      </c>
      <c r="D4696" t="s">
        <v>45</v>
      </c>
      <c r="E4696" s="117">
        <v>9999</v>
      </c>
    </row>
    <row r="4697" spans="1:5" x14ac:dyDescent="0.25">
      <c r="A4697" s="119" t="s">
        <v>11913</v>
      </c>
      <c r="B4697" s="119" t="s">
        <v>11914</v>
      </c>
      <c r="C4697" s="119" t="s">
        <v>66</v>
      </c>
      <c r="D4697" t="s">
        <v>49</v>
      </c>
      <c r="E4697" s="117">
        <v>187.74</v>
      </c>
    </row>
    <row r="4698" spans="1:5" x14ac:dyDescent="0.25">
      <c r="A4698" s="119" t="s">
        <v>11648</v>
      </c>
      <c r="B4698" s="119" t="s">
        <v>11754</v>
      </c>
      <c r="C4698" s="119" t="s">
        <v>66</v>
      </c>
      <c r="D4698" t="s">
        <v>45</v>
      </c>
      <c r="E4698" s="117">
        <v>9999</v>
      </c>
    </row>
    <row r="4699" spans="1:5" x14ac:dyDescent="0.25">
      <c r="A4699" s="119" t="s">
        <v>11745</v>
      </c>
      <c r="B4699" s="119" t="s">
        <v>11746</v>
      </c>
      <c r="C4699" s="119" t="s">
        <v>66</v>
      </c>
      <c r="D4699" t="s">
        <v>45</v>
      </c>
      <c r="E4699" s="117">
        <v>9999</v>
      </c>
    </row>
    <row r="4700" spans="1:5" x14ac:dyDescent="0.25">
      <c r="A4700" s="119" t="s">
        <v>11633</v>
      </c>
      <c r="B4700" s="119" t="s">
        <v>11634</v>
      </c>
      <c r="C4700" s="119" t="s">
        <v>66</v>
      </c>
      <c r="D4700" t="s">
        <v>45</v>
      </c>
      <c r="E4700" s="117">
        <v>9999</v>
      </c>
    </row>
    <row r="4701" spans="1:5" x14ac:dyDescent="0.25">
      <c r="A4701" s="119" t="s">
        <v>11761</v>
      </c>
      <c r="B4701" s="119" t="s">
        <v>11762</v>
      </c>
      <c r="C4701" s="119" t="s">
        <v>66</v>
      </c>
      <c r="D4701" t="s">
        <v>45</v>
      </c>
      <c r="E4701" s="117">
        <v>9999</v>
      </c>
    </row>
    <row r="4702" spans="1:5" x14ac:dyDescent="0.25">
      <c r="A4702" s="119" t="s">
        <v>11763</v>
      </c>
      <c r="B4702" s="119" t="s">
        <v>11764</v>
      </c>
      <c r="C4702" s="119" t="s">
        <v>66</v>
      </c>
      <c r="D4702" t="s">
        <v>45</v>
      </c>
      <c r="E4702" s="117">
        <v>9999</v>
      </c>
    </row>
    <row r="4703" spans="1:5" x14ac:dyDescent="0.25">
      <c r="A4703" s="119" t="s">
        <v>11765</v>
      </c>
      <c r="B4703" s="119" t="s">
        <v>11766</v>
      </c>
      <c r="C4703" s="119" t="s">
        <v>66</v>
      </c>
      <c r="D4703" t="s">
        <v>45</v>
      </c>
      <c r="E4703" s="117">
        <v>9999</v>
      </c>
    </row>
    <row r="4704" spans="1:5" x14ac:dyDescent="0.25">
      <c r="A4704" s="119" t="s">
        <v>11767</v>
      </c>
      <c r="B4704" s="119" t="s">
        <v>11768</v>
      </c>
      <c r="C4704" s="119" t="s">
        <v>66</v>
      </c>
      <c r="D4704" t="s">
        <v>45</v>
      </c>
      <c r="E4704" s="117">
        <v>9999</v>
      </c>
    </row>
    <row r="4705" spans="1:5" x14ac:dyDescent="0.25">
      <c r="A4705" s="119" t="s">
        <v>11769</v>
      </c>
      <c r="B4705" s="119" t="s">
        <v>11770</v>
      </c>
      <c r="C4705" s="119" t="s">
        <v>66</v>
      </c>
      <c r="D4705" t="s">
        <v>45</v>
      </c>
      <c r="E4705" s="117">
        <v>9999</v>
      </c>
    </row>
    <row r="4706" spans="1:5" x14ac:dyDescent="0.25">
      <c r="A4706" s="119" t="s">
        <v>11771</v>
      </c>
      <c r="B4706" s="119" t="s">
        <v>11772</v>
      </c>
      <c r="C4706" s="119" t="s">
        <v>66</v>
      </c>
      <c r="D4706" t="s">
        <v>45</v>
      </c>
      <c r="E4706" s="117">
        <v>9999</v>
      </c>
    </row>
    <row r="4707" spans="1:5" x14ac:dyDescent="0.25">
      <c r="A4707" s="119" t="s">
        <v>11773</v>
      </c>
      <c r="B4707" s="119" t="s">
        <v>11774</v>
      </c>
      <c r="C4707" s="119" t="s">
        <v>66</v>
      </c>
      <c r="D4707" t="s">
        <v>45</v>
      </c>
      <c r="E4707" s="117">
        <v>9999</v>
      </c>
    </row>
    <row r="4708" spans="1:5" x14ac:dyDescent="0.25">
      <c r="A4708" s="119" t="s">
        <v>11775</v>
      </c>
      <c r="B4708" s="119" t="s">
        <v>11776</v>
      </c>
      <c r="C4708" s="119" t="s">
        <v>66</v>
      </c>
      <c r="D4708" t="s">
        <v>45</v>
      </c>
      <c r="E4708" s="117">
        <v>9999</v>
      </c>
    </row>
    <row r="4709" spans="1:5" x14ac:dyDescent="0.25">
      <c r="A4709" s="119" t="s">
        <v>11969</v>
      </c>
      <c r="B4709" s="119" t="s">
        <v>11970</v>
      </c>
      <c r="C4709" s="119" t="s">
        <v>66</v>
      </c>
      <c r="D4709" t="s">
        <v>45</v>
      </c>
      <c r="E4709" s="117">
        <v>9999</v>
      </c>
    </row>
    <row r="4710" spans="1:5" x14ac:dyDescent="0.25">
      <c r="A4710" s="119" t="s">
        <v>11971</v>
      </c>
      <c r="B4710" s="119" t="s">
        <v>11972</v>
      </c>
      <c r="C4710" s="119" t="s">
        <v>66</v>
      </c>
      <c r="D4710" t="s">
        <v>45</v>
      </c>
      <c r="E4710" s="117">
        <v>9999</v>
      </c>
    </row>
    <row r="4711" spans="1:5" x14ac:dyDescent="0.25">
      <c r="A4711" s="119" t="s">
        <v>11973</v>
      </c>
      <c r="B4711" s="119" t="s">
        <v>11974</v>
      </c>
      <c r="C4711" s="119" t="s">
        <v>66</v>
      </c>
      <c r="D4711" t="s">
        <v>45</v>
      </c>
      <c r="E4711" s="117">
        <v>9999</v>
      </c>
    </row>
    <row r="4712" spans="1:5" x14ac:dyDescent="0.25">
      <c r="A4712" s="119" t="s">
        <v>11975</v>
      </c>
      <c r="B4712" s="119" t="s">
        <v>11976</v>
      </c>
      <c r="C4712" s="119" t="s">
        <v>66</v>
      </c>
      <c r="D4712" t="s">
        <v>45</v>
      </c>
      <c r="E4712" s="117">
        <v>9999</v>
      </c>
    </row>
    <row r="4713" spans="1:5" x14ac:dyDescent="0.25">
      <c r="A4713" s="119" t="s">
        <v>11977</v>
      </c>
      <c r="B4713" s="119" t="s">
        <v>11978</v>
      </c>
      <c r="C4713" s="119" t="s">
        <v>66</v>
      </c>
      <c r="D4713" t="s">
        <v>45</v>
      </c>
      <c r="E4713" s="117">
        <v>9999</v>
      </c>
    </row>
    <row r="4714" spans="1:5" x14ac:dyDescent="0.25">
      <c r="A4714" s="119" t="s">
        <v>11979</v>
      </c>
      <c r="B4714" s="119" t="s">
        <v>11980</v>
      </c>
      <c r="C4714" s="119" t="s">
        <v>66</v>
      </c>
      <c r="D4714" t="s">
        <v>45</v>
      </c>
      <c r="E4714" s="117">
        <v>9999</v>
      </c>
    </row>
    <row r="4715" spans="1:5" x14ac:dyDescent="0.25">
      <c r="A4715" s="119" t="s">
        <v>11981</v>
      </c>
      <c r="B4715" s="119" t="s">
        <v>11982</v>
      </c>
      <c r="C4715" s="119" t="s">
        <v>66</v>
      </c>
      <c r="D4715" t="s">
        <v>45</v>
      </c>
      <c r="E4715" s="117">
        <v>9999</v>
      </c>
    </row>
    <row r="4716" spans="1:5" x14ac:dyDescent="0.25">
      <c r="A4716" s="119" t="s">
        <v>11983</v>
      </c>
      <c r="B4716" s="119" t="s">
        <v>11984</v>
      </c>
      <c r="C4716" s="119" t="s">
        <v>66</v>
      </c>
      <c r="D4716" t="s">
        <v>45</v>
      </c>
      <c r="E4716" s="117">
        <v>9999</v>
      </c>
    </row>
    <row r="4717" spans="1:5" x14ac:dyDescent="0.25">
      <c r="A4717" s="119" t="s">
        <v>5187</v>
      </c>
      <c r="B4717" s="119" t="s">
        <v>10940</v>
      </c>
      <c r="C4717" s="119" t="s">
        <v>301</v>
      </c>
      <c r="D4717" t="s">
        <v>45</v>
      </c>
      <c r="E4717" s="117">
        <v>894.27</v>
      </c>
    </row>
    <row r="4718" spans="1:5" x14ac:dyDescent="0.25">
      <c r="A4718" s="119" t="s">
        <v>5188</v>
      </c>
      <c r="B4718" s="119" t="s">
        <v>10941</v>
      </c>
      <c r="C4718" s="119" t="s">
        <v>301</v>
      </c>
      <c r="D4718" t="s">
        <v>6759</v>
      </c>
      <c r="E4718" s="117">
        <v>1804.95</v>
      </c>
    </row>
    <row r="4719" spans="1:5" x14ac:dyDescent="0.25">
      <c r="A4719" s="119" t="s">
        <v>5189</v>
      </c>
      <c r="B4719" s="119" t="s">
        <v>10942</v>
      </c>
      <c r="C4719" s="119" t="s">
        <v>301</v>
      </c>
      <c r="D4719" t="s">
        <v>45</v>
      </c>
      <c r="E4719" s="117">
        <v>2378.7399999999998</v>
      </c>
    </row>
    <row r="4720" spans="1:5" x14ac:dyDescent="0.25">
      <c r="A4720" s="119" t="s">
        <v>5190</v>
      </c>
      <c r="B4720" s="119" t="s">
        <v>10943</v>
      </c>
      <c r="C4720" s="119" t="s">
        <v>301</v>
      </c>
      <c r="D4720" t="s">
        <v>6759</v>
      </c>
      <c r="E4720" s="117">
        <v>2742.41</v>
      </c>
    </row>
    <row r="4721" spans="1:5" x14ac:dyDescent="0.25">
      <c r="A4721" s="119" t="s">
        <v>5191</v>
      </c>
      <c r="B4721" s="119" t="s">
        <v>5192</v>
      </c>
      <c r="C4721" s="119" t="s">
        <v>66</v>
      </c>
      <c r="D4721" t="s">
        <v>6759</v>
      </c>
      <c r="E4721" s="117">
        <v>13.57</v>
      </c>
    </row>
    <row r="4722" spans="1:5" x14ac:dyDescent="0.25">
      <c r="A4722" s="119" t="s">
        <v>5193</v>
      </c>
      <c r="B4722" s="119" t="s">
        <v>10944</v>
      </c>
      <c r="C4722" s="119" t="s">
        <v>301</v>
      </c>
      <c r="D4722" t="s">
        <v>45</v>
      </c>
      <c r="E4722" s="117">
        <v>2701.87</v>
      </c>
    </row>
    <row r="4723" spans="1:5" x14ac:dyDescent="0.25">
      <c r="A4723" s="119" t="s">
        <v>5194</v>
      </c>
      <c r="B4723" s="119" t="s">
        <v>5195</v>
      </c>
      <c r="C4723" s="119" t="s">
        <v>301</v>
      </c>
      <c r="D4723" t="s">
        <v>45</v>
      </c>
      <c r="E4723" s="117">
        <v>0</v>
      </c>
    </row>
    <row r="4724" spans="1:5" x14ac:dyDescent="0.25">
      <c r="A4724" s="119" t="s">
        <v>5196</v>
      </c>
      <c r="B4724" s="119" t="s">
        <v>10945</v>
      </c>
      <c r="C4724" s="119" t="s">
        <v>301</v>
      </c>
      <c r="D4724" t="s">
        <v>45</v>
      </c>
      <c r="E4724" s="117">
        <v>2728.95</v>
      </c>
    </row>
    <row r="4725" spans="1:5" x14ac:dyDescent="0.25">
      <c r="A4725" s="119" t="s">
        <v>5197</v>
      </c>
      <c r="B4725" s="119" t="s">
        <v>10946</v>
      </c>
      <c r="C4725" s="119" t="s">
        <v>301</v>
      </c>
      <c r="D4725" t="s">
        <v>45</v>
      </c>
      <c r="E4725" s="117">
        <v>3223.84</v>
      </c>
    </row>
    <row r="4726" spans="1:5" x14ac:dyDescent="0.25">
      <c r="A4726" s="119" t="s">
        <v>5198</v>
      </c>
      <c r="B4726" s="119" t="s">
        <v>10947</v>
      </c>
      <c r="C4726" s="119" t="s">
        <v>301</v>
      </c>
      <c r="D4726" t="s">
        <v>45</v>
      </c>
      <c r="E4726" s="117">
        <v>0</v>
      </c>
    </row>
    <row r="4727" spans="1:5" x14ac:dyDescent="0.25">
      <c r="A4727" s="119" t="s">
        <v>5199</v>
      </c>
      <c r="B4727" s="119" t="s">
        <v>10948</v>
      </c>
      <c r="C4727" s="119" t="s">
        <v>301</v>
      </c>
      <c r="D4727" t="s">
        <v>45</v>
      </c>
      <c r="E4727" s="117">
        <v>0</v>
      </c>
    </row>
    <row r="4728" spans="1:5" x14ac:dyDescent="0.25">
      <c r="A4728" s="119" t="s">
        <v>5200</v>
      </c>
      <c r="B4728" s="119" t="s">
        <v>10949</v>
      </c>
      <c r="C4728" s="119" t="s">
        <v>301</v>
      </c>
      <c r="D4728" t="s">
        <v>45</v>
      </c>
      <c r="E4728" s="117">
        <v>0</v>
      </c>
    </row>
    <row r="4729" spans="1:5" x14ac:dyDescent="0.25">
      <c r="A4729" s="119" t="s">
        <v>5201</v>
      </c>
      <c r="B4729" s="119" t="s">
        <v>10950</v>
      </c>
      <c r="C4729" s="119" t="s">
        <v>301</v>
      </c>
      <c r="D4729" t="s">
        <v>45</v>
      </c>
      <c r="E4729" s="117">
        <v>2706.65</v>
      </c>
    </row>
    <row r="4730" spans="1:5" x14ac:dyDescent="0.25">
      <c r="A4730" s="119" t="s">
        <v>5202</v>
      </c>
      <c r="B4730" s="119" t="s">
        <v>10951</v>
      </c>
      <c r="C4730" s="119" t="s">
        <v>301</v>
      </c>
      <c r="D4730" t="s">
        <v>45</v>
      </c>
      <c r="E4730" s="117">
        <v>2835</v>
      </c>
    </row>
    <row r="4731" spans="1:5" x14ac:dyDescent="0.25">
      <c r="A4731" s="119" t="s">
        <v>5203</v>
      </c>
      <c r="B4731" s="119" t="s">
        <v>10952</v>
      </c>
      <c r="C4731" s="119" t="s">
        <v>301</v>
      </c>
      <c r="D4731" t="s">
        <v>45</v>
      </c>
      <c r="E4731" s="117">
        <v>0</v>
      </c>
    </row>
    <row r="4732" spans="1:5" x14ac:dyDescent="0.25">
      <c r="A4732" s="119" t="s">
        <v>5204</v>
      </c>
      <c r="B4732" s="119" t="s">
        <v>10953</v>
      </c>
      <c r="C4732" s="119" t="s">
        <v>301</v>
      </c>
      <c r="D4732" t="s">
        <v>45</v>
      </c>
      <c r="E4732" s="117">
        <v>0</v>
      </c>
    </row>
    <row r="4733" spans="1:5" x14ac:dyDescent="0.25">
      <c r="A4733" s="119" t="s">
        <v>5205</v>
      </c>
      <c r="B4733" s="119" t="s">
        <v>10954</v>
      </c>
      <c r="C4733" s="119" t="s">
        <v>301</v>
      </c>
      <c r="D4733" t="s">
        <v>45</v>
      </c>
      <c r="E4733" s="117">
        <v>0</v>
      </c>
    </row>
    <row r="4734" spans="1:5" x14ac:dyDescent="0.25">
      <c r="A4734" s="119" t="s">
        <v>5206</v>
      </c>
      <c r="B4734" s="119" t="s">
        <v>10955</v>
      </c>
      <c r="C4734" s="119" t="s">
        <v>301</v>
      </c>
      <c r="D4734" t="s">
        <v>45</v>
      </c>
      <c r="E4734" s="117">
        <v>6353.75</v>
      </c>
    </row>
    <row r="4735" spans="1:5" x14ac:dyDescent="0.25">
      <c r="A4735" s="119" t="s">
        <v>5207</v>
      </c>
      <c r="B4735" s="119" t="s">
        <v>10955</v>
      </c>
      <c r="C4735" s="119" t="s">
        <v>301</v>
      </c>
      <c r="D4735" t="s">
        <v>45</v>
      </c>
      <c r="E4735" s="117">
        <v>6353.75</v>
      </c>
    </row>
    <row r="4736" spans="1:5" x14ac:dyDescent="0.25">
      <c r="A4736" s="119" t="s">
        <v>5208</v>
      </c>
      <c r="B4736" s="119" t="s">
        <v>10956</v>
      </c>
      <c r="C4736" s="119" t="s">
        <v>301</v>
      </c>
      <c r="D4736" t="s">
        <v>45</v>
      </c>
      <c r="E4736" s="117">
        <v>6224.09</v>
      </c>
    </row>
    <row r="4737" spans="1:5" x14ac:dyDescent="0.25">
      <c r="A4737" s="119" t="s">
        <v>5209</v>
      </c>
      <c r="B4737" s="119" t="s">
        <v>10957</v>
      </c>
      <c r="C4737" s="119" t="s">
        <v>301</v>
      </c>
      <c r="D4737" t="s">
        <v>45</v>
      </c>
      <c r="E4737" s="117">
        <v>977.73</v>
      </c>
    </row>
    <row r="4738" spans="1:5" x14ac:dyDescent="0.25">
      <c r="A4738" s="119" t="s">
        <v>5210</v>
      </c>
      <c r="B4738" s="119" t="s">
        <v>10958</v>
      </c>
      <c r="C4738" s="119" t="s">
        <v>301</v>
      </c>
      <c r="D4738" t="s">
        <v>45</v>
      </c>
      <c r="E4738" s="117">
        <v>1430.82</v>
      </c>
    </row>
    <row r="4739" spans="1:5" x14ac:dyDescent="0.25">
      <c r="A4739" s="119" t="s">
        <v>5211</v>
      </c>
      <c r="B4739" s="119" t="s">
        <v>10959</v>
      </c>
      <c r="C4739" s="119" t="s">
        <v>301</v>
      </c>
      <c r="D4739" t="s">
        <v>45</v>
      </c>
      <c r="E4739" s="117">
        <v>2698.5</v>
      </c>
    </row>
    <row r="4740" spans="1:5" x14ac:dyDescent="0.25">
      <c r="A4740" s="119" t="s">
        <v>5212</v>
      </c>
      <c r="B4740" s="119" t="s">
        <v>10960</v>
      </c>
      <c r="C4740" s="119" t="s">
        <v>301</v>
      </c>
      <c r="D4740" t="s">
        <v>45</v>
      </c>
      <c r="E4740" s="117">
        <v>3730.87</v>
      </c>
    </row>
    <row r="4741" spans="1:5" x14ac:dyDescent="0.25">
      <c r="A4741" s="119" t="s">
        <v>5213</v>
      </c>
      <c r="B4741" s="119" t="s">
        <v>10961</v>
      </c>
      <c r="C4741" s="119" t="s">
        <v>301</v>
      </c>
      <c r="D4741" t="s">
        <v>45</v>
      </c>
      <c r="E4741" s="117">
        <v>0</v>
      </c>
    </row>
    <row r="4742" spans="1:5" x14ac:dyDescent="0.25">
      <c r="A4742" s="119" t="s">
        <v>5214</v>
      </c>
      <c r="B4742" s="119" t="s">
        <v>10962</v>
      </c>
      <c r="C4742" s="119" t="s">
        <v>301</v>
      </c>
      <c r="D4742" t="s">
        <v>45</v>
      </c>
      <c r="E4742" s="117">
        <v>2922.74</v>
      </c>
    </row>
    <row r="4743" spans="1:5" x14ac:dyDescent="0.25">
      <c r="A4743" s="119" t="s">
        <v>7761</v>
      </c>
      <c r="B4743" s="119" t="s">
        <v>7762</v>
      </c>
      <c r="C4743" s="119" t="s">
        <v>66</v>
      </c>
      <c r="D4743" t="s">
        <v>6759</v>
      </c>
      <c r="E4743" s="117">
        <v>1100</v>
      </c>
    </row>
    <row r="4744" spans="1:5" x14ac:dyDescent="0.25">
      <c r="A4744" s="119" t="s">
        <v>8169</v>
      </c>
      <c r="B4744" s="119" t="s">
        <v>7762</v>
      </c>
      <c r="C4744" s="119" t="s">
        <v>66</v>
      </c>
      <c r="D4744" t="s">
        <v>6759</v>
      </c>
      <c r="E4744" s="117">
        <v>9999</v>
      </c>
    </row>
    <row r="4745" spans="1:5" x14ac:dyDescent="0.25">
      <c r="A4745" s="119" t="s">
        <v>5215</v>
      </c>
      <c r="B4745" s="119" t="s">
        <v>10963</v>
      </c>
      <c r="C4745" s="119" t="s">
        <v>301</v>
      </c>
      <c r="D4745" t="s">
        <v>45</v>
      </c>
      <c r="E4745" s="117">
        <v>2760.6</v>
      </c>
    </row>
    <row r="4746" spans="1:5" x14ac:dyDescent="0.25">
      <c r="A4746" s="119" t="s">
        <v>5216</v>
      </c>
      <c r="B4746" s="119" t="s">
        <v>5217</v>
      </c>
      <c r="C4746" s="119" t="s">
        <v>301</v>
      </c>
      <c r="D4746" t="s">
        <v>45</v>
      </c>
      <c r="E4746" s="117">
        <v>0</v>
      </c>
    </row>
    <row r="4747" spans="1:5" x14ac:dyDescent="0.25">
      <c r="A4747" s="119" t="s">
        <v>5218</v>
      </c>
      <c r="B4747" s="119" t="s">
        <v>10964</v>
      </c>
      <c r="C4747" s="119" t="s">
        <v>301</v>
      </c>
      <c r="D4747" t="s">
        <v>45</v>
      </c>
      <c r="E4747" s="117">
        <v>2384.71</v>
      </c>
    </row>
    <row r="4748" spans="1:5" x14ac:dyDescent="0.25">
      <c r="A4748" s="119" t="s">
        <v>5219</v>
      </c>
      <c r="B4748" s="119" t="s">
        <v>10965</v>
      </c>
      <c r="C4748" s="119" t="s">
        <v>301</v>
      </c>
      <c r="D4748" t="s">
        <v>45</v>
      </c>
      <c r="E4748" s="117">
        <v>2300.5</v>
      </c>
    </row>
    <row r="4749" spans="1:5" x14ac:dyDescent="0.25">
      <c r="A4749" s="119" t="s">
        <v>5220</v>
      </c>
      <c r="B4749" s="119" t="s">
        <v>5221</v>
      </c>
      <c r="C4749" s="119" t="s">
        <v>301</v>
      </c>
      <c r="D4749" t="s">
        <v>45</v>
      </c>
      <c r="E4749" s="117">
        <v>0</v>
      </c>
    </row>
    <row r="4750" spans="1:5" x14ac:dyDescent="0.25">
      <c r="A4750" s="119" t="s">
        <v>5222</v>
      </c>
      <c r="B4750" s="119" t="s">
        <v>5223</v>
      </c>
      <c r="C4750" s="119" t="s">
        <v>66</v>
      </c>
      <c r="D4750" t="s">
        <v>45</v>
      </c>
      <c r="E4750" s="117">
        <v>0</v>
      </c>
    </row>
    <row r="4751" spans="1:5" x14ac:dyDescent="0.25">
      <c r="A4751" s="119" t="s">
        <v>5224</v>
      </c>
      <c r="B4751" s="119" t="s">
        <v>10966</v>
      </c>
      <c r="C4751" s="119" t="s">
        <v>301</v>
      </c>
      <c r="D4751" t="s">
        <v>45</v>
      </c>
      <c r="E4751" s="117">
        <v>834.65</v>
      </c>
    </row>
    <row r="4752" spans="1:5" x14ac:dyDescent="0.25">
      <c r="A4752" s="119" t="s">
        <v>5225</v>
      </c>
      <c r="B4752" s="119" t="s">
        <v>10967</v>
      </c>
      <c r="C4752" s="119" t="s">
        <v>301</v>
      </c>
      <c r="D4752" t="s">
        <v>45</v>
      </c>
      <c r="E4752" s="117">
        <v>2645.9</v>
      </c>
    </row>
    <row r="4753" spans="1:5" x14ac:dyDescent="0.25">
      <c r="A4753" s="119" t="s">
        <v>5226</v>
      </c>
      <c r="B4753" s="119" t="s">
        <v>10968</v>
      </c>
      <c r="C4753" s="119" t="s">
        <v>301</v>
      </c>
      <c r="D4753" t="s">
        <v>45</v>
      </c>
      <c r="E4753" s="117">
        <v>0</v>
      </c>
    </row>
    <row r="4754" spans="1:5" x14ac:dyDescent="0.25">
      <c r="A4754" s="119" t="s">
        <v>5227</v>
      </c>
      <c r="B4754" s="119" t="s">
        <v>10969</v>
      </c>
      <c r="C4754" s="119" t="s">
        <v>301</v>
      </c>
      <c r="D4754" t="s">
        <v>45</v>
      </c>
      <c r="E4754" s="117">
        <v>1627.56</v>
      </c>
    </row>
    <row r="4755" spans="1:5" x14ac:dyDescent="0.25">
      <c r="A4755" s="119" t="s">
        <v>5228</v>
      </c>
      <c r="B4755" s="119" t="s">
        <v>10970</v>
      </c>
      <c r="C4755" s="119" t="s">
        <v>301</v>
      </c>
      <c r="D4755" t="s">
        <v>45</v>
      </c>
      <c r="E4755" s="117">
        <v>2103.3200000000002</v>
      </c>
    </row>
    <row r="4756" spans="1:5" x14ac:dyDescent="0.25">
      <c r="A4756" s="119" t="s">
        <v>5229</v>
      </c>
      <c r="B4756" s="119" t="s">
        <v>10971</v>
      </c>
      <c r="C4756" s="119" t="s">
        <v>301</v>
      </c>
      <c r="D4756" t="s">
        <v>45</v>
      </c>
      <c r="E4756" s="117">
        <v>3286.42</v>
      </c>
    </row>
    <row r="4757" spans="1:5" x14ac:dyDescent="0.25">
      <c r="A4757" s="119" t="s">
        <v>7763</v>
      </c>
      <c r="B4757" s="119" t="s">
        <v>10972</v>
      </c>
      <c r="C4757" s="119" t="s">
        <v>66</v>
      </c>
      <c r="D4757" t="s">
        <v>49</v>
      </c>
      <c r="E4757" s="117">
        <v>111.71</v>
      </c>
    </row>
    <row r="4758" spans="1:5" x14ac:dyDescent="0.25">
      <c r="A4758" s="119" t="s">
        <v>7764</v>
      </c>
      <c r="B4758" s="119" t="s">
        <v>10973</v>
      </c>
      <c r="C4758" s="119" t="s">
        <v>66</v>
      </c>
      <c r="D4758" t="s">
        <v>49</v>
      </c>
      <c r="E4758" s="117">
        <v>168.03</v>
      </c>
    </row>
    <row r="4759" spans="1:5" x14ac:dyDescent="0.25">
      <c r="A4759" s="119" t="s">
        <v>7765</v>
      </c>
      <c r="B4759" s="119" t="s">
        <v>10974</v>
      </c>
      <c r="C4759" s="119" t="s">
        <v>66</v>
      </c>
      <c r="D4759" t="s">
        <v>49</v>
      </c>
      <c r="E4759" s="117">
        <v>140.81</v>
      </c>
    </row>
    <row r="4760" spans="1:5" x14ac:dyDescent="0.25">
      <c r="A4760" s="119" t="s">
        <v>5230</v>
      </c>
      <c r="B4760" s="119" t="s">
        <v>10975</v>
      </c>
      <c r="C4760" s="119" t="s">
        <v>301</v>
      </c>
      <c r="D4760" t="s">
        <v>49</v>
      </c>
      <c r="E4760" s="117">
        <v>2187.17</v>
      </c>
    </row>
    <row r="4761" spans="1:5" x14ac:dyDescent="0.25">
      <c r="A4761" s="119" t="s">
        <v>5231</v>
      </c>
      <c r="B4761" s="119" t="s">
        <v>10976</v>
      </c>
      <c r="C4761" s="119" t="s">
        <v>301</v>
      </c>
      <c r="D4761" t="s">
        <v>45</v>
      </c>
      <c r="E4761" s="117">
        <v>2187.17</v>
      </c>
    </row>
    <row r="4762" spans="1:5" x14ac:dyDescent="0.25">
      <c r="A4762" s="119" t="s">
        <v>5232</v>
      </c>
      <c r="B4762" s="119" t="s">
        <v>10977</v>
      </c>
      <c r="C4762" s="119" t="s">
        <v>301</v>
      </c>
      <c r="D4762" t="s">
        <v>45</v>
      </c>
      <c r="E4762" s="117">
        <v>596.33000000000004</v>
      </c>
    </row>
    <row r="4763" spans="1:5" x14ac:dyDescent="0.25">
      <c r="A4763" s="119" t="s">
        <v>5233</v>
      </c>
      <c r="B4763" s="119" t="s">
        <v>10978</v>
      </c>
      <c r="C4763" s="119" t="s">
        <v>301</v>
      </c>
      <c r="D4763" t="s">
        <v>45</v>
      </c>
      <c r="E4763" s="117">
        <v>0</v>
      </c>
    </row>
    <row r="4764" spans="1:5" x14ac:dyDescent="0.25">
      <c r="A4764" s="119" t="s">
        <v>5234</v>
      </c>
      <c r="B4764" s="119" t="s">
        <v>10979</v>
      </c>
      <c r="C4764" s="119" t="s">
        <v>301</v>
      </c>
      <c r="D4764" t="s">
        <v>49</v>
      </c>
      <c r="E4764" s="117">
        <v>685.03</v>
      </c>
    </row>
    <row r="4765" spans="1:5" x14ac:dyDescent="0.25">
      <c r="A4765" s="119" t="s">
        <v>5235</v>
      </c>
      <c r="B4765" s="119" t="s">
        <v>10980</v>
      </c>
      <c r="C4765" s="119" t="s">
        <v>301</v>
      </c>
      <c r="D4765" t="s">
        <v>45</v>
      </c>
      <c r="E4765" s="117">
        <v>571.67999999999995</v>
      </c>
    </row>
    <row r="4766" spans="1:5" x14ac:dyDescent="0.25">
      <c r="A4766" s="119" t="s">
        <v>5236</v>
      </c>
      <c r="B4766" s="119" t="s">
        <v>10981</v>
      </c>
      <c r="C4766" s="119" t="s">
        <v>301</v>
      </c>
      <c r="D4766" t="s">
        <v>49</v>
      </c>
      <c r="E4766" s="117">
        <v>571.67999999999995</v>
      </c>
    </row>
    <row r="4767" spans="1:5" x14ac:dyDescent="0.25">
      <c r="A4767" s="119" t="s">
        <v>5237</v>
      </c>
      <c r="B4767" s="119" t="s">
        <v>10982</v>
      </c>
      <c r="C4767" s="119" t="s">
        <v>301</v>
      </c>
      <c r="D4767" t="s">
        <v>49</v>
      </c>
      <c r="E4767" s="117">
        <v>606.17999999999995</v>
      </c>
    </row>
    <row r="4768" spans="1:5" x14ac:dyDescent="0.25">
      <c r="A4768" s="119" t="s">
        <v>5238</v>
      </c>
      <c r="B4768" s="119" t="s">
        <v>10983</v>
      </c>
      <c r="C4768" s="119" t="s">
        <v>301</v>
      </c>
      <c r="D4768" t="s">
        <v>45</v>
      </c>
      <c r="E4768" s="117">
        <v>2305.4499999999998</v>
      </c>
    </row>
    <row r="4769" spans="1:5" x14ac:dyDescent="0.25">
      <c r="A4769" s="119" t="s">
        <v>5239</v>
      </c>
      <c r="B4769" s="119" t="s">
        <v>10984</v>
      </c>
      <c r="C4769" s="119" t="s">
        <v>301</v>
      </c>
      <c r="D4769" t="s">
        <v>45</v>
      </c>
      <c r="E4769" s="117">
        <v>984.67</v>
      </c>
    </row>
    <row r="4770" spans="1:5" x14ac:dyDescent="0.25">
      <c r="A4770" s="119" t="s">
        <v>5240</v>
      </c>
      <c r="B4770" s="119" t="s">
        <v>5241</v>
      </c>
      <c r="C4770" s="119" t="s">
        <v>301</v>
      </c>
      <c r="D4770" t="s">
        <v>45</v>
      </c>
      <c r="E4770" s="117">
        <v>0</v>
      </c>
    </row>
    <row r="4771" spans="1:5" x14ac:dyDescent="0.25">
      <c r="A4771" s="119" t="s">
        <v>5242</v>
      </c>
      <c r="B4771" s="119" t="s">
        <v>10985</v>
      </c>
      <c r="C4771" s="119" t="s">
        <v>301</v>
      </c>
      <c r="D4771" t="s">
        <v>45</v>
      </c>
      <c r="E4771" s="117">
        <v>3054.56</v>
      </c>
    </row>
    <row r="4772" spans="1:5" x14ac:dyDescent="0.25">
      <c r="A4772" s="119" t="s">
        <v>5243</v>
      </c>
      <c r="B4772" s="119" t="s">
        <v>10986</v>
      </c>
      <c r="C4772" s="119" t="s">
        <v>301</v>
      </c>
      <c r="D4772" t="s">
        <v>45</v>
      </c>
      <c r="E4772" s="117">
        <v>1083.24</v>
      </c>
    </row>
    <row r="4773" spans="1:5" x14ac:dyDescent="0.25">
      <c r="A4773" s="119" t="s">
        <v>5244</v>
      </c>
      <c r="B4773" s="119" t="s">
        <v>5241</v>
      </c>
      <c r="C4773" s="119" t="s">
        <v>301</v>
      </c>
      <c r="D4773" t="s">
        <v>45</v>
      </c>
      <c r="E4773" s="117">
        <v>0</v>
      </c>
    </row>
    <row r="4774" spans="1:5" x14ac:dyDescent="0.25">
      <c r="A4774" s="119" t="s">
        <v>6726</v>
      </c>
      <c r="B4774" s="119" t="s">
        <v>10987</v>
      </c>
      <c r="C4774" s="119" t="s">
        <v>301</v>
      </c>
      <c r="D4774" t="s">
        <v>6759</v>
      </c>
      <c r="E4774" s="117">
        <v>2909</v>
      </c>
    </row>
    <row r="4775" spans="1:5" x14ac:dyDescent="0.25">
      <c r="A4775" s="119" t="s">
        <v>7766</v>
      </c>
      <c r="B4775" s="119" t="s">
        <v>10988</v>
      </c>
      <c r="C4775" s="119" t="s">
        <v>301</v>
      </c>
      <c r="D4775" t="s">
        <v>6759</v>
      </c>
      <c r="E4775" s="117">
        <v>3190.72</v>
      </c>
    </row>
    <row r="4776" spans="1:5" x14ac:dyDescent="0.25">
      <c r="A4776" s="119" t="s">
        <v>5245</v>
      </c>
      <c r="B4776" s="119" t="s">
        <v>10989</v>
      </c>
      <c r="C4776" s="119" t="s">
        <v>301</v>
      </c>
      <c r="D4776" t="s">
        <v>45</v>
      </c>
      <c r="E4776" s="117">
        <v>1270.51</v>
      </c>
    </row>
    <row r="4777" spans="1:5" x14ac:dyDescent="0.25">
      <c r="A4777" s="119" t="s">
        <v>5246</v>
      </c>
      <c r="B4777" s="119" t="s">
        <v>5241</v>
      </c>
      <c r="C4777" s="119" t="s">
        <v>301</v>
      </c>
      <c r="D4777" t="s">
        <v>45</v>
      </c>
      <c r="E4777" s="117">
        <v>1270.51</v>
      </c>
    </row>
    <row r="4778" spans="1:5" x14ac:dyDescent="0.25">
      <c r="A4778" s="119" t="s">
        <v>5247</v>
      </c>
      <c r="B4778" s="119" t="s">
        <v>10990</v>
      </c>
      <c r="C4778" s="119" t="s">
        <v>301</v>
      </c>
      <c r="D4778" t="s">
        <v>6759</v>
      </c>
      <c r="E4778" s="117">
        <v>1270.51</v>
      </c>
    </row>
    <row r="4779" spans="1:5" x14ac:dyDescent="0.25">
      <c r="A4779" s="119" t="s">
        <v>5248</v>
      </c>
      <c r="B4779" s="119" t="s">
        <v>5241</v>
      </c>
      <c r="C4779" s="119" t="s">
        <v>301</v>
      </c>
      <c r="D4779" t="s">
        <v>6759</v>
      </c>
      <c r="E4779" s="117">
        <v>1270.51</v>
      </c>
    </row>
    <row r="4780" spans="1:5" x14ac:dyDescent="0.25">
      <c r="A4780" s="119" t="s">
        <v>5249</v>
      </c>
      <c r="B4780" s="119" t="s">
        <v>5250</v>
      </c>
      <c r="C4780" s="119" t="s">
        <v>301</v>
      </c>
      <c r="D4780" t="s">
        <v>45</v>
      </c>
      <c r="E4780" s="117">
        <v>0</v>
      </c>
    </row>
    <row r="4781" spans="1:5" x14ac:dyDescent="0.25">
      <c r="A4781" s="119" t="s">
        <v>5251</v>
      </c>
      <c r="B4781" s="119" t="s">
        <v>5252</v>
      </c>
      <c r="C4781" s="119" t="s">
        <v>301</v>
      </c>
      <c r="D4781" t="s">
        <v>45</v>
      </c>
      <c r="E4781" s="117">
        <v>3900</v>
      </c>
    </row>
    <row r="4782" spans="1:5" x14ac:dyDescent="0.25">
      <c r="A4782" s="119" t="s">
        <v>5253</v>
      </c>
      <c r="B4782" s="119" t="s">
        <v>4365</v>
      </c>
      <c r="C4782" s="119" t="s">
        <v>301</v>
      </c>
      <c r="D4782" t="s">
        <v>45</v>
      </c>
      <c r="E4782" s="117">
        <v>0</v>
      </c>
    </row>
    <row r="4783" spans="1:5" x14ac:dyDescent="0.25">
      <c r="A4783" s="119" t="s">
        <v>5254</v>
      </c>
      <c r="B4783" s="119" t="s">
        <v>10991</v>
      </c>
      <c r="C4783" s="119" t="s">
        <v>301</v>
      </c>
      <c r="D4783" t="s">
        <v>6759</v>
      </c>
      <c r="E4783" s="117">
        <v>1378.93</v>
      </c>
    </row>
    <row r="4784" spans="1:5" x14ac:dyDescent="0.25">
      <c r="A4784" s="119" t="s">
        <v>5255</v>
      </c>
      <c r="B4784" s="119" t="s">
        <v>10992</v>
      </c>
      <c r="C4784" s="119" t="s">
        <v>301</v>
      </c>
      <c r="D4784" t="s">
        <v>45</v>
      </c>
      <c r="E4784" s="117">
        <v>0</v>
      </c>
    </row>
    <row r="4785" spans="1:5" x14ac:dyDescent="0.25">
      <c r="A4785" s="119" t="s">
        <v>5256</v>
      </c>
      <c r="B4785" s="119" t="s">
        <v>10993</v>
      </c>
      <c r="C4785" s="119" t="s">
        <v>301</v>
      </c>
      <c r="D4785" t="s">
        <v>6759</v>
      </c>
      <c r="E4785" s="117">
        <v>3800</v>
      </c>
    </row>
    <row r="4786" spans="1:5" x14ac:dyDescent="0.25">
      <c r="A4786" s="119" t="s">
        <v>5257</v>
      </c>
      <c r="B4786" s="119" t="s">
        <v>4365</v>
      </c>
      <c r="C4786" s="119" t="s">
        <v>301</v>
      </c>
      <c r="D4786" t="s">
        <v>45</v>
      </c>
      <c r="E4786" s="117">
        <v>0</v>
      </c>
    </row>
    <row r="4787" spans="1:5" x14ac:dyDescent="0.25">
      <c r="A4787" s="119" t="s">
        <v>5258</v>
      </c>
      <c r="B4787" s="119" t="s">
        <v>10994</v>
      </c>
      <c r="C4787" s="119" t="s">
        <v>301</v>
      </c>
      <c r="D4787" t="s">
        <v>6759</v>
      </c>
      <c r="E4787" s="117">
        <v>1231.08</v>
      </c>
    </row>
    <row r="4788" spans="1:5" x14ac:dyDescent="0.25">
      <c r="A4788" s="119" t="s">
        <v>5259</v>
      </c>
      <c r="B4788" s="119" t="s">
        <v>10995</v>
      </c>
      <c r="C4788" s="119" t="s">
        <v>301</v>
      </c>
      <c r="D4788" t="s">
        <v>49</v>
      </c>
      <c r="E4788" s="117">
        <v>1100</v>
      </c>
    </row>
    <row r="4789" spans="1:5" x14ac:dyDescent="0.25">
      <c r="A4789" s="119" t="s">
        <v>5260</v>
      </c>
      <c r="B4789" s="119" t="s">
        <v>10996</v>
      </c>
      <c r="C4789" s="119" t="s">
        <v>301</v>
      </c>
      <c r="D4789" t="s">
        <v>45</v>
      </c>
      <c r="E4789" s="117">
        <v>999999</v>
      </c>
    </row>
    <row r="4790" spans="1:5" x14ac:dyDescent="0.25">
      <c r="A4790" s="119" t="s">
        <v>7767</v>
      </c>
      <c r="B4790" s="119" t="s">
        <v>10997</v>
      </c>
      <c r="C4790" s="119" t="s">
        <v>301</v>
      </c>
      <c r="D4790" t="s">
        <v>49</v>
      </c>
      <c r="E4790" s="117">
        <v>1125.53</v>
      </c>
    </row>
    <row r="4791" spans="1:5" x14ac:dyDescent="0.25">
      <c r="A4791" s="119" t="s">
        <v>6585</v>
      </c>
      <c r="B4791" s="119" t="s">
        <v>6586</v>
      </c>
      <c r="C4791" s="119" t="s">
        <v>301</v>
      </c>
      <c r="D4791" t="s">
        <v>6759</v>
      </c>
      <c r="E4791" s="117">
        <v>9999</v>
      </c>
    </row>
    <row r="4792" spans="1:5" x14ac:dyDescent="0.25">
      <c r="A4792" s="119" t="s">
        <v>6898</v>
      </c>
      <c r="B4792" s="119" t="s">
        <v>10998</v>
      </c>
      <c r="C4792" s="119" t="s">
        <v>301</v>
      </c>
      <c r="D4792" t="s">
        <v>49</v>
      </c>
      <c r="E4792" s="117">
        <v>1125.53</v>
      </c>
    </row>
    <row r="4793" spans="1:5" x14ac:dyDescent="0.25">
      <c r="A4793" s="119" t="s">
        <v>6587</v>
      </c>
      <c r="B4793" s="119" t="s">
        <v>6586</v>
      </c>
      <c r="C4793" s="119" t="s">
        <v>301</v>
      </c>
      <c r="D4793" t="s">
        <v>45</v>
      </c>
      <c r="E4793" s="117">
        <v>9999</v>
      </c>
    </row>
    <row r="4794" spans="1:5" x14ac:dyDescent="0.25">
      <c r="A4794" s="119" t="s">
        <v>5261</v>
      </c>
      <c r="B4794" s="119" t="s">
        <v>10999</v>
      </c>
      <c r="C4794" s="119" t="s">
        <v>301</v>
      </c>
      <c r="D4794" t="s">
        <v>51</v>
      </c>
      <c r="E4794" s="117">
        <v>250.36</v>
      </c>
    </row>
    <row r="4795" spans="1:5" x14ac:dyDescent="0.25">
      <c r="A4795" s="119" t="s">
        <v>5262</v>
      </c>
      <c r="B4795" s="119" t="s">
        <v>11000</v>
      </c>
      <c r="C4795" s="119" t="s">
        <v>301</v>
      </c>
      <c r="D4795" t="s">
        <v>45</v>
      </c>
      <c r="E4795" s="117">
        <v>0</v>
      </c>
    </row>
    <row r="4796" spans="1:5" x14ac:dyDescent="0.25">
      <c r="A4796" s="119" t="s">
        <v>5263</v>
      </c>
      <c r="B4796" s="119" t="s">
        <v>11001</v>
      </c>
      <c r="C4796" s="119" t="s">
        <v>301</v>
      </c>
      <c r="D4796" t="s">
        <v>45</v>
      </c>
      <c r="E4796" s="117">
        <v>0</v>
      </c>
    </row>
    <row r="4797" spans="1:5" x14ac:dyDescent="0.25">
      <c r="A4797" s="119" t="s">
        <v>5264</v>
      </c>
      <c r="B4797" s="119" t="s">
        <v>11002</v>
      </c>
      <c r="C4797" s="119" t="s">
        <v>301</v>
      </c>
      <c r="D4797" t="s">
        <v>45</v>
      </c>
      <c r="E4797" s="117">
        <v>698.83</v>
      </c>
    </row>
    <row r="4798" spans="1:5" x14ac:dyDescent="0.25">
      <c r="A4798" s="119" t="s">
        <v>5265</v>
      </c>
      <c r="B4798" s="119" t="s">
        <v>11003</v>
      </c>
      <c r="C4798" s="119" t="s">
        <v>301</v>
      </c>
      <c r="D4798" t="s">
        <v>6760</v>
      </c>
      <c r="E4798" s="117">
        <v>807.25</v>
      </c>
    </row>
    <row r="4799" spans="1:5" x14ac:dyDescent="0.25">
      <c r="A4799" s="119" t="s">
        <v>5266</v>
      </c>
      <c r="B4799" s="119" t="s">
        <v>7768</v>
      </c>
      <c r="C4799" s="119" t="s">
        <v>301</v>
      </c>
      <c r="D4799" t="s">
        <v>45</v>
      </c>
      <c r="E4799" s="117">
        <v>718.55</v>
      </c>
    </row>
    <row r="4800" spans="1:5" x14ac:dyDescent="0.25">
      <c r="A4800" s="119" t="s">
        <v>5267</v>
      </c>
      <c r="B4800" s="119" t="s">
        <v>11004</v>
      </c>
      <c r="C4800" s="119" t="s">
        <v>301</v>
      </c>
      <c r="D4800" t="s">
        <v>45</v>
      </c>
      <c r="E4800" s="117">
        <v>0</v>
      </c>
    </row>
    <row r="4801" spans="1:5" x14ac:dyDescent="0.25">
      <c r="A4801" s="119" t="s">
        <v>5268</v>
      </c>
      <c r="B4801" s="119" t="s">
        <v>11005</v>
      </c>
      <c r="C4801" s="119" t="s">
        <v>301</v>
      </c>
      <c r="D4801" t="s">
        <v>45</v>
      </c>
      <c r="E4801" s="117">
        <v>935.39</v>
      </c>
    </row>
    <row r="4802" spans="1:5" x14ac:dyDescent="0.25">
      <c r="A4802" s="119" t="s">
        <v>5269</v>
      </c>
      <c r="B4802" s="119" t="s">
        <v>11006</v>
      </c>
      <c r="C4802" s="119" t="s">
        <v>301</v>
      </c>
      <c r="D4802" t="s">
        <v>45</v>
      </c>
      <c r="E4802" s="117">
        <v>886.11</v>
      </c>
    </row>
    <row r="4803" spans="1:5" x14ac:dyDescent="0.25">
      <c r="A4803" s="119" t="s">
        <v>5270</v>
      </c>
      <c r="B4803" s="119" t="s">
        <v>11007</v>
      </c>
      <c r="C4803" s="119" t="s">
        <v>301</v>
      </c>
      <c r="D4803" t="s">
        <v>51</v>
      </c>
      <c r="E4803" s="117">
        <v>590.4</v>
      </c>
    </row>
    <row r="4804" spans="1:5" x14ac:dyDescent="0.25">
      <c r="A4804" s="119" t="s">
        <v>5271</v>
      </c>
      <c r="B4804" s="119" t="s">
        <v>4365</v>
      </c>
      <c r="C4804" s="119" t="s">
        <v>301</v>
      </c>
      <c r="D4804" t="s">
        <v>45</v>
      </c>
      <c r="E4804" s="117">
        <v>999999</v>
      </c>
    </row>
    <row r="4805" spans="1:5" x14ac:dyDescent="0.25">
      <c r="A4805" s="119" t="s">
        <v>5272</v>
      </c>
      <c r="B4805" s="119" t="s">
        <v>11008</v>
      </c>
      <c r="C4805" s="119" t="s">
        <v>301</v>
      </c>
      <c r="D4805" t="s">
        <v>45</v>
      </c>
      <c r="E4805" s="117">
        <v>639.69000000000005</v>
      </c>
    </row>
    <row r="4806" spans="1:5" x14ac:dyDescent="0.25">
      <c r="A4806" s="119" t="s">
        <v>5273</v>
      </c>
      <c r="B4806" s="119" t="s">
        <v>11009</v>
      </c>
      <c r="C4806" s="119" t="s">
        <v>301</v>
      </c>
      <c r="D4806" t="s">
        <v>6759</v>
      </c>
      <c r="E4806" s="117">
        <v>999999</v>
      </c>
    </row>
    <row r="4807" spans="1:5" x14ac:dyDescent="0.25">
      <c r="A4807" s="119" t="s">
        <v>5274</v>
      </c>
      <c r="B4807" s="119" t="s">
        <v>11009</v>
      </c>
      <c r="C4807" s="119" t="s">
        <v>301</v>
      </c>
      <c r="D4807" t="s">
        <v>45</v>
      </c>
      <c r="E4807" s="117">
        <v>999999</v>
      </c>
    </row>
    <row r="4808" spans="1:5" x14ac:dyDescent="0.25">
      <c r="A4808" s="119" t="s">
        <v>5275</v>
      </c>
      <c r="B4808" s="119" t="s">
        <v>4365</v>
      </c>
      <c r="C4808" s="119" t="s">
        <v>301</v>
      </c>
      <c r="D4808" t="s">
        <v>45</v>
      </c>
      <c r="E4808" s="117">
        <v>0</v>
      </c>
    </row>
    <row r="4809" spans="1:5" x14ac:dyDescent="0.25">
      <c r="A4809" s="119" t="s">
        <v>5276</v>
      </c>
      <c r="B4809" s="119" t="s">
        <v>11010</v>
      </c>
      <c r="C4809" s="119" t="s">
        <v>301</v>
      </c>
      <c r="D4809" t="s">
        <v>51</v>
      </c>
      <c r="E4809" s="117">
        <v>846.79</v>
      </c>
    </row>
    <row r="4810" spans="1:5" x14ac:dyDescent="0.25">
      <c r="A4810" s="119" t="s">
        <v>5277</v>
      </c>
      <c r="B4810" s="119" t="s">
        <v>6511</v>
      </c>
      <c r="C4810" s="119" t="s">
        <v>301</v>
      </c>
      <c r="D4810" t="s">
        <v>45</v>
      </c>
      <c r="E4810" s="117">
        <v>0</v>
      </c>
    </row>
    <row r="4811" spans="1:5" x14ac:dyDescent="0.25">
      <c r="A4811" s="119" t="s">
        <v>5278</v>
      </c>
      <c r="B4811" s="119" t="s">
        <v>4365</v>
      </c>
      <c r="C4811" s="119" t="s">
        <v>301</v>
      </c>
      <c r="D4811" t="s">
        <v>45</v>
      </c>
      <c r="E4811" s="117">
        <v>0</v>
      </c>
    </row>
    <row r="4812" spans="1:5" x14ac:dyDescent="0.25">
      <c r="A4812" s="119" t="s">
        <v>5279</v>
      </c>
      <c r="B4812" s="119" t="s">
        <v>11011</v>
      </c>
      <c r="C4812" s="119" t="s">
        <v>301</v>
      </c>
      <c r="D4812" t="s">
        <v>45</v>
      </c>
      <c r="E4812" s="117">
        <v>796.92</v>
      </c>
    </row>
    <row r="4813" spans="1:5" x14ac:dyDescent="0.25">
      <c r="A4813" s="119" t="s">
        <v>5280</v>
      </c>
      <c r="B4813" s="119" t="s">
        <v>4365</v>
      </c>
      <c r="C4813" s="119" t="s">
        <v>301</v>
      </c>
      <c r="D4813" t="s">
        <v>45</v>
      </c>
      <c r="E4813" s="117">
        <v>0</v>
      </c>
    </row>
    <row r="4814" spans="1:5" x14ac:dyDescent="0.25">
      <c r="A4814" s="119" t="s">
        <v>5281</v>
      </c>
      <c r="B4814" s="119" t="s">
        <v>11012</v>
      </c>
      <c r="C4814" s="119" t="s">
        <v>301</v>
      </c>
      <c r="D4814" t="s">
        <v>51</v>
      </c>
      <c r="E4814" s="117">
        <v>976.45</v>
      </c>
    </row>
    <row r="4815" spans="1:5" x14ac:dyDescent="0.25">
      <c r="A4815" s="119" t="s">
        <v>5282</v>
      </c>
      <c r="B4815" s="119" t="s">
        <v>4365</v>
      </c>
      <c r="C4815" s="119" t="s">
        <v>301</v>
      </c>
      <c r="D4815" t="s">
        <v>45</v>
      </c>
      <c r="E4815" s="117">
        <v>0</v>
      </c>
    </row>
    <row r="4816" spans="1:5" x14ac:dyDescent="0.25">
      <c r="A4816" s="119" t="s">
        <v>5283</v>
      </c>
      <c r="B4816" s="119" t="s">
        <v>11013</v>
      </c>
      <c r="C4816" s="119" t="s">
        <v>301</v>
      </c>
      <c r="D4816" t="s">
        <v>49</v>
      </c>
      <c r="E4816" s="117">
        <v>876.71</v>
      </c>
    </row>
    <row r="4817" spans="1:5" x14ac:dyDescent="0.25">
      <c r="A4817" s="119" t="s">
        <v>5284</v>
      </c>
      <c r="B4817" s="119" t="s">
        <v>11014</v>
      </c>
      <c r="C4817" s="119" t="s">
        <v>301</v>
      </c>
      <c r="D4817" t="s">
        <v>49</v>
      </c>
      <c r="E4817" s="117">
        <v>418.91</v>
      </c>
    </row>
    <row r="4818" spans="1:5" x14ac:dyDescent="0.25">
      <c r="A4818" s="119" t="s">
        <v>5285</v>
      </c>
      <c r="B4818" s="119" t="s">
        <v>11015</v>
      </c>
      <c r="C4818" s="119" t="s">
        <v>301</v>
      </c>
      <c r="D4818" t="s">
        <v>45</v>
      </c>
      <c r="E4818" s="117">
        <v>0</v>
      </c>
    </row>
    <row r="4819" spans="1:5" x14ac:dyDescent="0.25">
      <c r="A4819" s="119" t="s">
        <v>11918</v>
      </c>
      <c r="B4819" s="119" t="s">
        <v>11014</v>
      </c>
      <c r="C4819" s="119" t="s">
        <v>301</v>
      </c>
      <c r="D4819" t="s">
        <v>45</v>
      </c>
      <c r="E4819" s="117">
        <v>99999</v>
      </c>
    </row>
    <row r="4820" spans="1:5" x14ac:dyDescent="0.25">
      <c r="A4820" s="119" t="s">
        <v>5286</v>
      </c>
      <c r="B4820" s="119" t="s">
        <v>6512</v>
      </c>
      <c r="C4820" s="119" t="s">
        <v>301</v>
      </c>
      <c r="D4820" t="s">
        <v>45</v>
      </c>
      <c r="E4820" s="117">
        <v>0</v>
      </c>
    </row>
    <row r="4821" spans="1:5" x14ac:dyDescent="0.25">
      <c r="A4821" s="119" t="s">
        <v>5287</v>
      </c>
      <c r="B4821" s="119" t="s">
        <v>11016</v>
      </c>
      <c r="C4821" s="119" t="s">
        <v>301</v>
      </c>
      <c r="D4821" t="s">
        <v>6759</v>
      </c>
      <c r="E4821" s="117">
        <v>984.67</v>
      </c>
    </row>
    <row r="4822" spans="1:5" x14ac:dyDescent="0.25">
      <c r="A4822" s="119" t="s">
        <v>5288</v>
      </c>
      <c r="B4822" s="119" t="s">
        <v>5241</v>
      </c>
      <c r="C4822" s="119" t="s">
        <v>301</v>
      </c>
      <c r="D4822" t="s">
        <v>6759</v>
      </c>
      <c r="E4822" s="117">
        <v>984.67</v>
      </c>
    </row>
    <row r="4823" spans="1:5" x14ac:dyDescent="0.25">
      <c r="A4823" s="119" t="s">
        <v>5289</v>
      </c>
      <c r="B4823" s="119" t="s">
        <v>11017</v>
      </c>
      <c r="C4823" s="119" t="s">
        <v>301</v>
      </c>
      <c r="D4823" t="s">
        <v>49</v>
      </c>
      <c r="E4823" s="117">
        <v>374.55</v>
      </c>
    </row>
    <row r="4824" spans="1:5" x14ac:dyDescent="0.25">
      <c r="A4824" s="119" t="s">
        <v>8230</v>
      </c>
      <c r="B4824" s="119" t="s">
        <v>8231</v>
      </c>
      <c r="C4824" s="119" t="s">
        <v>301</v>
      </c>
      <c r="D4824" t="s">
        <v>6759</v>
      </c>
      <c r="E4824" s="117">
        <v>0</v>
      </c>
    </row>
    <row r="4825" spans="1:5" x14ac:dyDescent="0.25">
      <c r="A4825" s="119" t="s">
        <v>5290</v>
      </c>
      <c r="B4825" s="119" t="s">
        <v>11018</v>
      </c>
      <c r="C4825" s="119" t="s">
        <v>301</v>
      </c>
      <c r="D4825" t="s">
        <v>6760</v>
      </c>
      <c r="E4825" s="117">
        <v>685.03</v>
      </c>
    </row>
    <row r="4826" spans="1:5" x14ac:dyDescent="0.25">
      <c r="A4826" s="119" t="s">
        <v>5291</v>
      </c>
      <c r="B4826" s="119" t="s">
        <v>11019</v>
      </c>
      <c r="C4826" s="119" t="s">
        <v>301</v>
      </c>
      <c r="D4826" t="s">
        <v>49</v>
      </c>
      <c r="E4826" s="117">
        <v>837.81</v>
      </c>
    </row>
    <row r="4827" spans="1:5" x14ac:dyDescent="0.25">
      <c r="A4827" s="119" t="s">
        <v>5292</v>
      </c>
      <c r="B4827" s="119" t="s">
        <v>11020</v>
      </c>
      <c r="C4827" s="119" t="s">
        <v>301</v>
      </c>
      <c r="D4827" t="s">
        <v>51</v>
      </c>
      <c r="E4827" s="117">
        <v>936.38</v>
      </c>
    </row>
    <row r="4828" spans="1:5" x14ac:dyDescent="0.25">
      <c r="A4828" s="119" t="s">
        <v>5293</v>
      </c>
      <c r="B4828" s="119" t="s">
        <v>11021</v>
      </c>
      <c r="C4828" s="119" t="s">
        <v>301</v>
      </c>
      <c r="D4828" t="s">
        <v>45</v>
      </c>
      <c r="E4828" s="117">
        <v>551.96</v>
      </c>
    </row>
    <row r="4829" spans="1:5" x14ac:dyDescent="0.25">
      <c r="A4829" s="119" t="s">
        <v>5294</v>
      </c>
      <c r="B4829" s="119" t="s">
        <v>11022</v>
      </c>
      <c r="C4829" s="119" t="s">
        <v>301</v>
      </c>
      <c r="D4829" t="s">
        <v>45</v>
      </c>
      <c r="E4829" s="117">
        <v>0</v>
      </c>
    </row>
    <row r="4830" spans="1:5" x14ac:dyDescent="0.25">
      <c r="A4830" s="119" t="s">
        <v>5295</v>
      </c>
      <c r="B4830" s="119" t="s">
        <v>11023</v>
      </c>
      <c r="C4830" s="119" t="s">
        <v>301</v>
      </c>
      <c r="D4830" t="s">
        <v>45</v>
      </c>
      <c r="E4830" s="117">
        <v>685.03</v>
      </c>
    </row>
    <row r="4831" spans="1:5" x14ac:dyDescent="0.25">
      <c r="A4831" s="119" t="s">
        <v>5296</v>
      </c>
      <c r="B4831" s="119" t="s">
        <v>11024</v>
      </c>
      <c r="C4831" s="119" t="s">
        <v>301</v>
      </c>
      <c r="D4831" t="s">
        <v>45</v>
      </c>
      <c r="E4831" s="117">
        <v>0</v>
      </c>
    </row>
    <row r="4832" spans="1:5" x14ac:dyDescent="0.25">
      <c r="A4832" s="119" t="s">
        <v>5297</v>
      </c>
      <c r="B4832" s="119" t="s">
        <v>11025</v>
      </c>
      <c r="C4832" s="119" t="s">
        <v>301</v>
      </c>
      <c r="D4832" t="s">
        <v>45</v>
      </c>
      <c r="E4832" s="117">
        <v>685.03</v>
      </c>
    </row>
    <row r="4833" spans="1:5" x14ac:dyDescent="0.25">
      <c r="A4833" s="119" t="s">
        <v>5298</v>
      </c>
      <c r="B4833" s="119" t="s">
        <v>11026</v>
      </c>
      <c r="C4833" s="119" t="s">
        <v>301</v>
      </c>
      <c r="D4833" t="s">
        <v>45</v>
      </c>
      <c r="E4833" s="117">
        <v>682.03</v>
      </c>
    </row>
    <row r="4834" spans="1:5" x14ac:dyDescent="0.25">
      <c r="A4834" s="119" t="s">
        <v>5299</v>
      </c>
      <c r="B4834" s="119" t="s">
        <v>11027</v>
      </c>
      <c r="C4834" s="119" t="s">
        <v>301</v>
      </c>
      <c r="D4834" t="s">
        <v>45</v>
      </c>
      <c r="E4834" s="117">
        <v>685.03</v>
      </c>
    </row>
    <row r="4835" spans="1:5" x14ac:dyDescent="0.25">
      <c r="A4835" s="119" t="s">
        <v>5300</v>
      </c>
      <c r="B4835" s="119" t="s">
        <v>11026</v>
      </c>
      <c r="C4835" s="119" t="s">
        <v>301</v>
      </c>
      <c r="D4835" t="s">
        <v>45</v>
      </c>
      <c r="E4835" s="117">
        <v>729.38</v>
      </c>
    </row>
    <row r="4836" spans="1:5" x14ac:dyDescent="0.25">
      <c r="A4836" s="119" t="s">
        <v>5301</v>
      </c>
      <c r="B4836" s="119" t="s">
        <v>11028</v>
      </c>
      <c r="C4836" s="119" t="s">
        <v>301</v>
      </c>
      <c r="D4836" t="s">
        <v>51</v>
      </c>
      <c r="E4836" s="117">
        <v>1181.81</v>
      </c>
    </row>
    <row r="4837" spans="1:5" x14ac:dyDescent="0.25">
      <c r="A4837" s="119" t="s">
        <v>5302</v>
      </c>
      <c r="B4837" s="119" t="s">
        <v>5303</v>
      </c>
      <c r="C4837" s="119" t="s">
        <v>301</v>
      </c>
      <c r="D4837" t="s">
        <v>45</v>
      </c>
      <c r="E4837" s="117">
        <v>999999</v>
      </c>
    </row>
    <row r="4838" spans="1:5" x14ac:dyDescent="0.25">
      <c r="A4838" s="119" t="s">
        <v>7769</v>
      </c>
      <c r="B4838" s="119" t="s">
        <v>11029</v>
      </c>
      <c r="C4838" s="119" t="s">
        <v>301</v>
      </c>
      <c r="D4838" t="s">
        <v>51</v>
      </c>
      <c r="E4838" s="117">
        <v>1181.8499999999999</v>
      </c>
    </row>
    <row r="4839" spans="1:5" x14ac:dyDescent="0.25">
      <c r="A4839" s="119" t="s">
        <v>5304</v>
      </c>
      <c r="B4839" s="119" t="s">
        <v>11030</v>
      </c>
      <c r="C4839" s="119" t="s">
        <v>301</v>
      </c>
      <c r="D4839" t="s">
        <v>51</v>
      </c>
      <c r="E4839" s="117">
        <v>760</v>
      </c>
    </row>
    <row r="4840" spans="1:5" x14ac:dyDescent="0.25">
      <c r="A4840" s="119" t="s">
        <v>5305</v>
      </c>
      <c r="B4840" s="119" t="s">
        <v>6513</v>
      </c>
      <c r="C4840" s="119" t="s">
        <v>301</v>
      </c>
      <c r="D4840" t="s">
        <v>45</v>
      </c>
      <c r="E4840" s="117">
        <v>999999</v>
      </c>
    </row>
    <row r="4841" spans="1:5" x14ac:dyDescent="0.25">
      <c r="A4841" s="119" t="s">
        <v>5306</v>
      </c>
      <c r="B4841" s="119" t="s">
        <v>11031</v>
      </c>
      <c r="C4841" s="119" t="s">
        <v>301</v>
      </c>
      <c r="D4841" t="s">
        <v>51</v>
      </c>
      <c r="E4841" s="117">
        <v>650</v>
      </c>
    </row>
    <row r="4842" spans="1:5" x14ac:dyDescent="0.25">
      <c r="A4842" s="119" t="s">
        <v>5307</v>
      </c>
      <c r="B4842" s="119" t="s">
        <v>6513</v>
      </c>
      <c r="C4842" s="119" t="s">
        <v>301</v>
      </c>
      <c r="D4842" t="s">
        <v>45</v>
      </c>
      <c r="E4842" s="117">
        <v>1</v>
      </c>
    </row>
    <row r="4843" spans="1:5" x14ac:dyDescent="0.25">
      <c r="A4843" s="119" t="s">
        <v>5308</v>
      </c>
      <c r="B4843" s="119" t="s">
        <v>7770</v>
      </c>
      <c r="C4843" s="119" t="s">
        <v>301</v>
      </c>
      <c r="D4843" t="s">
        <v>51</v>
      </c>
      <c r="E4843" s="117">
        <v>685.03</v>
      </c>
    </row>
    <row r="4844" spans="1:5" x14ac:dyDescent="0.25">
      <c r="A4844" s="119" t="s">
        <v>5309</v>
      </c>
      <c r="B4844" s="119" t="s">
        <v>11032</v>
      </c>
      <c r="C4844" s="119" t="s">
        <v>301</v>
      </c>
      <c r="D4844" t="s">
        <v>45</v>
      </c>
      <c r="E4844" s="117">
        <v>0</v>
      </c>
    </row>
    <row r="4845" spans="1:5" x14ac:dyDescent="0.25">
      <c r="A4845" s="119" t="s">
        <v>5310</v>
      </c>
      <c r="B4845" s="119" t="s">
        <v>11033</v>
      </c>
      <c r="C4845" s="119" t="s">
        <v>301</v>
      </c>
      <c r="D4845" t="s">
        <v>6760</v>
      </c>
      <c r="E4845" s="117">
        <v>936.38</v>
      </c>
    </row>
    <row r="4846" spans="1:5" x14ac:dyDescent="0.25">
      <c r="A4846" s="119" t="s">
        <v>5311</v>
      </c>
      <c r="B4846" s="119" t="s">
        <v>11034</v>
      </c>
      <c r="C4846" s="119" t="s">
        <v>301</v>
      </c>
      <c r="D4846" t="s">
        <v>6760</v>
      </c>
      <c r="E4846" s="117">
        <v>551.96</v>
      </c>
    </row>
    <row r="4847" spans="1:5" x14ac:dyDescent="0.25">
      <c r="A4847" s="119" t="s">
        <v>5312</v>
      </c>
      <c r="B4847" s="119" t="s">
        <v>11035</v>
      </c>
      <c r="C4847" s="119" t="s">
        <v>301</v>
      </c>
      <c r="D4847" t="s">
        <v>49</v>
      </c>
      <c r="E4847" s="117">
        <v>685.03</v>
      </c>
    </row>
    <row r="4848" spans="1:5" x14ac:dyDescent="0.25">
      <c r="A4848" s="119" t="s">
        <v>5313</v>
      </c>
      <c r="B4848" s="119" t="s">
        <v>11024</v>
      </c>
      <c r="C4848" s="119" t="s">
        <v>301</v>
      </c>
      <c r="D4848" t="s">
        <v>45</v>
      </c>
      <c r="E4848" s="117">
        <v>0</v>
      </c>
    </row>
    <row r="4849" spans="1:5" x14ac:dyDescent="0.25">
      <c r="A4849" s="119" t="s">
        <v>5314</v>
      </c>
      <c r="B4849" s="119" t="s">
        <v>11036</v>
      </c>
      <c r="C4849" s="119" t="s">
        <v>301</v>
      </c>
      <c r="D4849" t="s">
        <v>45</v>
      </c>
      <c r="E4849" s="117">
        <v>738.26</v>
      </c>
    </row>
    <row r="4850" spans="1:5" x14ac:dyDescent="0.25">
      <c r="A4850" s="119" t="s">
        <v>5315</v>
      </c>
      <c r="B4850" s="119" t="s">
        <v>7771</v>
      </c>
      <c r="C4850" s="119" t="s">
        <v>301</v>
      </c>
      <c r="D4850" t="s">
        <v>45</v>
      </c>
      <c r="E4850" s="117">
        <v>685.03</v>
      </c>
    </row>
    <row r="4851" spans="1:5" x14ac:dyDescent="0.25">
      <c r="A4851" s="119" t="s">
        <v>5316</v>
      </c>
      <c r="B4851" s="119" t="s">
        <v>11036</v>
      </c>
      <c r="C4851" s="119" t="s">
        <v>301</v>
      </c>
      <c r="D4851" t="s">
        <v>45</v>
      </c>
      <c r="E4851" s="117">
        <v>738.26</v>
      </c>
    </row>
    <row r="4852" spans="1:5" x14ac:dyDescent="0.25">
      <c r="A4852" s="119" t="s">
        <v>5317</v>
      </c>
      <c r="B4852" s="119" t="s">
        <v>11037</v>
      </c>
      <c r="C4852" s="119" t="s">
        <v>301</v>
      </c>
      <c r="D4852" t="s">
        <v>49</v>
      </c>
      <c r="E4852" s="117">
        <v>1181.81</v>
      </c>
    </row>
    <row r="4853" spans="1:5" x14ac:dyDescent="0.25">
      <c r="A4853" s="119" t="s">
        <v>5318</v>
      </c>
      <c r="B4853" s="119" t="s">
        <v>5319</v>
      </c>
      <c r="C4853" s="119" t="s">
        <v>301</v>
      </c>
      <c r="D4853" t="s">
        <v>6759</v>
      </c>
      <c r="E4853" s="117">
        <v>999999</v>
      </c>
    </row>
    <row r="4854" spans="1:5" x14ac:dyDescent="0.25">
      <c r="A4854" s="119" t="s">
        <v>5320</v>
      </c>
      <c r="B4854" s="119" t="s">
        <v>11038</v>
      </c>
      <c r="C4854" s="119" t="s">
        <v>301</v>
      </c>
      <c r="D4854" t="s">
        <v>51</v>
      </c>
      <c r="E4854" s="117">
        <v>780</v>
      </c>
    </row>
    <row r="4855" spans="1:5" x14ac:dyDescent="0.25">
      <c r="A4855" s="119" t="s">
        <v>5321</v>
      </c>
      <c r="B4855" s="119" t="s">
        <v>6514</v>
      </c>
      <c r="C4855" s="119" t="s">
        <v>301</v>
      </c>
      <c r="D4855" t="s">
        <v>6759</v>
      </c>
      <c r="E4855" s="117">
        <v>999999</v>
      </c>
    </row>
    <row r="4856" spans="1:5" x14ac:dyDescent="0.25">
      <c r="A4856" s="119" t="s">
        <v>5322</v>
      </c>
      <c r="B4856" s="119" t="s">
        <v>11039</v>
      </c>
      <c r="C4856" s="119" t="s">
        <v>301</v>
      </c>
      <c r="D4856" t="s">
        <v>51</v>
      </c>
      <c r="E4856" s="117">
        <v>650</v>
      </c>
    </row>
    <row r="4857" spans="1:5" x14ac:dyDescent="0.25">
      <c r="A4857" s="119" t="s">
        <v>5323</v>
      </c>
      <c r="B4857" s="119" t="s">
        <v>6514</v>
      </c>
      <c r="C4857" s="119" t="s">
        <v>301</v>
      </c>
      <c r="D4857" t="s">
        <v>6759</v>
      </c>
      <c r="E4857" s="117">
        <v>1</v>
      </c>
    </row>
    <row r="4858" spans="1:5" x14ac:dyDescent="0.25">
      <c r="A4858" s="119" t="s">
        <v>5324</v>
      </c>
      <c r="B4858" s="119" t="s">
        <v>11040</v>
      </c>
      <c r="C4858" s="119" t="s">
        <v>66</v>
      </c>
      <c r="D4858" t="s">
        <v>49</v>
      </c>
      <c r="E4858" s="117">
        <v>40.049999999999997</v>
      </c>
    </row>
    <row r="4859" spans="1:5" x14ac:dyDescent="0.25">
      <c r="A4859" s="119" t="s">
        <v>6853</v>
      </c>
      <c r="B4859" s="119" t="s">
        <v>11041</v>
      </c>
      <c r="C4859" s="119" t="s">
        <v>66</v>
      </c>
      <c r="D4859" t="s">
        <v>6759</v>
      </c>
      <c r="E4859" s="117">
        <v>65</v>
      </c>
    </row>
    <row r="4860" spans="1:5" x14ac:dyDescent="0.25">
      <c r="A4860" s="119" t="s">
        <v>5325</v>
      </c>
      <c r="B4860" s="119" t="s">
        <v>11042</v>
      </c>
      <c r="C4860" s="119" t="s">
        <v>301</v>
      </c>
      <c r="D4860" t="s">
        <v>49</v>
      </c>
      <c r="E4860" s="117">
        <v>600.26</v>
      </c>
    </row>
    <row r="4861" spans="1:5" x14ac:dyDescent="0.25">
      <c r="A4861" s="119" t="s">
        <v>5326</v>
      </c>
      <c r="B4861" s="119" t="s">
        <v>11043</v>
      </c>
      <c r="C4861" s="119" t="s">
        <v>301</v>
      </c>
      <c r="D4861" t="s">
        <v>51</v>
      </c>
      <c r="E4861" s="117">
        <v>1033.96</v>
      </c>
    </row>
    <row r="4862" spans="1:5" x14ac:dyDescent="0.25">
      <c r="A4862" s="119" t="s">
        <v>7772</v>
      </c>
      <c r="B4862" s="119" t="s">
        <v>11044</v>
      </c>
      <c r="C4862" s="119" t="s">
        <v>301</v>
      </c>
      <c r="D4862" t="s">
        <v>6759</v>
      </c>
      <c r="E4862" s="117">
        <v>703.1</v>
      </c>
    </row>
    <row r="4863" spans="1:5" x14ac:dyDescent="0.25">
      <c r="A4863" s="119" t="s">
        <v>6824</v>
      </c>
      <c r="B4863" s="119" t="s">
        <v>6825</v>
      </c>
      <c r="C4863" s="119" t="s">
        <v>301</v>
      </c>
      <c r="D4863" t="s">
        <v>45</v>
      </c>
      <c r="E4863" s="117">
        <v>9999</v>
      </c>
    </row>
    <row r="4864" spans="1:5" x14ac:dyDescent="0.25">
      <c r="A4864" s="119" t="s">
        <v>6899</v>
      </c>
      <c r="B4864" s="119" t="s">
        <v>11045</v>
      </c>
      <c r="C4864" s="119" t="s">
        <v>301</v>
      </c>
      <c r="D4864" t="s">
        <v>49</v>
      </c>
      <c r="E4864" s="117">
        <v>703.1</v>
      </c>
    </row>
    <row r="4865" spans="1:5" x14ac:dyDescent="0.25">
      <c r="A4865" s="119" t="s">
        <v>6826</v>
      </c>
      <c r="B4865" s="119" t="s">
        <v>6825</v>
      </c>
      <c r="C4865" s="119" t="s">
        <v>301</v>
      </c>
      <c r="D4865" t="s">
        <v>45</v>
      </c>
      <c r="E4865" s="117">
        <v>9999</v>
      </c>
    </row>
    <row r="4866" spans="1:5" x14ac:dyDescent="0.25">
      <c r="A4866" s="119" t="s">
        <v>5327</v>
      </c>
      <c r="B4866" s="119" t="s">
        <v>11046</v>
      </c>
      <c r="C4866" s="119" t="s">
        <v>301</v>
      </c>
      <c r="D4866" t="s">
        <v>49</v>
      </c>
      <c r="E4866" s="117">
        <v>384.41</v>
      </c>
    </row>
    <row r="4867" spans="1:5" x14ac:dyDescent="0.25">
      <c r="A4867" s="119" t="s">
        <v>5328</v>
      </c>
      <c r="B4867" s="119" t="s">
        <v>11047</v>
      </c>
      <c r="C4867" s="119" t="s">
        <v>301</v>
      </c>
      <c r="D4867" t="s">
        <v>45</v>
      </c>
      <c r="E4867" s="117">
        <v>0</v>
      </c>
    </row>
    <row r="4868" spans="1:5" x14ac:dyDescent="0.25">
      <c r="A4868" s="119" t="s">
        <v>5329</v>
      </c>
      <c r="B4868" s="119" t="s">
        <v>11048</v>
      </c>
      <c r="C4868" s="119" t="s">
        <v>301</v>
      </c>
      <c r="D4868" t="s">
        <v>51</v>
      </c>
      <c r="E4868" s="117">
        <v>1301.07</v>
      </c>
    </row>
    <row r="4869" spans="1:5" x14ac:dyDescent="0.25">
      <c r="A4869" s="119" t="s">
        <v>5330</v>
      </c>
      <c r="B4869" s="119" t="s">
        <v>11049</v>
      </c>
      <c r="C4869" s="119" t="s">
        <v>301</v>
      </c>
      <c r="D4869" t="s">
        <v>49</v>
      </c>
      <c r="E4869" s="117">
        <v>1547.48</v>
      </c>
    </row>
    <row r="4870" spans="1:5" x14ac:dyDescent="0.25">
      <c r="A4870" s="119" t="s">
        <v>5331</v>
      </c>
      <c r="B4870" s="119" t="s">
        <v>11050</v>
      </c>
      <c r="C4870" s="119" t="s">
        <v>301</v>
      </c>
      <c r="D4870" t="s">
        <v>45</v>
      </c>
      <c r="E4870" s="117">
        <v>0</v>
      </c>
    </row>
    <row r="4871" spans="1:5" x14ac:dyDescent="0.25">
      <c r="A4871" s="119" t="s">
        <v>5332</v>
      </c>
      <c r="B4871" s="119" t="s">
        <v>5333</v>
      </c>
      <c r="C4871" s="119" t="s">
        <v>66</v>
      </c>
      <c r="D4871" t="s">
        <v>6760</v>
      </c>
      <c r="E4871" s="117">
        <v>196.15</v>
      </c>
    </row>
    <row r="4872" spans="1:5" x14ac:dyDescent="0.25">
      <c r="A4872" s="119" t="s">
        <v>5334</v>
      </c>
      <c r="B4872" s="119" t="s">
        <v>5335</v>
      </c>
      <c r="C4872" s="119" t="s">
        <v>66</v>
      </c>
      <c r="D4872" t="s">
        <v>6759</v>
      </c>
      <c r="E4872" s="117">
        <v>800</v>
      </c>
    </row>
    <row r="4873" spans="1:5" x14ac:dyDescent="0.25">
      <c r="A4873" s="119" t="s">
        <v>5336</v>
      </c>
      <c r="B4873" s="119" t="s">
        <v>5337</v>
      </c>
      <c r="C4873" s="119" t="s">
        <v>301</v>
      </c>
      <c r="D4873" t="s">
        <v>6759</v>
      </c>
      <c r="E4873" s="117">
        <v>3096.84</v>
      </c>
    </row>
    <row r="4874" spans="1:5" x14ac:dyDescent="0.25">
      <c r="A4874" s="119" t="s">
        <v>6741</v>
      </c>
      <c r="B4874" s="119" t="s">
        <v>6589</v>
      </c>
      <c r="C4874" s="119" t="s">
        <v>301</v>
      </c>
      <c r="D4874" t="s">
        <v>49</v>
      </c>
      <c r="E4874" s="117">
        <v>2487.61</v>
      </c>
    </row>
    <row r="4875" spans="1:5" x14ac:dyDescent="0.25">
      <c r="A4875" s="119" t="s">
        <v>6742</v>
      </c>
      <c r="B4875" s="119" t="s">
        <v>11958</v>
      </c>
      <c r="C4875" s="119" t="s">
        <v>301</v>
      </c>
      <c r="D4875" t="s">
        <v>49</v>
      </c>
      <c r="E4875" s="117">
        <v>1347.07</v>
      </c>
    </row>
    <row r="4876" spans="1:5" x14ac:dyDescent="0.25">
      <c r="A4876" s="119" t="s">
        <v>6588</v>
      </c>
      <c r="B4876" s="119" t="s">
        <v>6589</v>
      </c>
      <c r="C4876" s="119" t="s">
        <v>301</v>
      </c>
      <c r="D4876" t="s">
        <v>45</v>
      </c>
      <c r="E4876" s="117">
        <v>9999</v>
      </c>
    </row>
    <row r="4877" spans="1:5" x14ac:dyDescent="0.25">
      <c r="A4877" s="119" t="s">
        <v>5338</v>
      </c>
      <c r="B4877" s="119" t="s">
        <v>11051</v>
      </c>
      <c r="C4877" s="119" t="s">
        <v>301</v>
      </c>
      <c r="D4877" t="s">
        <v>6760</v>
      </c>
      <c r="E4877" s="117">
        <v>1329.66</v>
      </c>
    </row>
    <row r="4878" spans="1:5" x14ac:dyDescent="0.25">
      <c r="A4878" s="119" t="s">
        <v>5339</v>
      </c>
      <c r="B4878" s="119" t="s">
        <v>11052</v>
      </c>
      <c r="C4878" s="119" t="s">
        <v>301</v>
      </c>
      <c r="D4878" t="s">
        <v>49</v>
      </c>
      <c r="E4878" s="117">
        <v>1438.08</v>
      </c>
    </row>
    <row r="4879" spans="1:5" x14ac:dyDescent="0.25">
      <c r="A4879" s="119" t="s">
        <v>5340</v>
      </c>
      <c r="B4879" s="119" t="s">
        <v>11053</v>
      </c>
      <c r="C4879" s="119" t="s">
        <v>301</v>
      </c>
      <c r="D4879" t="s">
        <v>45</v>
      </c>
      <c r="E4879" s="117">
        <v>473.12</v>
      </c>
    </row>
    <row r="4880" spans="1:5" x14ac:dyDescent="0.25">
      <c r="A4880" s="119" t="s">
        <v>5341</v>
      </c>
      <c r="B4880" s="119" t="s">
        <v>11054</v>
      </c>
      <c r="C4880" s="119" t="s">
        <v>301</v>
      </c>
      <c r="D4880" t="s">
        <v>6759</v>
      </c>
      <c r="E4880" s="117">
        <v>936.38</v>
      </c>
    </row>
    <row r="4881" spans="1:5" x14ac:dyDescent="0.25">
      <c r="A4881" s="119" t="s">
        <v>5342</v>
      </c>
      <c r="B4881" s="119" t="s">
        <v>11055</v>
      </c>
      <c r="C4881" s="119" t="s">
        <v>301</v>
      </c>
      <c r="D4881" t="s">
        <v>45</v>
      </c>
      <c r="E4881" s="117">
        <v>3547.38</v>
      </c>
    </row>
    <row r="4882" spans="1:5" x14ac:dyDescent="0.25">
      <c r="A4882" s="119" t="s">
        <v>5343</v>
      </c>
      <c r="B4882" s="119" t="s">
        <v>5344</v>
      </c>
      <c r="C4882" s="119" t="s">
        <v>301</v>
      </c>
      <c r="D4882" t="s">
        <v>6759</v>
      </c>
      <c r="E4882" s="117">
        <v>999999</v>
      </c>
    </row>
    <row r="4883" spans="1:5" x14ac:dyDescent="0.25">
      <c r="A4883" s="119" t="s">
        <v>8232</v>
      </c>
      <c r="B4883" s="119" t="s">
        <v>11959</v>
      </c>
      <c r="C4883" s="119" t="s">
        <v>301</v>
      </c>
      <c r="D4883" t="s">
        <v>45</v>
      </c>
      <c r="E4883" s="117">
        <v>3566.21</v>
      </c>
    </row>
    <row r="4884" spans="1:5" x14ac:dyDescent="0.25">
      <c r="A4884" s="119" t="s">
        <v>5345</v>
      </c>
      <c r="B4884" s="119" t="s">
        <v>11056</v>
      </c>
      <c r="C4884" s="119" t="s">
        <v>301</v>
      </c>
      <c r="D4884" t="s">
        <v>6759</v>
      </c>
      <c r="E4884" s="117">
        <v>7195.3</v>
      </c>
    </row>
    <row r="4885" spans="1:5" x14ac:dyDescent="0.25">
      <c r="A4885" s="119" t="s">
        <v>8233</v>
      </c>
      <c r="B4885" s="119" t="s">
        <v>11960</v>
      </c>
      <c r="C4885" s="119" t="s">
        <v>301</v>
      </c>
      <c r="D4885" t="s">
        <v>45</v>
      </c>
      <c r="E4885" s="117">
        <v>2345.87</v>
      </c>
    </row>
    <row r="4886" spans="1:5" x14ac:dyDescent="0.25">
      <c r="A4886" s="119" t="s">
        <v>8234</v>
      </c>
      <c r="B4886" s="119" t="s">
        <v>11961</v>
      </c>
      <c r="C4886" s="119" t="s">
        <v>301</v>
      </c>
      <c r="D4886" t="s">
        <v>45</v>
      </c>
      <c r="E4886" s="117">
        <v>4786.54</v>
      </c>
    </row>
    <row r="4887" spans="1:5" x14ac:dyDescent="0.25">
      <c r="A4887" s="119" t="s">
        <v>7773</v>
      </c>
      <c r="B4887" s="119" t="s">
        <v>11057</v>
      </c>
      <c r="C4887" s="119" t="s">
        <v>301</v>
      </c>
      <c r="D4887" t="s">
        <v>49</v>
      </c>
      <c r="E4887" s="117">
        <v>590.46</v>
      </c>
    </row>
    <row r="4888" spans="1:5" x14ac:dyDescent="0.25">
      <c r="A4888" s="119" t="s">
        <v>6854</v>
      </c>
      <c r="B4888" s="119" t="s">
        <v>4379</v>
      </c>
      <c r="C4888" s="119" t="s">
        <v>301</v>
      </c>
      <c r="D4888" t="s">
        <v>45</v>
      </c>
      <c r="E4888" s="117">
        <v>0</v>
      </c>
    </row>
    <row r="4889" spans="1:5" x14ac:dyDescent="0.25">
      <c r="A4889" s="119" t="s">
        <v>5346</v>
      </c>
      <c r="B4889" s="119" t="s">
        <v>11058</v>
      </c>
      <c r="C4889" s="119" t="s">
        <v>301</v>
      </c>
      <c r="D4889" t="s">
        <v>45</v>
      </c>
      <c r="E4889" s="117">
        <v>0</v>
      </c>
    </row>
    <row r="4890" spans="1:5" x14ac:dyDescent="0.25">
      <c r="A4890" s="119" t="s">
        <v>5347</v>
      </c>
      <c r="B4890" s="119" t="s">
        <v>11059</v>
      </c>
      <c r="C4890" s="119" t="s">
        <v>301</v>
      </c>
      <c r="D4890" t="s">
        <v>6760</v>
      </c>
      <c r="E4890" s="117">
        <v>241.49</v>
      </c>
    </row>
    <row r="4891" spans="1:5" x14ac:dyDescent="0.25">
      <c r="A4891" s="119" t="s">
        <v>5348</v>
      </c>
      <c r="B4891" s="119" t="s">
        <v>11060</v>
      </c>
      <c r="C4891" s="119" t="s">
        <v>301</v>
      </c>
      <c r="D4891" t="s">
        <v>45</v>
      </c>
      <c r="E4891" s="117">
        <v>0</v>
      </c>
    </row>
    <row r="4892" spans="1:5" x14ac:dyDescent="0.25">
      <c r="A4892" s="119" t="s">
        <v>5349</v>
      </c>
      <c r="B4892" s="119" t="s">
        <v>11061</v>
      </c>
      <c r="C4892" s="119" t="s">
        <v>301</v>
      </c>
      <c r="D4892" t="s">
        <v>45</v>
      </c>
      <c r="E4892" s="117">
        <v>472.13</v>
      </c>
    </row>
    <row r="4893" spans="1:5" x14ac:dyDescent="0.25">
      <c r="A4893" s="119" t="s">
        <v>5350</v>
      </c>
      <c r="B4893" s="119" t="s">
        <v>11062</v>
      </c>
      <c r="C4893" s="119" t="s">
        <v>301</v>
      </c>
      <c r="D4893" t="s">
        <v>51</v>
      </c>
      <c r="E4893" s="117">
        <v>517.47</v>
      </c>
    </row>
    <row r="4894" spans="1:5" x14ac:dyDescent="0.25">
      <c r="A4894" s="119" t="s">
        <v>5351</v>
      </c>
      <c r="B4894" s="119" t="s">
        <v>11063</v>
      </c>
      <c r="C4894" s="119" t="s">
        <v>301</v>
      </c>
      <c r="D4894" t="s">
        <v>6759</v>
      </c>
      <c r="E4894" s="117">
        <v>2068.9</v>
      </c>
    </row>
    <row r="4895" spans="1:5" x14ac:dyDescent="0.25">
      <c r="A4895" s="119" t="s">
        <v>5352</v>
      </c>
      <c r="B4895" s="119" t="s">
        <v>11064</v>
      </c>
      <c r="C4895" s="119" t="s">
        <v>301</v>
      </c>
      <c r="D4895" t="s">
        <v>45</v>
      </c>
      <c r="E4895" s="117">
        <v>0</v>
      </c>
    </row>
    <row r="4896" spans="1:5" x14ac:dyDescent="0.25">
      <c r="A4896" s="119" t="s">
        <v>5353</v>
      </c>
      <c r="B4896" s="119" t="s">
        <v>11065</v>
      </c>
      <c r="C4896" s="119" t="s">
        <v>301</v>
      </c>
      <c r="D4896" t="s">
        <v>49</v>
      </c>
      <c r="E4896" s="117">
        <v>3399.53</v>
      </c>
    </row>
    <row r="4897" spans="1:5" x14ac:dyDescent="0.25">
      <c r="A4897" s="119" t="s">
        <v>5354</v>
      </c>
      <c r="B4897" s="119" t="s">
        <v>11066</v>
      </c>
      <c r="C4897" s="119" t="s">
        <v>301</v>
      </c>
      <c r="D4897" t="s">
        <v>45</v>
      </c>
      <c r="E4897" s="117">
        <v>3399.53</v>
      </c>
    </row>
    <row r="4898" spans="1:5" x14ac:dyDescent="0.25">
      <c r="A4898" s="119" t="s">
        <v>5355</v>
      </c>
      <c r="B4898" s="119" t="s">
        <v>11067</v>
      </c>
      <c r="C4898" s="119" t="s">
        <v>301</v>
      </c>
      <c r="D4898" t="s">
        <v>45</v>
      </c>
      <c r="E4898" s="117">
        <v>0</v>
      </c>
    </row>
    <row r="4899" spans="1:5" x14ac:dyDescent="0.25">
      <c r="A4899" s="119" t="s">
        <v>5356</v>
      </c>
      <c r="B4899" s="119" t="s">
        <v>11068</v>
      </c>
      <c r="C4899" s="119" t="s">
        <v>301</v>
      </c>
      <c r="D4899" t="s">
        <v>6759</v>
      </c>
      <c r="E4899" s="117">
        <v>7099</v>
      </c>
    </row>
    <row r="4900" spans="1:5" x14ac:dyDescent="0.25">
      <c r="A4900" s="119" t="s">
        <v>5357</v>
      </c>
      <c r="B4900" s="119" t="s">
        <v>11067</v>
      </c>
      <c r="C4900" s="119" t="s">
        <v>301</v>
      </c>
      <c r="D4900" t="s">
        <v>45</v>
      </c>
      <c r="E4900" s="117">
        <v>1</v>
      </c>
    </row>
    <row r="4901" spans="1:5" x14ac:dyDescent="0.25">
      <c r="A4901" s="119" t="s">
        <v>12210</v>
      </c>
      <c r="B4901" s="119" t="s">
        <v>12211</v>
      </c>
      <c r="C4901" s="119" t="s">
        <v>301</v>
      </c>
      <c r="D4901" t="s">
        <v>45</v>
      </c>
      <c r="E4901" s="117">
        <v>9999</v>
      </c>
    </row>
    <row r="4902" spans="1:5" x14ac:dyDescent="0.25">
      <c r="A4902" s="119" t="s">
        <v>12212</v>
      </c>
      <c r="B4902" s="119" t="s">
        <v>12213</v>
      </c>
      <c r="C4902" s="119" t="s">
        <v>301</v>
      </c>
      <c r="D4902" t="s">
        <v>45</v>
      </c>
      <c r="E4902" s="117">
        <v>9999</v>
      </c>
    </row>
    <row r="4903" spans="1:5" x14ac:dyDescent="0.25">
      <c r="A4903" s="119" t="s">
        <v>5358</v>
      </c>
      <c r="B4903" s="119" t="s">
        <v>11069</v>
      </c>
      <c r="C4903" s="119" t="s">
        <v>301</v>
      </c>
      <c r="D4903" t="s">
        <v>45</v>
      </c>
      <c r="E4903" s="117">
        <v>0</v>
      </c>
    </row>
    <row r="4904" spans="1:5" x14ac:dyDescent="0.25">
      <c r="A4904" s="119" t="s">
        <v>5359</v>
      </c>
      <c r="B4904" s="119" t="s">
        <v>11070</v>
      </c>
      <c r="C4904" s="119" t="s">
        <v>301</v>
      </c>
      <c r="D4904" t="s">
        <v>45</v>
      </c>
      <c r="E4904" s="117">
        <v>1310.93</v>
      </c>
    </row>
    <row r="4905" spans="1:5" x14ac:dyDescent="0.25">
      <c r="A4905" s="119" t="s">
        <v>5360</v>
      </c>
      <c r="B4905" s="119" t="s">
        <v>11071</v>
      </c>
      <c r="C4905" s="119" t="s">
        <v>301</v>
      </c>
      <c r="D4905" t="s">
        <v>6760</v>
      </c>
      <c r="E4905" s="117">
        <v>2207.88</v>
      </c>
    </row>
    <row r="4906" spans="1:5" x14ac:dyDescent="0.25">
      <c r="A4906" s="119" t="s">
        <v>5361</v>
      </c>
      <c r="B4906" s="119" t="s">
        <v>11072</v>
      </c>
      <c r="C4906" s="119" t="s">
        <v>301</v>
      </c>
      <c r="D4906" t="s">
        <v>6760</v>
      </c>
      <c r="E4906" s="117">
        <v>2365.58</v>
      </c>
    </row>
    <row r="4907" spans="1:5" x14ac:dyDescent="0.25">
      <c r="A4907" s="119" t="s">
        <v>5362</v>
      </c>
      <c r="B4907" s="119" t="s">
        <v>11073</v>
      </c>
      <c r="C4907" s="119" t="s">
        <v>301</v>
      </c>
      <c r="D4907" t="s">
        <v>45</v>
      </c>
      <c r="E4907" s="117">
        <v>0</v>
      </c>
    </row>
    <row r="4908" spans="1:5" x14ac:dyDescent="0.25">
      <c r="A4908" s="119" t="s">
        <v>5363</v>
      </c>
      <c r="B4908" s="119" t="s">
        <v>11074</v>
      </c>
      <c r="C4908" s="119" t="s">
        <v>301</v>
      </c>
      <c r="D4908" t="s">
        <v>45</v>
      </c>
      <c r="E4908" s="117">
        <v>2818.99</v>
      </c>
    </row>
    <row r="4909" spans="1:5" x14ac:dyDescent="0.25">
      <c r="A4909" s="119" t="s">
        <v>5364</v>
      </c>
      <c r="B4909" s="119" t="s">
        <v>11075</v>
      </c>
      <c r="C4909" s="119" t="s">
        <v>301</v>
      </c>
      <c r="D4909" t="s">
        <v>45</v>
      </c>
      <c r="E4909" s="117">
        <v>2488.7800000000002</v>
      </c>
    </row>
    <row r="4910" spans="1:5" x14ac:dyDescent="0.25">
      <c r="A4910" s="119" t="s">
        <v>5365</v>
      </c>
      <c r="B4910" s="119" t="s">
        <v>11076</v>
      </c>
      <c r="C4910" s="119" t="s">
        <v>301</v>
      </c>
      <c r="D4910" t="s">
        <v>6760</v>
      </c>
      <c r="E4910" s="117">
        <v>2602.14</v>
      </c>
    </row>
    <row r="4911" spans="1:5" x14ac:dyDescent="0.25">
      <c r="A4911" s="119" t="s">
        <v>5366</v>
      </c>
      <c r="B4911" s="119" t="s">
        <v>5367</v>
      </c>
      <c r="C4911" s="119" t="s">
        <v>301</v>
      </c>
      <c r="D4911" t="s">
        <v>45</v>
      </c>
      <c r="E4911" s="117">
        <v>0</v>
      </c>
    </row>
    <row r="4912" spans="1:5" x14ac:dyDescent="0.25">
      <c r="A4912" s="119" t="s">
        <v>5368</v>
      </c>
      <c r="B4912" s="119" t="s">
        <v>11077</v>
      </c>
      <c r="C4912" s="119" t="s">
        <v>301</v>
      </c>
      <c r="D4912" t="s">
        <v>51</v>
      </c>
      <c r="E4912" s="117">
        <v>2818.99</v>
      </c>
    </row>
    <row r="4913" spans="1:5" x14ac:dyDescent="0.25">
      <c r="A4913" s="119" t="s">
        <v>5369</v>
      </c>
      <c r="B4913" s="119" t="s">
        <v>11078</v>
      </c>
      <c r="C4913" s="119" t="s">
        <v>301</v>
      </c>
      <c r="D4913" t="s">
        <v>45</v>
      </c>
      <c r="E4913" s="117">
        <v>3844.07</v>
      </c>
    </row>
    <row r="4914" spans="1:5" x14ac:dyDescent="0.25">
      <c r="A4914" s="119" t="s">
        <v>5370</v>
      </c>
      <c r="B4914" s="119" t="s">
        <v>11079</v>
      </c>
      <c r="C4914" s="119" t="s">
        <v>301</v>
      </c>
      <c r="D4914" t="s">
        <v>6759</v>
      </c>
      <c r="E4914" s="117">
        <v>4424.62</v>
      </c>
    </row>
    <row r="4915" spans="1:5" x14ac:dyDescent="0.25">
      <c r="A4915" s="119" t="s">
        <v>5371</v>
      </c>
      <c r="B4915" s="119" t="s">
        <v>11080</v>
      </c>
      <c r="C4915" s="119" t="s">
        <v>301</v>
      </c>
      <c r="D4915" t="s">
        <v>6759</v>
      </c>
      <c r="E4915" s="117">
        <v>4424.62</v>
      </c>
    </row>
    <row r="4916" spans="1:5" x14ac:dyDescent="0.25">
      <c r="A4916" s="119" t="s">
        <v>5372</v>
      </c>
      <c r="B4916" s="119" t="s">
        <v>11081</v>
      </c>
      <c r="C4916" s="119" t="s">
        <v>301</v>
      </c>
      <c r="D4916" t="s">
        <v>6759</v>
      </c>
      <c r="E4916" s="117">
        <v>4631.6099999999997</v>
      </c>
    </row>
    <row r="4917" spans="1:5" x14ac:dyDescent="0.25">
      <c r="A4917" s="119" t="s">
        <v>5373</v>
      </c>
      <c r="B4917" s="119" t="s">
        <v>11082</v>
      </c>
      <c r="C4917" s="119" t="s">
        <v>301</v>
      </c>
      <c r="D4917" t="s">
        <v>45</v>
      </c>
      <c r="E4917" s="117">
        <v>5756.25</v>
      </c>
    </row>
    <row r="4918" spans="1:5" x14ac:dyDescent="0.25">
      <c r="A4918" s="119" t="s">
        <v>5374</v>
      </c>
      <c r="B4918" s="119" t="s">
        <v>11083</v>
      </c>
      <c r="C4918" s="119" t="s">
        <v>301</v>
      </c>
      <c r="D4918" t="s">
        <v>6759</v>
      </c>
      <c r="E4918" s="117">
        <v>999999</v>
      </c>
    </row>
    <row r="4919" spans="1:5" x14ac:dyDescent="0.25">
      <c r="A4919" s="119" t="s">
        <v>5375</v>
      </c>
      <c r="B4919" s="119" t="s">
        <v>11084</v>
      </c>
      <c r="C4919" s="119" t="s">
        <v>301</v>
      </c>
      <c r="D4919" t="s">
        <v>45</v>
      </c>
      <c r="E4919" s="117">
        <v>6534.92</v>
      </c>
    </row>
    <row r="4920" spans="1:5" x14ac:dyDescent="0.25">
      <c r="A4920" s="119" t="s">
        <v>5376</v>
      </c>
      <c r="B4920" s="119" t="s">
        <v>11085</v>
      </c>
      <c r="C4920" s="119" t="s">
        <v>301</v>
      </c>
      <c r="D4920" t="s">
        <v>45</v>
      </c>
      <c r="E4920" s="117">
        <v>0</v>
      </c>
    </row>
    <row r="4921" spans="1:5" x14ac:dyDescent="0.25">
      <c r="A4921" s="119" t="s">
        <v>5377</v>
      </c>
      <c r="B4921" s="119" t="s">
        <v>11086</v>
      </c>
      <c r="C4921" s="119" t="s">
        <v>301</v>
      </c>
      <c r="D4921" t="s">
        <v>45</v>
      </c>
      <c r="E4921" s="117">
        <v>6850.33</v>
      </c>
    </row>
    <row r="4922" spans="1:5" x14ac:dyDescent="0.25">
      <c r="A4922" s="119" t="s">
        <v>5378</v>
      </c>
      <c r="B4922" s="119" t="s">
        <v>11087</v>
      </c>
      <c r="C4922" s="119" t="s">
        <v>301</v>
      </c>
      <c r="D4922" t="s">
        <v>45</v>
      </c>
      <c r="E4922" s="117">
        <v>3287.17</v>
      </c>
    </row>
    <row r="4923" spans="1:5" x14ac:dyDescent="0.25">
      <c r="A4923" s="119" t="s">
        <v>5379</v>
      </c>
      <c r="B4923" s="119" t="s">
        <v>11088</v>
      </c>
      <c r="C4923" s="119" t="s">
        <v>301</v>
      </c>
      <c r="D4923" t="s">
        <v>45</v>
      </c>
      <c r="E4923" s="117">
        <v>1260.6600000000001</v>
      </c>
    </row>
    <row r="4924" spans="1:5" x14ac:dyDescent="0.25">
      <c r="A4924" s="119" t="s">
        <v>5380</v>
      </c>
      <c r="B4924" s="119" t="s">
        <v>11089</v>
      </c>
      <c r="C4924" s="119" t="s">
        <v>301</v>
      </c>
      <c r="D4924" t="s">
        <v>6759</v>
      </c>
      <c r="E4924" s="117">
        <v>822.03</v>
      </c>
    </row>
    <row r="4925" spans="1:5" x14ac:dyDescent="0.25">
      <c r="A4925" s="119" t="s">
        <v>5381</v>
      </c>
      <c r="B4925" s="119" t="s">
        <v>5382</v>
      </c>
      <c r="C4925" s="119" t="s">
        <v>301</v>
      </c>
      <c r="D4925" t="s">
        <v>6759</v>
      </c>
      <c r="E4925" s="117">
        <v>999999</v>
      </c>
    </row>
    <row r="4926" spans="1:5" x14ac:dyDescent="0.25">
      <c r="A4926" s="119" t="s">
        <v>7775</v>
      </c>
      <c r="B4926" s="119" t="s">
        <v>11090</v>
      </c>
      <c r="C4926" s="119" t="s">
        <v>301</v>
      </c>
      <c r="D4926" t="s">
        <v>49</v>
      </c>
      <c r="E4926" s="117">
        <v>3276.14</v>
      </c>
    </row>
    <row r="4927" spans="1:5" x14ac:dyDescent="0.25">
      <c r="A4927" s="119" t="s">
        <v>7776</v>
      </c>
      <c r="B4927" s="119" t="s">
        <v>11091</v>
      </c>
      <c r="C4927" s="119" t="s">
        <v>301</v>
      </c>
      <c r="D4927" t="s">
        <v>49</v>
      </c>
      <c r="E4927" s="117">
        <v>1219.4000000000001</v>
      </c>
    </row>
    <row r="4928" spans="1:5" x14ac:dyDescent="0.25">
      <c r="A4928" s="119" t="s">
        <v>7777</v>
      </c>
      <c r="B4928" s="119" t="s">
        <v>7774</v>
      </c>
      <c r="C4928" s="119" t="s">
        <v>301</v>
      </c>
      <c r="D4928" t="s">
        <v>45</v>
      </c>
      <c r="E4928" s="117">
        <v>99999</v>
      </c>
    </row>
    <row r="4929" spans="1:5" x14ac:dyDescent="0.25">
      <c r="A4929" s="119" t="s">
        <v>5383</v>
      </c>
      <c r="B4929" s="119" t="s">
        <v>11092</v>
      </c>
      <c r="C4929" s="119" t="s">
        <v>301</v>
      </c>
      <c r="D4929" t="s">
        <v>6760</v>
      </c>
      <c r="E4929" s="117">
        <v>275.98</v>
      </c>
    </row>
    <row r="4930" spans="1:5" x14ac:dyDescent="0.25">
      <c r="A4930" s="119" t="s">
        <v>5384</v>
      </c>
      <c r="B4930" s="119" t="s">
        <v>4247</v>
      </c>
      <c r="C4930" s="119" t="s">
        <v>301</v>
      </c>
      <c r="D4930" t="s">
        <v>45</v>
      </c>
      <c r="E4930" s="117">
        <v>0</v>
      </c>
    </row>
    <row r="4931" spans="1:5" x14ac:dyDescent="0.25">
      <c r="A4931" s="119" t="s">
        <v>5385</v>
      </c>
      <c r="B4931" s="119" t="s">
        <v>11093</v>
      </c>
      <c r="C4931" s="119" t="s">
        <v>301</v>
      </c>
      <c r="D4931" t="s">
        <v>51</v>
      </c>
      <c r="E4931" s="117">
        <v>310.49</v>
      </c>
    </row>
    <row r="4932" spans="1:5" x14ac:dyDescent="0.25">
      <c r="A4932" s="119" t="s">
        <v>5386</v>
      </c>
      <c r="B4932" s="119" t="s">
        <v>11094</v>
      </c>
      <c r="C4932" s="119" t="s">
        <v>301</v>
      </c>
      <c r="D4932" t="s">
        <v>45</v>
      </c>
      <c r="E4932" s="117">
        <v>0</v>
      </c>
    </row>
    <row r="4933" spans="1:5" x14ac:dyDescent="0.25">
      <c r="A4933" s="119" t="s">
        <v>5387</v>
      </c>
      <c r="B4933" s="119" t="s">
        <v>11094</v>
      </c>
      <c r="C4933" s="119" t="s">
        <v>301</v>
      </c>
      <c r="D4933" t="s">
        <v>45</v>
      </c>
      <c r="E4933" s="117">
        <v>451.33</v>
      </c>
    </row>
    <row r="4934" spans="1:5" x14ac:dyDescent="0.25">
      <c r="A4934" s="119" t="s">
        <v>5388</v>
      </c>
      <c r="B4934" s="119" t="s">
        <v>11095</v>
      </c>
      <c r="C4934" s="119" t="s">
        <v>301</v>
      </c>
      <c r="D4934" t="s">
        <v>45</v>
      </c>
      <c r="E4934" s="117">
        <v>0</v>
      </c>
    </row>
    <row r="4935" spans="1:5" x14ac:dyDescent="0.25">
      <c r="A4935" s="119" t="s">
        <v>5389</v>
      </c>
      <c r="B4935" s="119" t="s">
        <v>11096</v>
      </c>
      <c r="C4935" s="119" t="s">
        <v>301</v>
      </c>
      <c r="D4935" t="s">
        <v>45</v>
      </c>
      <c r="E4935" s="117">
        <v>310.49</v>
      </c>
    </row>
    <row r="4936" spans="1:5" x14ac:dyDescent="0.25">
      <c r="A4936" s="119" t="s">
        <v>5390</v>
      </c>
      <c r="B4936" s="119" t="s">
        <v>11097</v>
      </c>
      <c r="C4936" s="119" t="s">
        <v>301</v>
      </c>
      <c r="D4936" t="s">
        <v>45</v>
      </c>
      <c r="E4936" s="117">
        <v>0</v>
      </c>
    </row>
    <row r="4937" spans="1:5" x14ac:dyDescent="0.25">
      <c r="A4937" s="119" t="s">
        <v>5391</v>
      </c>
      <c r="B4937" s="119" t="s">
        <v>11098</v>
      </c>
      <c r="C4937" s="119" t="s">
        <v>301</v>
      </c>
      <c r="D4937" t="s">
        <v>45</v>
      </c>
      <c r="E4937" s="117">
        <v>0</v>
      </c>
    </row>
    <row r="4938" spans="1:5" x14ac:dyDescent="0.25">
      <c r="A4938" s="119" t="s">
        <v>5392</v>
      </c>
      <c r="B4938" s="119" t="s">
        <v>11099</v>
      </c>
      <c r="C4938" s="119" t="s">
        <v>301</v>
      </c>
      <c r="D4938" t="s">
        <v>49</v>
      </c>
      <c r="E4938" s="117">
        <v>630.82000000000005</v>
      </c>
    </row>
    <row r="4939" spans="1:5" x14ac:dyDescent="0.25">
      <c r="A4939" s="119" t="s">
        <v>5393</v>
      </c>
      <c r="B4939" s="119" t="s">
        <v>11100</v>
      </c>
      <c r="C4939" s="119" t="s">
        <v>301</v>
      </c>
      <c r="D4939" t="s">
        <v>45</v>
      </c>
      <c r="E4939" s="117">
        <v>586.47</v>
      </c>
    </row>
    <row r="4940" spans="1:5" x14ac:dyDescent="0.25">
      <c r="A4940" s="119" t="s">
        <v>5394</v>
      </c>
      <c r="B4940" s="119" t="s">
        <v>11101</v>
      </c>
      <c r="C4940" s="119" t="s">
        <v>301</v>
      </c>
      <c r="D4940" t="s">
        <v>51</v>
      </c>
      <c r="E4940" s="117">
        <v>827.96</v>
      </c>
    </row>
    <row r="4941" spans="1:5" x14ac:dyDescent="0.25">
      <c r="A4941" s="119" t="s">
        <v>5395</v>
      </c>
      <c r="B4941" s="119" t="s">
        <v>11102</v>
      </c>
      <c r="C4941" s="119" t="s">
        <v>301</v>
      </c>
      <c r="D4941" t="s">
        <v>45</v>
      </c>
      <c r="E4941" s="117">
        <v>906.8</v>
      </c>
    </row>
    <row r="4942" spans="1:5" x14ac:dyDescent="0.25">
      <c r="A4942" s="119" t="s">
        <v>5396</v>
      </c>
      <c r="B4942" s="119" t="s">
        <v>11103</v>
      </c>
      <c r="C4942" s="119" t="s">
        <v>301</v>
      </c>
      <c r="D4942" t="s">
        <v>45</v>
      </c>
      <c r="E4942" s="117">
        <v>0</v>
      </c>
    </row>
    <row r="4943" spans="1:5" x14ac:dyDescent="0.25">
      <c r="A4943" s="119" t="s">
        <v>5397</v>
      </c>
      <c r="B4943" s="119" t="s">
        <v>11104</v>
      </c>
      <c r="C4943" s="119" t="s">
        <v>301</v>
      </c>
      <c r="D4943" t="s">
        <v>45</v>
      </c>
      <c r="E4943" s="117">
        <v>0</v>
      </c>
    </row>
    <row r="4944" spans="1:5" x14ac:dyDescent="0.25">
      <c r="A4944" s="119" t="s">
        <v>5398</v>
      </c>
      <c r="B4944" s="119" t="s">
        <v>11105</v>
      </c>
      <c r="C4944" s="119" t="s">
        <v>301</v>
      </c>
      <c r="D4944" t="s">
        <v>45</v>
      </c>
      <c r="E4944" s="117">
        <v>0</v>
      </c>
    </row>
    <row r="4945" spans="1:5" x14ac:dyDescent="0.25">
      <c r="A4945" s="119" t="s">
        <v>5399</v>
      </c>
      <c r="B4945" s="119" t="s">
        <v>11106</v>
      </c>
      <c r="C4945" s="119" t="s">
        <v>301</v>
      </c>
      <c r="D4945" t="s">
        <v>45</v>
      </c>
      <c r="E4945" s="117">
        <v>0</v>
      </c>
    </row>
    <row r="4946" spans="1:5" x14ac:dyDescent="0.25">
      <c r="A4946" s="119" t="s">
        <v>5400</v>
      </c>
      <c r="B4946" s="119" t="s">
        <v>11107</v>
      </c>
      <c r="C4946" s="119" t="s">
        <v>301</v>
      </c>
      <c r="D4946" t="s">
        <v>45</v>
      </c>
      <c r="E4946" s="117">
        <v>871.32</v>
      </c>
    </row>
    <row r="4947" spans="1:5" x14ac:dyDescent="0.25">
      <c r="A4947" s="119" t="s">
        <v>5401</v>
      </c>
      <c r="B4947" s="119" t="s">
        <v>11108</v>
      </c>
      <c r="C4947" s="119" t="s">
        <v>301</v>
      </c>
      <c r="D4947" t="s">
        <v>45</v>
      </c>
      <c r="E4947" s="117">
        <v>536.19000000000005</v>
      </c>
    </row>
    <row r="4948" spans="1:5" x14ac:dyDescent="0.25">
      <c r="A4948" s="119" t="s">
        <v>5402</v>
      </c>
      <c r="B4948" s="119" t="s">
        <v>11109</v>
      </c>
      <c r="C4948" s="119" t="s">
        <v>301</v>
      </c>
      <c r="D4948" t="s">
        <v>45</v>
      </c>
      <c r="E4948" s="117">
        <v>817.11</v>
      </c>
    </row>
    <row r="4949" spans="1:5" x14ac:dyDescent="0.25">
      <c r="A4949" s="119" t="s">
        <v>5403</v>
      </c>
      <c r="B4949" s="119" t="s">
        <v>11110</v>
      </c>
      <c r="C4949" s="119" t="s">
        <v>301</v>
      </c>
      <c r="D4949" t="s">
        <v>45</v>
      </c>
      <c r="E4949" s="117">
        <v>562.96</v>
      </c>
    </row>
    <row r="4950" spans="1:5" x14ac:dyDescent="0.25">
      <c r="A4950" s="119" t="s">
        <v>5404</v>
      </c>
      <c r="B4950" s="119" t="s">
        <v>7778</v>
      </c>
      <c r="C4950" s="119" t="s">
        <v>301</v>
      </c>
      <c r="D4950" t="s">
        <v>45</v>
      </c>
      <c r="E4950" s="117">
        <v>915.67</v>
      </c>
    </row>
    <row r="4951" spans="1:5" x14ac:dyDescent="0.25">
      <c r="A4951" s="119" t="s">
        <v>5405</v>
      </c>
      <c r="B4951" s="119" t="s">
        <v>11111</v>
      </c>
      <c r="C4951" s="119" t="s">
        <v>301</v>
      </c>
      <c r="D4951" t="s">
        <v>45</v>
      </c>
      <c r="E4951" s="117">
        <v>619.98</v>
      </c>
    </row>
    <row r="4952" spans="1:5" x14ac:dyDescent="0.25">
      <c r="A4952" s="119" t="s">
        <v>5406</v>
      </c>
      <c r="B4952" s="119" t="s">
        <v>11112</v>
      </c>
      <c r="C4952" s="119" t="s">
        <v>301</v>
      </c>
      <c r="D4952" t="s">
        <v>45</v>
      </c>
      <c r="E4952" s="117">
        <v>442.56</v>
      </c>
    </row>
    <row r="4953" spans="1:5" x14ac:dyDescent="0.25">
      <c r="A4953" s="119" t="s">
        <v>5407</v>
      </c>
      <c r="B4953" s="119" t="s">
        <v>11113</v>
      </c>
      <c r="C4953" s="119" t="s">
        <v>301</v>
      </c>
      <c r="D4953" t="s">
        <v>45</v>
      </c>
      <c r="E4953" s="117">
        <v>442.56</v>
      </c>
    </row>
    <row r="4954" spans="1:5" x14ac:dyDescent="0.25">
      <c r="A4954" s="119" t="s">
        <v>5408</v>
      </c>
      <c r="B4954" s="119" t="s">
        <v>11114</v>
      </c>
      <c r="C4954" s="119" t="s">
        <v>301</v>
      </c>
      <c r="D4954" t="s">
        <v>45</v>
      </c>
      <c r="E4954" s="117">
        <v>270.07</v>
      </c>
    </row>
    <row r="4955" spans="1:5" x14ac:dyDescent="0.25">
      <c r="A4955" s="119" t="s">
        <v>5409</v>
      </c>
      <c r="B4955" s="119" t="s">
        <v>11115</v>
      </c>
      <c r="C4955" s="119" t="s">
        <v>301</v>
      </c>
      <c r="D4955" t="s">
        <v>45</v>
      </c>
      <c r="E4955" s="117">
        <v>0</v>
      </c>
    </row>
    <row r="4956" spans="1:5" x14ac:dyDescent="0.25">
      <c r="A4956" s="119" t="s">
        <v>5410</v>
      </c>
      <c r="B4956" s="119" t="s">
        <v>11116</v>
      </c>
      <c r="C4956" s="119" t="s">
        <v>301</v>
      </c>
      <c r="D4956" t="s">
        <v>45</v>
      </c>
      <c r="E4956" s="117">
        <v>0</v>
      </c>
    </row>
    <row r="4957" spans="1:5" x14ac:dyDescent="0.25">
      <c r="A4957" s="119" t="s">
        <v>5411</v>
      </c>
      <c r="B4957" s="119" t="s">
        <v>11117</v>
      </c>
      <c r="C4957" s="119" t="s">
        <v>301</v>
      </c>
      <c r="D4957" t="s">
        <v>6759</v>
      </c>
      <c r="E4957" s="117">
        <v>249</v>
      </c>
    </row>
    <row r="4958" spans="1:5" x14ac:dyDescent="0.25">
      <c r="A4958" s="119" t="s">
        <v>5412</v>
      </c>
      <c r="B4958" s="119" t="s">
        <v>11118</v>
      </c>
      <c r="C4958" s="119" t="s">
        <v>301</v>
      </c>
      <c r="D4958" t="s">
        <v>45</v>
      </c>
      <c r="E4958" s="117">
        <v>757.97</v>
      </c>
    </row>
    <row r="4959" spans="1:5" x14ac:dyDescent="0.25">
      <c r="A4959" s="119" t="s">
        <v>5413</v>
      </c>
      <c r="B4959" s="119" t="s">
        <v>11119</v>
      </c>
      <c r="C4959" s="119" t="s">
        <v>301</v>
      </c>
      <c r="D4959" t="s">
        <v>45</v>
      </c>
      <c r="E4959" s="117">
        <v>853.17</v>
      </c>
    </row>
    <row r="4960" spans="1:5" x14ac:dyDescent="0.25">
      <c r="A4960" s="119" t="s">
        <v>5414</v>
      </c>
      <c r="B4960" s="119" t="s">
        <v>5415</v>
      </c>
      <c r="C4960" s="119" t="s">
        <v>301</v>
      </c>
      <c r="D4960" t="s">
        <v>45</v>
      </c>
      <c r="E4960" s="117">
        <v>999999</v>
      </c>
    </row>
    <row r="4961" spans="1:5" x14ac:dyDescent="0.25">
      <c r="A4961" s="119" t="s">
        <v>5416</v>
      </c>
      <c r="B4961" s="119" t="s">
        <v>5415</v>
      </c>
      <c r="C4961" s="119" t="s">
        <v>301</v>
      </c>
      <c r="D4961" t="s">
        <v>6759</v>
      </c>
      <c r="E4961" s="117">
        <v>999999</v>
      </c>
    </row>
    <row r="4962" spans="1:5" x14ac:dyDescent="0.25">
      <c r="A4962" s="119" t="s">
        <v>5417</v>
      </c>
      <c r="B4962" s="119" t="s">
        <v>11120</v>
      </c>
      <c r="C4962" s="119" t="s">
        <v>301</v>
      </c>
      <c r="D4962" t="s">
        <v>45</v>
      </c>
      <c r="E4962" s="117">
        <v>2956.98</v>
      </c>
    </row>
    <row r="4963" spans="1:5" x14ac:dyDescent="0.25">
      <c r="A4963" s="119" t="s">
        <v>5418</v>
      </c>
      <c r="B4963" s="119" t="s">
        <v>11121</v>
      </c>
      <c r="C4963" s="119" t="s">
        <v>301</v>
      </c>
      <c r="D4963" t="s">
        <v>45</v>
      </c>
      <c r="E4963" s="117">
        <v>1646.05</v>
      </c>
    </row>
    <row r="4964" spans="1:5" x14ac:dyDescent="0.25">
      <c r="A4964" s="119" t="s">
        <v>5419</v>
      </c>
      <c r="B4964" s="119" t="s">
        <v>5420</v>
      </c>
      <c r="C4964" s="119" t="s">
        <v>301</v>
      </c>
      <c r="D4964" t="s">
        <v>45</v>
      </c>
      <c r="E4964" s="117">
        <v>0</v>
      </c>
    </row>
    <row r="4965" spans="1:5" x14ac:dyDescent="0.25">
      <c r="A4965" s="119" t="s">
        <v>5421</v>
      </c>
      <c r="B4965" s="119" t="s">
        <v>11122</v>
      </c>
      <c r="C4965" s="119" t="s">
        <v>301</v>
      </c>
      <c r="D4965" t="s">
        <v>45</v>
      </c>
      <c r="E4965" s="117">
        <v>3508.94</v>
      </c>
    </row>
    <row r="4966" spans="1:5" x14ac:dyDescent="0.25">
      <c r="A4966" s="119" t="s">
        <v>5422</v>
      </c>
      <c r="B4966" s="119" t="s">
        <v>11123</v>
      </c>
      <c r="C4966" s="119" t="s">
        <v>301</v>
      </c>
      <c r="D4966" t="s">
        <v>49</v>
      </c>
      <c r="E4966" s="117">
        <v>1508.06</v>
      </c>
    </row>
    <row r="4967" spans="1:5" x14ac:dyDescent="0.25">
      <c r="A4967" s="119" t="s">
        <v>5423</v>
      </c>
      <c r="B4967" s="119" t="s">
        <v>5420</v>
      </c>
      <c r="C4967" s="119" t="s">
        <v>301</v>
      </c>
      <c r="D4967" t="s">
        <v>45</v>
      </c>
      <c r="E4967" s="117">
        <v>0</v>
      </c>
    </row>
    <row r="4968" spans="1:5" x14ac:dyDescent="0.25">
      <c r="A4968" s="119" t="s">
        <v>5424</v>
      </c>
      <c r="B4968" s="119" t="s">
        <v>11124</v>
      </c>
      <c r="C4968" s="119" t="s">
        <v>301</v>
      </c>
      <c r="D4968" t="s">
        <v>45</v>
      </c>
      <c r="E4968" s="117">
        <v>5726.21</v>
      </c>
    </row>
    <row r="4969" spans="1:5" x14ac:dyDescent="0.25">
      <c r="A4969" s="119" t="s">
        <v>5425</v>
      </c>
      <c r="B4969" s="119" t="s">
        <v>11125</v>
      </c>
      <c r="C4969" s="119" t="s">
        <v>301</v>
      </c>
      <c r="D4969" t="s">
        <v>6759</v>
      </c>
      <c r="E4969" s="117">
        <v>3848.76</v>
      </c>
    </row>
    <row r="4970" spans="1:5" x14ac:dyDescent="0.25">
      <c r="A4970" s="119" t="s">
        <v>5426</v>
      </c>
      <c r="B4970" s="119" t="s">
        <v>11126</v>
      </c>
      <c r="C4970" s="119" t="s">
        <v>301</v>
      </c>
      <c r="D4970" t="s">
        <v>45</v>
      </c>
      <c r="E4970" s="117">
        <v>3848.76</v>
      </c>
    </row>
    <row r="4971" spans="1:5" x14ac:dyDescent="0.25">
      <c r="A4971" s="119" t="s">
        <v>5427</v>
      </c>
      <c r="B4971" s="119" t="s">
        <v>11127</v>
      </c>
      <c r="C4971" s="119" t="s">
        <v>301</v>
      </c>
      <c r="D4971" t="s">
        <v>49</v>
      </c>
      <c r="E4971" s="117">
        <v>5209.91</v>
      </c>
    </row>
    <row r="4972" spans="1:5" x14ac:dyDescent="0.25">
      <c r="A4972" s="119" t="s">
        <v>5428</v>
      </c>
      <c r="B4972" s="119" t="s">
        <v>11128</v>
      </c>
      <c r="C4972" s="119" t="s">
        <v>301</v>
      </c>
      <c r="D4972" t="s">
        <v>45</v>
      </c>
      <c r="E4972" s="117">
        <v>5209.91</v>
      </c>
    </row>
    <row r="4973" spans="1:5" x14ac:dyDescent="0.25">
      <c r="A4973" s="119" t="s">
        <v>5429</v>
      </c>
      <c r="B4973" s="119" t="s">
        <v>11129</v>
      </c>
      <c r="C4973" s="119" t="s">
        <v>301</v>
      </c>
      <c r="D4973" t="s">
        <v>45</v>
      </c>
      <c r="E4973" s="117">
        <v>3300.97</v>
      </c>
    </row>
    <row r="4974" spans="1:5" x14ac:dyDescent="0.25">
      <c r="A4974" s="119" t="s">
        <v>5430</v>
      </c>
      <c r="B4974" s="119" t="s">
        <v>11130</v>
      </c>
      <c r="C4974" s="119" t="s">
        <v>301</v>
      </c>
      <c r="D4974" t="s">
        <v>49</v>
      </c>
      <c r="E4974" s="117">
        <v>1477.5</v>
      </c>
    </row>
    <row r="4975" spans="1:5" x14ac:dyDescent="0.25">
      <c r="A4975" s="119" t="s">
        <v>5431</v>
      </c>
      <c r="B4975" s="119" t="s">
        <v>5432</v>
      </c>
      <c r="C4975" s="119" t="s">
        <v>301</v>
      </c>
      <c r="D4975" t="s">
        <v>45</v>
      </c>
      <c r="E4975" s="117">
        <v>0</v>
      </c>
    </row>
    <row r="4976" spans="1:5" x14ac:dyDescent="0.25">
      <c r="A4976" s="119" t="s">
        <v>5433</v>
      </c>
      <c r="B4976" s="119" t="s">
        <v>11131</v>
      </c>
      <c r="C4976" s="119" t="s">
        <v>301</v>
      </c>
      <c r="D4976" t="s">
        <v>49</v>
      </c>
      <c r="E4976" s="117">
        <v>2167.46</v>
      </c>
    </row>
    <row r="4977" spans="1:5" x14ac:dyDescent="0.25">
      <c r="A4977" s="119" t="s">
        <v>5434</v>
      </c>
      <c r="B4977" s="119" t="s">
        <v>5435</v>
      </c>
      <c r="C4977" s="119" t="s">
        <v>301</v>
      </c>
      <c r="D4977" t="s">
        <v>45</v>
      </c>
      <c r="E4977" s="117">
        <v>0</v>
      </c>
    </row>
    <row r="4978" spans="1:5" x14ac:dyDescent="0.25">
      <c r="A4978" s="119" t="s">
        <v>5436</v>
      </c>
      <c r="B4978" s="119" t="s">
        <v>11132</v>
      </c>
      <c r="C4978" s="119" t="s">
        <v>301</v>
      </c>
      <c r="D4978" t="s">
        <v>6759</v>
      </c>
      <c r="E4978" s="117">
        <v>1350</v>
      </c>
    </row>
    <row r="4979" spans="1:5" x14ac:dyDescent="0.25">
      <c r="A4979" s="119" t="s">
        <v>5437</v>
      </c>
      <c r="B4979" s="119" t="s">
        <v>5438</v>
      </c>
      <c r="C4979" s="119" t="s">
        <v>301</v>
      </c>
      <c r="D4979" t="s">
        <v>45</v>
      </c>
      <c r="E4979" s="117">
        <v>9999</v>
      </c>
    </row>
    <row r="4980" spans="1:5" x14ac:dyDescent="0.25">
      <c r="A4980" s="119" t="s">
        <v>7779</v>
      </c>
      <c r="B4980" s="119" t="s">
        <v>11133</v>
      </c>
      <c r="C4980" s="119" t="s">
        <v>301</v>
      </c>
      <c r="D4980" t="s">
        <v>49</v>
      </c>
      <c r="E4980" s="117">
        <v>3378.46</v>
      </c>
    </row>
    <row r="4981" spans="1:5" x14ac:dyDescent="0.25">
      <c r="A4981" s="119" t="s">
        <v>7780</v>
      </c>
      <c r="B4981" s="119" t="s">
        <v>11134</v>
      </c>
      <c r="C4981" s="119" t="s">
        <v>301</v>
      </c>
      <c r="D4981" t="s">
        <v>49</v>
      </c>
      <c r="E4981" s="117">
        <v>1219.4000000000001</v>
      </c>
    </row>
    <row r="4982" spans="1:5" x14ac:dyDescent="0.25">
      <c r="A4982" s="119" t="s">
        <v>7782</v>
      </c>
      <c r="B4982" s="119" t="s">
        <v>7781</v>
      </c>
      <c r="C4982" s="119" t="s">
        <v>301</v>
      </c>
      <c r="D4982" t="s">
        <v>45</v>
      </c>
      <c r="E4982" s="117">
        <v>99999</v>
      </c>
    </row>
    <row r="4983" spans="1:5" x14ac:dyDescent="0.25">
      <c r="A4983" s="119" t="s">
        <v>5439</v>
      </c>
      <c r="B4983" s="119" t="s">
        <v>11135</v>
      </c>
      <c r="C4983" s="119" t="s">
        <v>301</v>
      </c>
      <c r="D4983" t="s">
        <v>45</v>
      </c>
      <c r="E4983" s="117">
        <v>1005.38</v>
      </c>
    </row>
    <row r="4984" spans="1:5" x14ac:dyDescent="0.25">
      <c r="A4984" s="119" t="s">
        <v>5440</v>
      </c>
      <c r="B4984" s="119" t="s">
        <v>11136</v>
      </c>
      <c r="C4984" s="119" t="s">
        <v>301</v>
      </c>
      <c r="D4984" t="s">
        <v>45</v>
      </c>
      <c r="E4984" s="117">
        <v>1088.92</v>
      </c>
    </row>
    <row r="4985" spans="1:5" x14ac:dyDescent="0.25">
      <c r="A4985" s="119" t="s">
        <v>5441</v>
      </c>
      <c r="B4985" s="119" t="s">
        <v>11137</v>
      </c>
      <c r="C4985" s="119" t="s">
        <v>301</v>
      </c>
      <c r="D4985" t="s">
        <v>45</v>
      </c>
      <c r="E4985" s="117">
        <v>473.12</v>
      </c>
    </row>
    <row r="4986" spans="1:5" x14ac:dyDescent="0.25">
      <c r="A4986" s="119" t="s">
        <v>5442</v>
      </c>
      <c r="B4986" s="119" t="s">
        <v>11138</v>
      </c>
      <c r="C4986" s="119" t="s">
        <v>301</v>
      </c>
      <c r="D4986" t="s">
        <v>45</v>
      </c>
      <c r="E4986" s="117">
        <v>0</v>
      </c>
    </row>
    <row r="4987" spans="1:5" x14ac:dyDescent="0.25">
      <c r="A4987" s="119" t="s">
        <v>5443</v>
      </c>
      <c r="B4987" s="119" t="s">
        <v>5444</v>
      </c>
      <c r="C4987" s="119" t="s">
        <v>301</v>
      </c>
      <c r="D4987" t="s">
        <v>45</v>
      </c>
      <c r="E4987" s="117">
        <v>0</v>
      </c>
    </row>
    <row r="4988" spans="1:5" x14ac:dyDescent="0.25">
      <c r="A4988" s="119" t="s">
        <v>5445</v>
      </c>
      <c r="B4988" s="119" t="s">
        <v>11139</v>
      </c>
      <c r="C4988" s="119" t="s">
        <v>301</v>
      </c>
      <c r="D4988" t="s">
        <v>45</v>
      </c>
      <c r="E4988" s="117">
        <v>635.75</v>
      </c>
    </row>
    <row r="4989" spans="1:5" x14ac:dyDescent="0.25">
      <c r="A4989" s="119" t="s">
        <v>5446</v>
      </c>
      <c r="B4989" s="119" t="s">
        <v>11140</v>
      </c>
      <c r="C4989" s="119" t="s">
        <v>301</v>
      </c>
      <c r="D4989" t="s">
        <v>45</v>
      </c>
      <c r="E4989" s="117">
        <v>0</v>
      </c>
    </row>
    <row r="4990" spans="1:5" x14ac:dyDescent="0.25">
      <c r="A4990" s="119" t="s">
        <v>5447</v>
      </c>
      <c r="B4990" s="119" t="s">
        <v>11141</v>
      </c>
      <c r="C4990" s="119" t="s">
        <v>301</v>
      </c>
      <c r="D4990" t="s">
        <v>45</v>
      </c>
      <c r="E4990" s="117">
        <v>576.61</v>
      </c>
    </row>
    <row r="4991" spans="1:5" x14ac:dyDescent="0.25">
      <c r="A4991" s="119" t="s">
        <v>5448</v>
      </c>
      <c r="B4991" s="119" t="s">
        <v>11142</v>
      </c>
      <c r="C4991" s="119" t="s">
        <v>301</v>
      </c>
      <c r="D4991" t="s">
        <v>45</v>
      </c>
      <c r="E4991" s="117">
        <v>596.33000000000004</v>
      </c>
    </row>
    <row r="4992" spans="1:5" x14ac:dyDescent="0.25">
      <c r="A4992" s="119" t="s">
        <v>5449</v>
      </c>
      <c r="B4992" s="119" t="s">
        <v>11143</v>
      </c>
      <c r="C4992" s="119" t="s">
        <v>301</v>
      </c>
      <c r="D4992" t="s">
        <v>6760</v>
      </c>
      <c r="E4992" s="117">
        <v>749.1</v>
      </c>
    </row>
    <row r="4993" spans="1:5" x14ac:dyDescent="0.25">
      <c r="A4993" s="119" t="s">
        <v>5450</v>
      </c>
      <c r="B4993" s="119" t="s">
        <v>5451</v>
      </c>
      <c r="C4993" s="119" t="s">
        <v>301</v>
      </c>
      <c r="D4993" t="s">
        <v>45</v>
      </c>
      <c r="E4993" s="117">
        <v>0</v>
      </c>
    </row>
    <row r="4994" spans="1:5" x14ac:dyDescent="0.25">
      <c r="A4994" s="119" t="s">
        <v>5452</v>
      </c>
      <c r="B4994" s="119" t="s">
        <v>11144</v>
      </c>
      <c r="C4994" s="119" t="s">
        <v>301</v>
      </c>
      <c r="D4994" t="s">
        <v>45</v>
      </c>
      <c r="E4994" s="117">
        <v>763.89</v>
      </c>
    </row>
    <row r="4995" spans="1:5" x14ac:dyDescent="0.25">
      <c r="A4995" s="119" t="s">
        <v>5453</v>
      </c>
      <c r="B4995" s="119" t="s">
        <v>11145</v>
      </c>
      <c r="C4995" s="119" t="s">
        <v>301</v>
      </c>
      <c r="D4995" t="s">
        <v>45</v>
      </c>
      <c r="E4995" s="117">
        <v>0</v>
      </c>
    </row>
    <row r="4996" spans="1:5" x14ac:dyDescent="0.25">
      <c r="A4996" s="119" t="s">
        <v>5454</v>
      </c>
      <c r="B4996" s="119" t="s">
        <v>11146</v>
      </c>
      <c r="C4996" s="119" t="s">
        <v>301</v>
      </c>
      <c r="D4996" t="s">
        <v>45</v>
      </c>
      <c r="E4996" s="117">
        <v>0</v>
      </c>
    </row>
    <row r="4997" spans="1:5" x14ac:dyDescent="0.25">
      <c r="A4997" s="119" t="s">
        <v>5455</v>
      </c>
      <c r="B4997" s="119" t="s">
        <v>11147</v>
      </c>
      <c r="C4997" s="119" t="s">
        <v>301</v>
      </c>
      <c r="D4997" t="s">
        <v>45</v>
      </c>
      <c r="E4997" s="117">
        <v>0</v>
      </c>
    </row>
    <row r="4998" spans="1:5" x14ac:dyDescent="0.25">
      <c r="A4998" s="119" t="s">
        <v>5456</v>
      </c>
      <c r="B4998" s="119" t="s">
        <v>11148</v>
      </c>
      <c r="C4998" s="119" t="s">
        <v>301</v>
      </c>
      <c r="D4998" t="s">
        <v>45</v>
      </c>
      <c r="E4998" s="117">
        <v>0</v>
      </c>
    </row>
    <row r="4999" spans="1:5" x14ac:dyDescent="0.25">
      <c r="A4999" s="119" t="s">
        <v>5457</v>
      </c>
      <c r="B4999" s="119" t="s">
        <v>11149</v>
      </c>
      <c r="C4999" s="119" t="s">
        <v>301</v>
      </c>
      <c r="D4999" t="s">
        <v>45</v>
      </c>
      <c r="E4999" s="117">
        <v>0</v>
      </c>
    </row>
    <row r="5000" spans="1:5" x14ac:dyDescent="0.25">
      <c r="A5000" s="119" t="s">
        <v>5458</v>
      </c>
      <c r="B5000" s="119" t="s">
        <v>11150</v>
      </c>
      <c r="C5000" s="119" t="s">
        <v>301</v>
      </c>
      <c r="D5000" t="s">
        <v>45</v>
      </c>
      <c r="E5000" s="117">
        <v>0</v>
      </c>
    </row>
    <row r="5001" spans="1:5" x14ac:dyDescent="0.25">
      <c r="A5001" s="119" t="s">
        <v>5459</v>
      </c>
      <c r="B5001" s="119" t="s">
        <v>5460</v>
      </c>
      <c r="C5001" s="119" t="s">
        <v>301</v>
      </c>
      <c r="D5001" t="s">
        <v>45</v>
      </c>
      <c r="E5001" s="117">
        <v>0</v>
      </c>
    </row>
    <row r="5002" spans="1:5" x14ac:dyDescent="0.25">
      <c r="A5002" s="119" t="s">
        <v>5461</v>
      </c>
      <c r="B5002" s="119" t="s">
        <v>11151</v>
      </c>
      <c r="C5002" s="119" t="s">
        <v>301</v>
      </c>
      <c r="D5002" t="s">
        <v>6759</v>
      </c>
      <c r="E5002" s="117">
        <v>837.81</v>
      </c>
    </row>
    <row r="5003" spans="1:5" x14ac:dyDescent="0.25">
      <c r="A5003" s="119" t="s">
        <v>5462</v>
      </c>
      <c r="B5003" s="119" t="s">
        <v>11152</v>
      </c>
      <c r="C5003" s="119" t="s">
        <v>301</v>
      </c>
      <c r="D5003" t="s">
        <v>45</v>
      </c>
      <c r="E5003" s="117">
        <v>0</v>
      </c>
    </row>
    <row r="5004" spans="1:5" x14ac:dyDescent="0.25">
      <c r="A5004" s="119" t="s">
        <v>5463</v>
      </c>
      <c r="B5004" s="119" t="s">
        <v>11153</v>
      </c>
      <c r="C5004" s="119" t="s">
        <v>301</v>
      </c>
      <c r="D5004" t="s">
        <v>49</v>
      </c>
      <c r="E5004" s="117">
        <v>956.09</v>
      </c>
    </row>
    <row r="5005" spans="1:5" x14ac:dyDescent="0.25">
      <c r="A5005" s="119" t="s">
        <v>5464</v>
      </c>
      <c r="B5005" s="119" t="s">
        <v>11154</v>
      </c>
      <c r="C5005" s="119" t="s">
        <v>301</v>
      </c>
      <c r="D5005" t="s">
        <v>45</v>
      </c>
      <c r="E5005" s="117">
        <v>0</v>
      </c>
    </row>
    <row r="5006" spans="1:5" x14ac:dyDescent="0.25">
      <c r="A5006" s="119" t="s">
        <v>5465</v>
      </c>
      <c r="B5006" s="119" t="s">
        <v>5466</v>
      </c>
      <c r="C5006" s="119" t="s">
        <v>301</v>
      </c>
      <c r="D5006" t="s">
        <v>49</v>
      </c>
      <c r="E5006" s="117">
        <v>1015.22</v>
      </c>
    </row>
    <row r="5007" spans="1:5" x14ac:dyDescent="0.25">
      <c r="A5007" s="119" t="s">
        <v>5467</v>
      </c>
      <c r="B5007" s="119" t="s">
        <v>5460</v>
      </c>
      <c r="C5007" s="119" t="s">
        <v>301</v>
      </c>
      <c r="D5007" t="s">
        <v>45</v>
      </c>
      <c r="E5007" s="117">
        <v>0</v>
      </c>
    </row>
    <row r="5008" spans="1:5" x14ac:dyDescent="0.25">
      <c r="A5008" s="119" t="s">
        <v>5468</v>
      </c>
      <c r="B5008" s="119" t="s">
        <v>11155</v>
      </c>
      <c r="C5008" s="119" t="s">
        <v>301</v>
      </c>
      <c r="D5008" t="s">
        <v>6760</v>
      </c>
      <c r="E5008" s="117">
        <v>827.96</v>
      </c>
    </row>
    <row r="5009" spans="1:5" x14ac:dyDescent="0.25">
      <c r="A5009" s="119" t="s">
        <v>5469</v>
      </c>
      <c r="B5009" s="119" t="s">
        <v>5460</v>
      </c>
      <c r="C5009" s="119" t="s">
        <v>301</v>
      </c>
      <c r="D5009" t="s">
        <v>45</v>
      </c>
      <c r="E5009" s="117">
        <v>0</v>
      </c>
    </row>
    <row r="5010" spans="1:5" x14ac:dyDescent="0.25">
      <c r="A5010" s="119" t="s">
        <v>5470</v>
      </c>
      <c r="B5010" s="119" t="s">
        <v>11156</v>
      </c>
      <c r="C5010" s="119" t="s">
        <v>301</v>
      </c>
      <c r="D5010" t="s">
        <v>49</v>
      </c>
      <c r="E5010" s="117">
        <v>1074.3699999999999</v>
      </c>
    </row>
    <row r="5011" spans="1:5" x14ac:dyDescent="0.25">
      <c r="A5011" s="119" t="s">
        <v>6891</v>
      </c>
      <c r="B5011" s="119" t="s">
        <v>11157</v>
      </c>
      <c r="C5011" s="119" t="s">
        <v>301</v>
      </c>
      <c r="D5011" t="s">
        <v>51</v>
      </c>
      <c r="E5011" s="117">
        <v>609.23</v>
      </c>
    </row>
    <row r="5012" spans="1:5" x14ac:dyDescent="0.25">
      <c r="A5012" s="119" t="s">
        <v>6380</v>
      </c>
      <c r="B5012" s="119" t="s">
        <v>6381</v>
      </c>
      <c r="C5012" s="119" t="s">
        <v>301</v>
      </c>
      <c r="D5012" t="s">
        <v>6759</v>
      </c>
      <c r="E5012" s="117">
        <v>0</v>
      </c>
    </row>
    <row r="5013" spans="1:5" x14ac:dyDescent="0.25">
      <c r="A5013" s="119" t="s">
        <v>11919</v>
      </c>
      <c r="B5013" s="119" t="s">
        <v>11920</v>
      </c>
      <c r="C5013" s="119" t="s">
        <v>301</v>
      </c>
      <c r="D5013" t="s">
        <v>45</v>
      </c>
      <c r="E5013" s="117">
        <v>0</v>
      </c>
    </row>
    <row r="5014" spans="1:5" x14ac:dyDescent="0.25">
      <c r="A5014" s="119" t="s">
        <v>11649</v>
      </c>
      <c r="B5014" s="119" t="s">
        <v>11650</v>
      </c>
      <c r="C5014" s="119" t="s">
        <v>301</v>
      </c>
      <c r="D5014" t="s">
        <v>45</v>
      </c>
      <c r="E5014" s="117">
        <v>0</v>
      </c>
    </row>
    <row r="5015" spans="1:5" x14ac:dyDescent="0.25">
      <c r="A5015" s="119" t="s">
        <v>5471</v>
      </c>
      <c r="B5015" s="119" t="s">
        <v>11158</v>
      </c>
      <c r="C5015" s="119" t="s">
        <v>301</v>
      </c>
      <c r="D5015" t="s">
        <v>6760</v>
      </c>
      <c r="E5015" s="117">
        <v>1439.06</v>
      </c>
    </row>
    <row r="5016" spans="1:5" x14ac:dyDescent="0.25">
      <c r="A5016" s="119" t="s">
        <v>5472</v>
      </c>
      <c r="B5016" s="119" t="s">
        <v>11159</v>
      </c>
      <c r="C5016" s="119" t="s">
        <v>301</v>
      </c>
      <c r="D5016" t="s">
        <v>49</v>
      </c>
      <c r="E5016" s="117">
        <v>1547.48</v>
      </c>
    </row>
    <row r="5017" spans="1:5" x14ac:dyDescent="0.25">
      <c r="A5017" s="119" t="s">
        <v>12214</v>
      </c>
      <c r="B5017" s="119" t="s">
        <v>12215</v>
      </c>
      <c r="C5017" s="119" t="s">
        <v>301</v>
      </c>
      <c r="D5017" t="s">
        <v>45</v>
      </c>
      <c r="E5017" s="117">
        <v>0</v>
      </c>
    </row>
    <row r="5018" spans="1:5" x14ac:dyDescent="0.25">
      <c r="A5018" s="119" t="s">
        <v>12216</v>
      </c>
      <c r="B5018" s="119" t="s">
        <v>12217</v>
      </c>
      <c r="C5018" s="119" t="s">
        <v>301</v>
      </c>
      <c r="D5018" t="s">
        <v>45</v>
      </c>
      <c r="E5018" s="117">
        <v>0</v>
      </c>
    </row>
    <row r="5019" spans="1:5" x14ac:dyDescent="0.25">
      <c r="A5019" s="119" t="s">
        <v>5473</v>
      </c>
      <c r="B5019" s="119" t="s">
        <v>11160</v>
      </c>
      <c r="C5019" s="119" t="s">
        <v>301</v>
      </c>
      <c r="D5019" t="s">
        <v>45</v>
      </c>
      <c r="E5019" s="117">
        <v>1991.03</v>
      </c>
    </row>
    <row r="5020" spans="1:5" x14ac:dyDescent="0.25">
      <c r="A5020" s="119" t="s">
        <v>5474</v>
      </c>
      <c r="B5020" s="119" t="s">
        <v>11160</v>
      </c>
      <c r="C5020" s="119" t="s">
        <v>301</v>
      </c>
      <c r="D5020" t="s">
        <v>45</v>
      </c>
      <c r="E5020" s="117">
        <v>1991.03</v>
      </c>
    </row>
    <row r="5021" spans="1:5" x14ac:dyDescent="0.25">
      <c r="A5021" s="119" t="s">
        <v>5475</v>
      </c>
      <c r="B5021" s="119" t="s">
        <v>11161</v>
      </c>
      <c r="C5021" s="119" t="s">
        <v>301</v>
      </c>
      <c r="D5021" t="s">
        <v>45</v>
      </c>
      <c r="E5021" s="117">
        <v>2602.14</v>
      </c>
    </row>
    <row r="5022" spans="1:5" x14ac:dyDescent="0.25">
      <c r="A5022" s="119" t="s">
        <v>5476</v>
      </c>
      <c r="B5022" s="119" t="s">
        <v>11162</v>
      </c>
      <c r="C5022" s="119" t="s">
        <v>301</v>
      </c>
      <c r="D5022" t="s">
        <v>45</v>
      </c>
      <c r="E5022" s="117">
        <v>2656.35</v>
      </c>
    </row>
    <row r="5023" spans="1:5" x14ac:dyDescent="0.25">
      <c r="A5023" s="119" t="s">
        <v>5477</v>
      </c>
      <c r="B5023" s="119" t="s">
        <v>11163</v>
      </c>
      <c r="C5023" s="119" t="s">
        <v>301</v>
      </c>
      <c r="D5023" t="s">
        <v>45</v>
      </c>
      <c r="E5023" s="117">
        <v>0</v>
      </c>
    </row>
    <row r="5024" spans="1:5" x14ac:dyDescent="0.25">
      <c r="A5024" s="119" t="s">
        <v>5478</v>
      </c>
      <c r="B5024" s="119" t="s">
        <v>11164</v>
      </c>
      <c r="C5024" s="119" t="s">
        <v>301</v>
      </c>
      <c r="D5024" t="s">
        <v>6759</v>
      </c>
      <c r="E5024" s="117">
        <v>2986.55</v>
      </c>
    </row>
    <row r="5025" spans="1:5" x14ac:dyDescent="0.25">
      <c r="A5025" s="119" t="s">
        <v>5479</v>
      </c>
      <c r="B5025" s="119" t="s">
        <v>11165</v>
      </c>
      <c r="C5025" s="119" t="s">
        <v>301</v>
      </c>
      <c r="D5025" t="s">
        <v>45</v>
      </c>
      <c r="E5025" s="117">
        <v>4191.3999999999996</v>
      </c>
    </row>
    <row r="5026" spans="1:5" x14ac:dyDescent="0.25">
      <c r="A5026" s="119" t="s">
        <v>5480</v>
      </c>
      <c r="B5026" s="119" t="s">
        <v>11166</v>
      </c>
      <c r="C5026" s="119" t="s">
        <v>301</v>
      </c>
      <c r="D5026" t="s">
        <v>45</v>
      </c>
      <c r="E5026" s="117">
        <v>0</v>
      </c>
    </row>
    <row r="5027" spans="1:5" x14ac:dyDescent="0.25">
      <c r="A5027" s="119" t="s">
        <v>5481</v>
      </c>
      <c r="B5027" s="119" t="s">
        <v>11167</v>
      </c>
      <c r="C5027" s="119" t="s">
        <v>301</v>
      </c>
      <c r="D5027" t="s">
        <v>45</v>
      </c>
      <c r="E5027" s="117">
        <v>3812.08</v>
      </c>
    </row>
    <row r="5028" spans="1:5" x14ac:dyDescent="0.25">
      <c r="A5028" s="119" t="s">
        <v>5482</v>
      </c>
      <c r="B5028" s="119" t="s">
        <v>11168</v>
      </c>
      <c r="C5028" s="119" t="s">
        <v>301</v>
      </c>
      <c r="D5028" t="s">
        <v>45</v>
      </c>
      <c r="E5028" s="117">
        <v>3399.53</v>
      </c>
    </row>
    <row r="5029" spans="1:5" x14ac:dyDescent="0.25">
      <c r="A5029" s="119" t="s">
        <v>5483</v>
      </c>
      <c r="B5029" s="119" t="s">
        <v>11169</v>
      </c>
      <c r="C5029" s="119" t="s">
        <v>301</v>
      </c>
      <c r="D5029" t="s">
        <v>6759</v>
      </c>
      <c r="E5029" s="117">
        <v>1477.5</v>
      </c>
    </row>
    <row r="5030" spans="1:5" x14ac:dyDescent="0.25">
      <c r="A5030" s="119" t="s">
        <v>5484</v>
      </c>
      <c r="B5030" s="119" t="s">
        <v>5485</v>
      </c>
      <c r="C5030" s="119" t="s">
        <v>301</v>
      </c>
      <c r="D5030" t="s">
        <v>45</v>
      </c>
      <c r="E5030" s="117">
        <v>0</v>
      </c>
    </row>
    <row r="5031" spans="1:5" x14ac:dyDescent="0.25">
      <c r="A5031" s="119" t="s">
        <v>5486</v>
      </c>
      <c r="B5031" s="119" t="s">
        <v>11170</v>
      </c>
      <c r="C5031" s="119" t="s">
        <v>301</v>
      </c>
      <c r="D5031" t="s">
        <v>49</v>
      </c>
      <c r="E5031" s="117">
        <v>1645.07</v>
      </c>
    </row>
    <row r="5032" spans="1:5" x14ac:dyDescent="0.25">
      <c r="A5032" s="119" t="s">
        <v>5487</v>
      </c>
      <c r="B5032" s="119" t="s">
        <v>5488</v>
      </c>
      <c r="C5032" s="119" t="s">
        <v>301</v>
      </c>
      <c r="D5032" t="s">
        <v>45</v>
      </c>
      <c r="E5032" s="117">
        <v>0</v>
      </c>
    </row>
    <row r="5033" spans="1:5" x14ac:dyDescent="0.25">
      <c r="A5033" s="119" t="s">
        <v>5489</v>
      </c>
      <c r="B5033" s="119" t="s">
        <v>11171</v>
      </c>
      <c r="C5033" s="119" t="s">
        <v>301</v>
      </c>
      <c r="D5033" t="s">
        <v>45</v>
      </c>
      <c r="E5033" s="117">
        <v>4335.91</v>
      </c>
    </row>
    <row r="5034" spans="1:5" x14ac:dyDescent="0.25">
      <c r="A5034" s="119" t="s">
        <v>5490</v>
      </c>
      <c r="B5034" s="119" t="s">
        <v>11172</v>
      </c>
      <c r="C5034" s="119" t="s">
        <v>301</v>
      </c>
      <c r="D5034" t="s">
        <v>49</v>
      </c>
      <c r="E5034" s="117">
        <v>2266.0300000000002</v>
      </c>
    </row>
    <row r="5035" spans="1:5" x14ac:dyDescent="0.25">
      <c r="A5035" s="119" t="s">
        <v>5491</v>
      </c>
      <c r="B5035" s="119" t="s">
        <v>5492</v>
      </c>
      <c r="C5035" s="119" t="s">
        <v>301</v>
      </c>
      <c r="D5035" t="s">
        <v>45</v>
      </c>
      <c r="E5035" s="117">
        <v>0</v>
      </c>
    </row>
    <row r="5036" spans="1:5" x14ac:dyDescent="0.25">
      <c r="A5036" s="119" t="s">
        <v>5493</v>
      </c>
      <c r="B5036" s="119" t="s">
        <v>11173</v>
      </c>
      <c r="C5036" s="119" t="s">
        <v>301</v>
      </c>
      <c r="D5036" t="s">
        <v>49</v>
      </c>
      <c r="E5036" s="117">
        <v>1330</v>
      </c>
    </row>
    <row r="5037" spans="1:5" x14ac:dyDescent="0.25">
      <c r="A5037" s="119" t="s">
        <v>5494</v>
      </c>
      <c r="B5037" s="119" t="s">
        <v>5495</v>
      </c>
      <c r="C5037" s="119" t="s">
        <v>301</v>
      </c>
      <c r="D5037" t="s">
        <v>6759</v>
      </c>
      <c r="E5037" s="117">
        <v>999999</v>
      </c>
    </row>
    <row r="5038" spans="1:5" x14ac:dyDescent="0.25">
      <c r="A5038" s="119" t="s">
        <v>6311</v>
      </c>
      <c r="B5038" s="119" t="s">
        <v>11174</v>
      </c>
      <c r="C5038" s="119" t="s">
        <v>301</v>
      </c>
      <c r="D5038" t="s">
        <v>6759</v>
      </c>
      <c r="E5038" s="117">
        <v>2815.23</v>
      </c>
    </row>
    <row r="5039" spans="1:5" x14ac:dyDescent="0.25">
      <c r="A5039" s="119" t="s">
        <v>5496</v>
      </c>
      <c r="B5039" s="119" t="s">
        <v>5497</v>
      </c>
      <c r="C5039" s="119" t="s">
        <v>301</v>
      </c>
      <c r="D5039" t="s">
        <v>6759</v>
      </c>
      <c r="E5039" s="117">
        <v>999999</v>
      </c>
    </row>
    <row r="5040" spans="1:5" x14ac:dyDescent="0.25">
      <c r="A5040" s="119" t="s">
        <v>5498</v>
      </c>
      <c r="B5040" s="119" t="s">
        <v>11175</v>
      </c>
      <c r="C5040" s="119" t="s">
        <v>301</v>
      </c>
      <c r="D5040" t="s">
        <v>45</v>
      </c>
      <c r="E5040" s="117">
        <v>1083.24</v>
      </c>
    </row>
    <row r="5041" spans="1:5" x14ac:dyDescent="0.25">
      <c r="A5041" s="119" t="s">
        <v>5499</v>
      </c>
      <c r="B5041" s="119" t="s">
        <v>11176</v>
      </c>
      <c r="C5041" s="119" t="s">
        <v>301</v>
      </c>
      <c r="D5041" t="s">
        <v>45</v>
      </c>
      <c r="E5041" s="117">
        <v>0</v>
      </c>
    </row>
    <row r="5042" spans="1:5" x14ac:dyDescent="0.25">
      <c r="A5042" s="119" t="s">
        <v>5500</v>
      </c>
      <c r="B5042" s="119" t="s">
        <v>11177</v>
      </c>
      <c r="C5042" s="119" t="s">
        <v>301</v>
      </c>
      <c r="D5042" t="s">
        <v>45</v>
      </c>
      <c r="E5042" s="117">
        <v>0</v>
      </c>
    </row>
    <row r="5043" spans="1:5" x14ac:dyDescent="0.25">
      <c r="A5043" s="119" t="s">
        <v>5501</v>
      </c>
      <c r="B5043" s="119" t="s">
        <v>7783</v>
      </c>
      <c r="C5043" s="119" t="s">
        <v>301</v>
      </c>
      <c r="D5043" t="s">
        <v>6759</v>
      </c>
      <c r="E5043" s="117">
        <v>284.85000000000002</v>
      </c>
    </row>
    <row r="5044" spans="1:5" x14ac:dyDescent="0.25">
      <c r="A5044" s="119" t="s">
        <v>5502</v>
      </c>
      <c r="B5044" s="119" t="s">
        <v>11178</v>
      </c>
      <c r="C5044" s="119" t="s">
        <v>301</v>
      </c>
      <c r="D5044" t="s">
        <v>45</v>
      </c>
      <c r="E5044" s="117">
        <v>817.11</v>
      </c>
    </row>
    <row r="5045" spans="1:5" x14ac:dyDescent="0.25">
      <c r="A5045" s="119" t="s">
        <v>5503</v>
      </c>
      <c r="B5045" s="119" t="s">
        <v>11179</v>
      </c>
      <c r="C5045" s="119" t="s">
        <v>301</v>
      </c>
      <c r="D5045" t="s">
        <v>45</v>
      </c>
      <c r="E5045" s="117">
        <v>334.14</v>
      </c>
    </row>
    <row r="5046" spans="1:5" x14ac:dyDescent="0.25">
      <c r="A5046" s="119" t="s">
        <v>5504</v>
      </c>
      <c r="B5046" s="119" t="s">
        <v>11180</v>
      </c>
      <c r="C5046" s="119" t="s">
        <v>301</v>
      </c>
      <c r="D5046" t="s">
        <v>45</v>
      </c>
      <c r="E5046" s="117">
        <v>0</v>
      </c>
    </row>
    <row r="5047" spans="1:5" x14ac:dyDescent="0.25">
      <c r="A5047" s="119" t="s">
        <v>5505</v>
      </c>
      <c r="B5047" s="119" t="s">
        <v>11181</v>
      </c>
      <c r="C5047" s="119" t="s">
        <v>301</v>
      </c>
      <c r="D5047" t="s">
        <v>49</v>
      </c>
      <c r="E5047" s="117">
        <v>542.12</v>
      </c>
    </row>
    <row r="5048" spans="1:5" x14ac:dyDescent="0.25">
      <c r="A5048" s="119" t="s">
        <v>5506</v>
      </c>
      <c r="B5048" s="119" t="s">
        <v>11182</v>
      </c>
      <c r="C5048" s="119" t="s">
        <v>301</v>
      </c>
      <c r="D5048" t="s">
        <v>45</v>
      </c>
      <c r="E5048" s="117">
        <v>0</v>
      </c>
    </row>
    <row r="5049" spans="1:5" x14ac:dyDescent="0.25">
      <c r="A5049" s="119" t="s">
        <v>5507</v>
      </c>
      <c r="B5049" s="119" t="s">
        <v>11183</v>
      </c>
      <c r="C5049" s="119" t="s">
        <v>301</v>
      </c>
      <c r="D5049" t="s">
        <v>49</v>
      </c>
      <c r="E5049" s="117">
        <v>463.26</v>
      </c>
    </row>
    <row r="5050" spans="1:5" x14ac:dyDescent="0.25">
      <c r="A5050" s="119" t="s">
        <v>5508</v>
      </c>
      <c r="B5050" s="119" t="s">
        <v>11184</v>
      </c>
      <c r="C5050" s="119" t="s">
        <v>301</v>
      </c>
      <c r="D5050" t="s">
        <v>49</v>
      </c>
      <c r="E5050" s="117">
        <v>3600</v>
      </c>
    </row>
    <row r="5051" spans="1:5" x14ac:dyDescent="0.25">
      <c r="A5051" s="119" t="s">
        <v>5509</v>
      </c>
      <c r="B5051" s="119" t="s">
        <v>5510</v>
      </c>
      <c r="C5051" s="119" t="s">
        <v>301</v>
      </c>
      <c r="D5051" t="s">
        <v>45</v>
      </c>
      <c r="E5051" s="117">
        <v>999999999</v>
      </c>
    </row>
    <row r="5052" spans="1:5" x14ac:dyDescent="0.25">
      <c r="A5052" s="119" t="s">
        <v>5511</v>
      </c>
      <c r="B5052" s="119" t="s">
        <v>11185</v>
      </c>
      <c r="C5052" s="119" t="s">
        <v>301</v>
      </c>
      <c r="D5052" t="s">
        <v>51</v>
      </c>
      <c r="E5052" s="117">
        <v>415</v>
      </c>
    </row>
    <row r="5053" spans="1:5" x14ac:dyDescent="0.25">
      <c r="A5053" s="119" t="s">
        <v>5512</v>
      </c>
      <c r="B5053" s="119" t="s">
        <v>11186</v>
      </c>
      <c r="C5053" s="119" t="s">
        <v>301</v>
      </c>
      <c r="D5053" t="s">
        <v>45</v>
      </c>
      <c r="E5053" s="117">
        <v>1573.95</v>
      </c>
    </row>
    <row r="5054" spans="1:5" x14ac:dyDescent="0.25">
      <c r="A5054" s="119" t="s">
        <v>5513</v>
      </c>
      <c r="B5054" s="119" t="s">
        <v>11187</v>
      </c>
      <c r="C5054" s="119" t="s">
        <v>301</v>
      </c>
      <c r="D5054" t="s">
        <v>45</v>
      </c>
      <c r="E5054" s="117">
        <v>1836.45</v>
      </c>
    </row>
    <row r="5055" spans="1:5" x14ac:dyDescent="0.25">
      <c r="A5055" s="119" t="s">
        <v>5514</v>
      </c>
      <c r="B5055" s="119" t="s">
        <v>5515</v>
      </c>
      <c r="C5055" s="119" t="s">
        <v>66</v>
      </c>
      <c r="D5055" t="s">
        <v>45</v>
      </c>
      <c r="E5055" s="117">
        <v>9999</v>
      </c>
    </row>
    <row r="5056" spans="1:5" x14ac:dyDescent="0.25">
      <c r="A5056" s="119" t="s">
        <v>5516</v>
      </c>
      <c r="B5056" s="119" t="s">
        <v>5517</v>
      </c>
      <c r="C5056" s="119" t="s">
        <v>66</v>
      </c>
      <c r="D5056" t="s">
        <v>45</v>
      </c>
      <c r="E5056" s="117">
        <v>9999</v>
      </c>
    </row>
    <row r="5057" spans="1:5" x14ac:dyDescent="0.25">
      <c r="A5057" s="119" t="s">
        <v>5518</v>
      </c>
      <c r="B5057" s="119" t="s">
        <v>5519</v>
      </c>
      <c r="C5057" s="119" t="s">
        <v>66</v>
      </c>
      <c r="D5057" t="s">
        <v>6759</v>
      </c>
      <c r="E5057" s="117">
        <v>9999</v>
      </c>
    </row>
    <row r="5058" spans="1:5" x14ac:dyDescent="0.25">
      <c r="A5058" s="119" t="s">
        <v>7784</v>
      </c>
      <c r="B5058" s="119" t="s">
        <v>7785</v>
      </c>
      <c r="C5058" s="119" t="s">
        <v>66</v>
      </c>
      <c r="D5058" t="s">
        <v>45</v>
      </c>
      <c r="E5058" s="117">
        <v>343.99</v>
      </c>
    </row>
    <row r="5059" spans="1:5" x14ac:dyDescent="0.25">
      <c r="A5059" s="119" t="s">
        <v>5520</v>
      </c>
      <c r="B5059" s="119" t="s">
        <v>5521</v>
      </c>
      <c r="C5059" s="119" t="s">
        <v>66</v>
      </c>
      <c r="D5059" t="s">
        <v>6759</v>
      </c>
      <c r="E5059" s="117">
        <v>325.5</v>
      </c>
    </row>
    <row r="5060" spans="1:5" x14ac:dyDescent="0.25">
      <c r="A5060" s="119" t="s">
        <v>8237</v>
      </c>
      <c r="B5060" s="119" t="s">
        <v>8238</v>
      </c>
      <c r="C5060" s="119" t="s">
        <v>66</v>
      </c>
      <c r="D5060" t="s">
        <v>45</v>
      </c>
      <c r="E5060" s="117">
        <v>9999</v>
      </c>
    </row>
    <row r="5061" spans="1:5" x14ac:dyDescent="0.25">
      <c r="A5061" s="119" t="s">
        <v>5522</v>
      </c>
      <c r="B5061" s="119" t="s">
        <v>7786</v>
      </c>
      <c r="C5061" s="119" t="s">
        <v>66</v>
      </c>
      <c r="D5061" t="s">
        <v>6759</v>
      </c>
      <c r="E5061" s="117">
        <v>656.17</v>
      </c>
    </row>
    <row r="5062" spans="1:5" x14ac:dyDescent="0.25">
      <c r="A5062" s="119" t="s">
        <v>5524</v>
      </c>
      <c r="B5062" s="119" t="s">
        <v>5525</v>
      </c>
      <c r="C5062" s="119" t="s">
        <v>66</v>
      </c>
      <c r="D5062" t="s">
        <v>6759</v>
      </c>
      <c r="E5062" s="117">
        <v>130.83000000000001</v>
      </c>
    </row>
    <row r="5063" spans="1:5" x14ac:dyDescent="0.25">
      <c r="A5063" s="119" t="s">
        <v>5526</v>
      </c>
      <c r="B5063" s="119" t="s">
        <v>5527</v>
      </c>
      <c r="C5063" s="119" t="s">
        <v>66</v>
      </c>
      <c r="D5063" t="s">
        <v>6759</v>
      </c>
      <c r="E5063" s="117">
        <v>130.83000000000001</v>
      </c>
    </row>
    <row r="5064" spans="1:5" x14ac:dyDescent="0.25">
      <c r="A5064" s="119" t="s">
        <v>5528</v>
      </c>
      <c r="B5064" s="119" t="s">
        <v>5529</v>
      </c>
      <c r="C5064" s="119" t="s">
        <v>66</v>
      </c>
      <c r="D5064" t="s">
        <v>6759</v>
      </c>
      <c r="E5064" s="117">
        <v>130.94</v>
      </c>
    </row>
    <row r="5065" spans="1:5" x14ac:dyDescent="0.25">
      <c r="A5065" s="119" t="s">
        <v>5530</v>
      </c>
      <c r="B5065" s="119" t="s">
        <v>5529</v>
      </c>
      <c r="C5065" s="119" t="s">
        <v>66</v>
      </c>
      <c r="D5065" t="s">
        <v>6759</v>
      </c>
      <c r="E5065" s="117">
        <v>130.94</v>
      </c>
    </row>
    <row r="5066" spans="1:5" x14ac:dyDescent="0.25">
      <c r="A5066" s="119" t="s">
        <v>5531</v>
      </c>
      <c r="B5066" s="119" t="s">
        <v>6335</v>
      </c>
      <c r="C5066" s="119" t="s">
        <v>66</v>
      </c>
      <c r="D5066" t="s">
        <v>6759</v>
      </c>
      <c r="E5066" s="117">
        <v>157.29</v>
      </c>
    </row>
    <row r="5067" spans="1:5" x14ac:dyDescent="0.25">
      <c r="A5067" s="119" t="s">
        <v>5532</v>
      </c>
      <c r="B5067" s="119" t="s">
        <v>5533</v>
      </c>
      <c r="C5067" s="119" t="s">
        <v>66</v>
      </c>
      <c r="D5067" t="s">
        <v>6759</v>
      </c>
      <c r="E5067" s="117">
        <v>1659</v>
      </c>
    </row>
    <row r="5068" spans="1:5" x14ac:dyDescent="0.25">
      <c r="A5068" s="119" t="s">
        <v>5534</v>
      </c>
      <c r="B5068" s="119" t="s">
        <v>11188</v>
      </c>
      <c r="C5068" s="119" t="s">
        <v>301</v>
      </c>
      <c r="D5068" t="s">
        <v>45</v>
      </c>
      <c r="E5068" s="117">
        <v>0</v>
      </c>
    </row>
    <row r="5069" spans="1:5" x14ac:dyDescent="0.25">
      <c r="A5069" s="119" t="s">
        <v>5535</v>
      </c>
      <c r="B5069" s="119" t="s">
        <v>11189</v>
      </c>
      <c r="C5069" s="119" t="s">
        <v>301</v>
      </c>
      <c r="D5069" t="s">
        <v>6759</v>
      </c>
      <c r="E5069" s="117">
        <v>1991.03</v>
      </c>
    </row>
    <row r="5070" spans="1:5" x14ac:dyDescent="0.25">
      <c r="A5070" s="119" t="s">
        <v>5536</v>
      </c>
      <c r="B5070" s="119" t="s">
        <v>11190</v>
      </c>
      <c r="C5070" s="119" t="s">
        <v>301</v>
      </c>
      <c r="D5070" t="s">
        <v>45</v>
      </c>
      <c r="E5070" s="117">
        <v>3054.56</v>
      </c>
    </row>
    <row r="5071" spans="1:5" x14ac:dyDescent="0.25">
      <c r="A5071" s="119" t="s">
        <v>5537</v>
      </c>
      <c r="B5071" s="119" t="s">
        <v>11191</v>
      </c>
      <c r="C5071" s="119" t="s">
        <v>301</v>
      </c>
      <c r="D5071" t="s">
        <v>49</v>
      </c>
      <c r="E5071" s="117">
        <v>1093.0899999999999</v>
      </c>
    </row>
    <row r="5072" spans="1:5" x14ac:dyDescent="0.25">
      <c r="A5072" s="119" t="s">
        <v>5538</v>
      </c>
      <c r="B5072" s="119" t="s">
        <v>4478</v>
      </c>
      <c r="C5072" s="119" t="s">
        <v>301</v>
      </c>
      <c r="D5072" t="s">
        <v>45</v>
      </c>
      <c r="E5072" s="117">
        <v>0</v>
      </c>
    </row>
    <row r="5073" spans="1:5" x14ac:dyDescent="0.25">
      <c r="A5073" s="119" t="s">
        <v>5539</v>
      </c>
      <c r="B5073" s="119" t="s">
        <v>11192</v>
      </c>
      <c r="C5073" s="119" t="s">
        <v>301</v>
      </c>
      <c r="D5073" t="s">
        <v>6759</v>
      </c>
      <c r="E5073" s="117">
        <v>1576.07</v>
      </c>
    </row>
    <row r="5074" spans="1:5" x14ac:dyDescent="0.25">
      <c r="A5074" s="119" t="s">
        <v>5540</v>
      </c>
      <c r="B5074" s="119" t="s">
        <v>5541</v>
      </c>
      <c r="C5074" s="119" t="s">
        <v>301</v>
      </c>
      <c r="D5074" t="s">
        <v>45</v>
      </c>
      <c r="E5074" s="117">
        <v>0</v>
      </c>
    </row>
    <row r="5075" spans="1:5" x14ac:dyDescent="0.25">
      <c r="A5075" s="119" t="s">
        <v>7787</v>
      </c>
      <c r="B5075" s="119" t="s">
        <v>11193</v>
      </c>
      <c r="C5075" s="119" t="s">
        <v>301</v>
      </c>
      <c r="D5075" t="s">
        <v>49</v>
      </c>
      <c r="E5075" s="117">
        <v>2251.9899999999998</v>
      </c>
    </row>
    <row r="5076" spans="1:5" x14ac:dyDescent="0.25">
      <c r="A5076" s="119" t="s">
        <v>7788</v>
      </c>
      <c r="B5076" s="119" t="s">
        <v>7789</v>
      </c>
      <c r="C5076" s="119" t="s">
        <v>301</v>
      </c>
      <c r="D5076" t="s">
        <v>45</v>
      </c>
      <c r="E5076" s="117">
        <v>0</v>
      </c>
    </row>
    <row r="5077" spans="1:5" x14ac:dyDescent="0.25">
      <c r="A5077" s="119" t="s">
        <v>12218</v>
      </c>
      <c r="B5077" s="119" t="s">
        <v>12219</v>
      </c>
      <c r="C5077" s="119" t="s">
        <v>301</v>
      </c>
      <c r="D5077" t="s">
        <v>45</v>
      </c>
      <c r="E5077" s="117">
        <v>0</v>
      </c>
    </row>
    <row r="5078" spans="1:5" x14ac:dyDescent="0.25">
      <c r="A5078" s="119" t="s">
        <v>5542</v>
      </c>
      <c r="B5078" s="119" t="s">
        <v>11194</v>
      </c>
      <c r="C5078" s="119" t="s">
        <v>301</v>
      </c>
      <c r="D5078" t="s">
        <v>45</v>
      </c>
      <c r="E5078" s="117">
        <v>0</v>
      </c>
    </row>
    <row r="5079" spans="1:5" x14ac:dyDescent="0.25">
      <c r="A5079" s="119" t="s">
        <v>5543</v>
      </c>
      <c r="B5079" s="119" t="s">
        <v>11195</v>
      </c>
      <c r="C5079" s="119" t="s">
        <v>301</v>
      </c>
      <c r="D5079" t="s">
        <v>45</v>
      </c>
      <c r="E5079" s="117">
        <v>836.83</v>
      </c>
    </row>
    <row r="5080" spans="1:5" x14ac:dyDescent="0.25">
      <c r="A5080" s="119" t="s">
        <v>5544</v>
      </c>
      <c r="B5080" s="119" t="s">
        <v>11196</v>
      </c>
      <c r="C5080" s="119" t="s">
        <v>301</v>
      </c>
      <c r="D5080" t="s">
        <v>45</v>
      </c>
      <c r="E5080" s="117">
        <v>0</v>
      </c>
    </row>
    <row r="5081" spans="1:5" x14ac:dyDescent="0.25">
      <c r="A5081" s="119" t="s">
        <v>5545</v>
      </c>
      <c r="B5081" s="119" t="s">
        <v>11197</v>
      </c>
      <c r="C5081" s="119" t="s">
        <v>301</v>
      </c>
      <c r="D5081" t="s">
        <v>45</v>
      </c>
      <c r="E5081" s="117">
        <v>1053.6600000000001</v>
      </c>
    </row>
    <row r="5082" spans="1:5" x14ac:dyDescent="0.25">
      <c r="A5082" s="119" t="s">
        <v>5546</v>
      </c>
      <c r="B5082" s="119" t="s">
        <v>11198</v>
      </c>
      <c r="C5082" s="119" t="s">
        <v>301</v>
      </c>
      <c r="D5082" t="s">
        <v>6759</v>
      </c>
      <c r="E5082" s="117">
        <v>415</v>
      </c>
    </row>
    <row r="5083" spans="1:5" x14ac:dyDescent="0.25">
      <c r="A5083" s="119" t="s">
        <v>5547</v>
      </c>
      <c r="B5083" s="119" t="s">
        <v>11199</v>
      </c>
      <c r="C5083" s="119" t="s">
        <v>301</v>
      </c>
      <c r="D5083" t="s">
        <v>45</v>
      </c>
      <c r="E5083" s="117">
        <v>0</v>
      </c>
    </row>
    <row r="5084" spans="1:5" x14ac:dyDescent="0.25">
      <c r="A5084" s="119" t="s">
        <v>5548</v>
      </c>
      <c r="B5084" s="119" t="s">
        <v>11200</v>
      </c>
      <c r="C5084" s="119" t="s">
        <v>301</v>
      </c>
      <c r="D5084" t="s">
        <v>45</v>
      </c>
      <c r="E5084" s="117">
        <v>0</v>
      </c>
    </row>
    <row r="5085" spans="1:5" x14ac:dyDescent="0.25">
      <c r="A5085" s="119" t="s">
        <v>5549</v>
      </c>
      <c r="B5085" s="119" t="s">
        <v>11201</v>
      </c>
      <c r="C5085" s="119" t="s">
        <v>301</v>
      </c>
      <c r="D5085" t="s">
        <v>6760</v>
      </c>
      <c r="E5085" s="117">
        <v>773.75</v>
      </c>
    </row>
    <row r="5086" spans="1:5" x14ac:dyDescent="0.25">
      <c r="A5086" s="119" t="s">
        <v>5550</v>
      </c>
      <c r="B5086" s="119" t="s">
        <v>5551</v>
      </c>
      <c r="C5086" s="119" t="s">
        <v>301</v>
      </c>
      <c r="D5086" t="s">
        <v>45</v>
      </c>
      <c r="E5086" s="117">
        <v>0</v>
      </c>
    </row>
    <row r="5087" spans="1:5" x14ac:dyDescent="0.25">
      <c r="A5087" s="119" t="s">
        <v>5552</v>
      </c>
      <c r="B5087" s="119" t="s">
        <v>11202</v>
      </c>
      <c r="C5087" s="119" t="s">
        <v>301</v>
      </c>
      <c r="D5087" t="s">
        <v>45</v>
      </c>
      <c r="E5087" s="117">
        <v>787.54</v>
      </c>
    </row>
    <row r="5088" spans="1:5" x14ac:dyDescent="0.25">
      <c r="A5088" s="119" t="s">
        <v>5553</v>
      </c>
      <c r="B5088" s="119" t="s">
        <v>5554</v>
      </c>
      <c r="C5088" s="119" t="s">
        <v>301</v>
      </c>
      <c r="D5088" t="s">
        <v>45</v>
      </c>
      <c r="E5088" s="117">
        <v>0</v>
      </c>
    </row>
    <row r="5089" spans="1:5" x14ac:dyDescent="0.25">
      <c r="A5089" s="119" t="s">
        <v>5555</v>
      </c>
      <c r="B5089" s="119" t="s">
        <v>11203</v>
      </c>
      <c r="C5089" s="119" t="s">
        <v>301</v>
      </c>
      <c r="D5089" t="s">
        <v>49</v>
      </c>
      <c r="E5089" s="117">
        <v>1049.73</v>
      </c>
    </row>
    <row r="5090" spans="1:5" x14ac:dyDescent="0.25">
      <c r="A5090" s="119" t="s">
        <v>5556</v>
      </c>
      <c r="B5090" s="119" t="s">
        <v>11204</v>
      </c>
      <c r="C5090" s="119" t="s">
        <v>301</v>
      </c>
      <c r="D5090" t="s">
        <v>45</v>
      </c>
      <c r="E5090" s="117">
        <v>0</v>
      </c>
    </row>
    <row r="5091" spans="1:5" x14ac:dyDescent="0.25">
      <c r="A5091" s="119" t="s">
        <v>5557</v>
      </c>
      <c r="B5091" s="119" t="s">
        <v>11205</v>
      </c>
      <c r="C5091" s="119" t="s">
        <v>301</v>
      </c>
      <c r="D5091" t="s">
        <v>6759</v>
      </c>
      <c r="E5091" s="117">
        <v>1370.06</v>
      </c>
    </row>
    <row r="5092" spans="1:5" x14ac:dyDescent="0.25">
      <c r="A5092" s="119" t="s">
        <v>5558</v>
      </c>
      <c r="B5092" s="119" t="s">
        <v>11206</v>
      </c>
      <c r="C5092" s="119" t="s">
        <v>301</v>
      </c>
      <c r="D5092" t="s">
        <v>45</v>
      </c>
      <c r="E5092" s="117">
        <v>0</v>
      </c>
    </row>
    <row r="5093" spans="1:5" x14ac:dyDescent="0.25">
      <c r="A5093" s="119" t="s">
        <v>5559</v>
      </c>
      <c r="B5093" s="119" t="s">
        <v>11207</v>
      </c>
      <c r="C5093" s="119" t="s">
        <v>301</v>
      </c>
      <c r="D5093" t="s">
        <v>6759</v>
      </c>
      <c r="E5093" s="117">
        <v>1655.9</v>
      </c>
    </row>
    <row r="5094" spans="1:5" x14ac:dyDescent="0.25">
      <c r="A5094" s="119" t="s">
        <v>5560</v>
      </c>
      <c r="B5094" s="119" t="s">
        <v>11208</v>
      </c>
      <c r="C5094" s="119" t="s">
        <v>301</v>
      </c>
      <c r="D5094" t="s">
        <v>6759</v>
      </c>
      <c r="E5094" s="117">
        <v>3250</v>
      </c>
    </row>
    <row r="5095" spans="1:5" x14ac:dyDescent="0.25">
      <c r="A5095" s="119" t="s">
        <v>5561</v>
      </c>
      <c r="B5095" s="119" t="s">
        <v>11209</v>
      </c>
      <c r="C5095" s="119" t="s">
        <v>301</v>
      </c>
      <c r="D5095" t="s">
        <v>49</v>
      </c>
      <c r="E5095" s="117">
        <v>1050</v>
      </c>
    </row>
    <row r="5096" spans="1:5" x14ac:dyDescent="0.25">
      <c r="A5096" s="119" t="s">
        <v>5562</v>
      </c>
      <c r="B5096" s="119" t="s">
        <v>5563</v>
      </c>
      <c r="C5096" s="119" t="s">
        <v>301</v>
      </c>
      <c r="D5096" t="s">
        <v>45</v>
      </c>
      <c r="E5096" s="117">
        <v>0</v>
      </c>
    </row>
    <row r="5097" spans="1:5" x14ac:dyDescent="0.25">
      <c r="A5097" s="119" t="s">
        <v>5564</v>
      </c>
      <c r="B5097" s="119" t="s">
        <v>11210</v>
      </c>
      <c r="C5097" s="119" t="s">
        <v>301</v>
      </c>
      <c r="D5097" t="s">
        <v>49</v>
      </c>
      <c r="E5097" s="117">
        <v>1300</v>
      </c>
    </row>
    <row r="5098" spans="1:5" x14ac:dyDescent="0.25">
      <c r="A5098" s="119" t="s">
        <v>5565</v>
      </c>
      <c r="B5098" s="119" t="s">
        <v>5563</v>
      </c>
      <c r="C5098" s="119" t="s">
        <v>301</v>
      </c>
      <c r="D5098" t="s">
        <v>6759</v>
      </c>
      <c r="E5098" s="117">
        <v>9999</v>
      </c>
    </row>
    <row r="5099" spans="1:5" x14ac:dyDescent="0.25">
      <c r="A5099" s="119" t="s">
        <v>5566</v>
      </c>
      <c r="B5099" s="119" t="s">
        <v>11211</v>
      </c>
      <c r="C5099" s="119" t="s">
        <v>301</v>
      </c>
      <c r="D5099" t="s">
        <v>49</v>
      </c>
      <c r="E5099" s="117">
        <v>650.54</v>
      </c>
    </row>
    <row r="5100" spans="1:5" x14ac:dyDescent="0.25">
      <c r="A5100" s="119" t="s">
        <v>11993</v>
      </c>
      <c r="B5100" s="119" t="s">
        <v>11619</v>
      </c>
      <c r="C5100" s="119" t="s">
        <v>301</v>
      </c>
      <c r="D5100" t="s">
        <v>45</v>
      </c>
      <c r="E5100" s="117">
        <v>9999</v>
      </c>
    </row>
    <row r="5101" spans="1:5" x14ac:dyDescent="0.25">
      <c r="A5101" s="119" t="s">
        <v>11618</v>
      </c>
      <c r="B5101" s="119" t="s">
        <v>11619</v>
      </c>
      <c r="C5101" s="119" t="s">
        <v>301</v>
      </c>
      <c r="D5101" t="s">
        <v>45</v>
      </c>
      <c r="E5101" s="117">
        <v>9999</v>
      </c>
    </row>
    <row r="5102" spans="1:5" x14ac:dyDescent="0.25">
      <c r="A5102" s="119" t="s">
        <v>11994</v>
      </c>
      <c r="B5102" s="119" t="s">
        <v>11619</v>
      </c>
      <c r="C5102" s="119" t="s">
        <v>301</v>
      </c>
      <c r="D5102" t="s">
        <v>45</v>
      </c>
      <c r="E5102" s="117">
        <v>9999</v>
      </c>
    </row>
    <row r="5103" spans="1:5" x14ac:dyDescent="0.25">
      <c r="A5103" s="119" t="s">
        <v>11620</v>
      </c>
      <c r="B5103" s="119" t="s">
        <v>11619</v>
      </c>
      <c r="C5103" s="119" t="s">
        <v>301</v>
      </c>
      <c r="D5103" t="s">
        <v>45</v>
      </c>
      <c r="E5103" s="117">
        <v>9999</v>
      </c>
    </row>
    <row r="5104" spans="1:5" x14ac:dyDescent="0.25">
      <c r="A5104" s="119" t="s">
        <v>5567</v>
      </c>
      <c r="B5104" s="119" t="s">
        <v>11212</v>
      </c>
      <c r="C5104" s="119" t="s">
        <v>301</v>
      </c>
      <c r="D5104" t="s">
        <v>45</v>
      </c>
      <c r="E5104" s="117">
        <v>0</v>
      </c>
    </row>
    <row r="5105" spans="1:5" x14ac:dyDescent="0.25">
      <c r="A5105" s="119" t="s">
        <v>5568</v>
      </c>
      <c r="B5105" s="119" t="s">
        <v>7790</v>
      </c>
      <c r="C5105" s="119" t="s">
        <v>301</v>
      </c>
      <c r="D5105" t="s">
        <v>45</v>
      </c>
      <c r="E5105" s="117">
        <v>270</v>
      </c>
    </row>
    <row r="5106" spans="1:5" x14ac:dyDescent="0.25">
      <c r="A5106" s="119" t="s">
        <v>5569</v>
      </c>
      <c r="B5106" s="119" t="s">
        <v>11213</v>
      </c>
      <c r="C5106" s="119" t="s">
        <v>301</v>
      </c>
      <c r="D5106" t="s">
        <v>6759</v>
      </c>
      <c r="E5106" s="117">
        <v>314.42</v>
      </c>
    </row>
    <row r="5107" spans="1:5" x14ac:dyDescent="0.25">
      <c r="A5107" s="119" t="s">
        <v>5570</v>
      </c>
      <c r="B5107" s="119" t="s">
        <v>11214</v>
      </c>
      <c r="C5107" s="119" t="s">
        <v>301</v>
      </c>
      <c r="D5107" t="s">
        <v>45</v>
      </c>
      <c r="E5107" s="117">
        <v>1087.98</v>
      </c>
    </row>
    <row r="5108" spans="1:5" x14ac:dyDescent="0.25">
      <c r="A5108" s="119" t="s">
        <v>5571</v>
      </c>
      <c r="B5108" s="119" t="s">
        <v>7791</v>
      </c>
      <c r="C5108" s="119" t="s">
        <v>301</v>
      </c>
      <c r="D5108" t="s">
        <v>6759</v>
      </c>
      <c r="E5108" s="117">
        <v>615.04999999999995</v>
      </c>
    </row>
    <row r="5109" spans="1:5" x14ac:dyDescent="0.25">
      <c r="A5109" s="119" t="s">
        <v>5572</v>
      </c>
      <c r="B5109" s="119" t="s">
        <v>5573</v>
      </c>
      <c r="C5109" s="119" t="s">
        <v>301</v>
      </c>
      <c r="D5109" t="s">
        <v>45</v>
      </c>
      <c r="E5109" s="117">
        <v>0</v>
      </c>
    </row>
    <row r="5110" spans="1:5" x14ac:dyDescent="0.25">
      <c r="A5110" s="119" t="s">
        <v>5574</v>
      </c>
      <c r="B5110" s="119" t="s">
        <v>7791</v>
      </c>
      <c r="C5110" s="119" t="s">
        <v>301</v>
      </c>
      <c r="D5110" t="s">
        <v>6759</v>
      </c>
      <c r="E5110" s="117">
        <v>615.04999999999995</v>
      </c>
    </row>
    <row r="5111" spans="1:5" x14ac:dyDescent="0.25">
      <c r="A5111" s="119" t="s">
        <v>5575</v>
      </c>
      <c r="B5111" s="119" t="s">
        <v>11215</v>
      </c>
      <c r="C5111" s="119" t="s">
        <v>301</v>
      </c>
      <c r="D5111" t="s">
        <v>45</v>
      </c>
      <c r="E5111" s="117">
        <v>0</v>
      </c>
    </row>
    <row r="5112" spans="1:5" x14ac:dyDescent="0.25">
      <c r="A5112" s="119" t="s">
        <v>5576</v>
      </c>
      <c r="B5112" s="119" t="s">
        <v>11216</v>
      </c>
      <c r="C5112" s="119" t="s">
        <v>301</v>
      </c>
      <c r="D5112" t="s">
        <v>45</v>
      </c>
      <c r="E5112" s="117">
        <v>265.14999999999998</v>
      </c>
    </row>
    <row r="5113" spans="1:5" x14ac:dyDescent="0.25">
      <c r="A5113" s="119" t="s">
        <v>5577</v>
      </c>
      <c r="B5113" s="119" t="s">
        <v>11217</v>
      </c>
      <c r="C5113" s="119" t="s">
        <v>301</v>
      </c>
      <c r="D5113" t="s">
        <v>49</v>
      </c>
      <c r="E5113" s="117">
        <v>1387.07</v>
      </c>
    </row>
    <row r="5114" spans="1:5" x14ac:dyDescent="0.25">
      <c r="A5114" s="119" t="s">
        <v>5578</v>
      </c>
      <c r="B5114" s="119" t="s">
        <v>5579</v>
      </c>
      <c r="C5114" s="119" t="s">
        <v>301</v>
      </c>
      <c r="D5114" t="s">
        <v>45</v>
      </c>
      <c r="E5114" s="117">
        <v>1387.07</v>
      </c>
    </row>
    <row r="5115" spans="1:5" x14ac:dyDescent="0.25">
      <c r="A5115" s="119" t="s">
        <v>5580</v>
      </c>
      <c r="B5115" s="119" t="s">
        <v>11218</v>
      </c>
      <c r="C5115" s="119" t="s">
        <v>301</v>
      </c>
      <c r="D5115" t="s">
        <v>49</v>
      </c>
      <c r="E5115" s="117">
        <v>719.53</v>
      </c>
    </row>
    <row r="5116" spans="1:5" x14ac:dyDescent="0.25">
      <c r="A5116" s="119" t="s">
        <v>5581</v>
      </c>
      <c r="B5116" s="119" t="s">
        <v>11219</v>
      </c>
      <c r="C5116" s="119" t="s">
        <v>301</v>
      </c>
      <c r="D5116" t="s">
        <v>45</v>
      </c>
      <c r="E5116" s="117">
        <v>0</v>
      </c>
    </row>
    <row r="5117" spans="1:5" x14ac:dyDescent="0.25">
      <c r="A5117" s="119" t="s">
        <v>5582</v>
      </c>
      <c r="B5117" s="119" t="s">
        <v>11220</v>
      </c>
      <c r="C5117" s="119" t="s">
        <v>301</v>
      </c>
      <c r="D5117" t="s">
        <v>49</v>
      </c>
      <c r="E5117" s="117">
        <v>1103.94</v>
      </c>
    </row>
    <row r="5118" spans="1:5" x14ac:dyDescent="0.25">
      <c r="A5118" s="119" t="s">
        <v>5583</v>
      </c>
      <c r="B5118" s="119" t="s">
        <v>11221</v>
      </c>
      <c r="C5118" s="119" t="s">
        <v>301</v>
      </c>
      <c r="D5118" t="s">
        <v>45</v>
      </c>
      <c r="E5118" s="117">
        <v>10254.25</v>
      </c>
    </row>
    <row r="5119" spans="1:5" x14ac:dyDescent="0.25">
      <c r="A5119" s="119" t="s">
        <v>5584</v>
      </c>
      <c r="B5119" s="119" t="s">
        <v>11222</v>
      </c>
      <c r="C5119" s="119" t="s">
        <v>301</v>
      </c>
      <c r="D5119" t="s">
        <v>45</v>
      </c>
      <c r="E5119" s="117">
        <v>1181.81</v>
      </c>
    </row>
    <row r="5120" spans="1:5" x14ac:dyDescent="0.25">
      <c r="A5120" s="119" t="s">
        <v>5585</v>
      </c>
      <c r="B5120" s="119" t="s">
        <v>11223</v>
      </c>
      <c r="C5120" s="119" t="s">
        <v>301</v>
      </c>
      <c r="D5120" t="s">
        <v>45</v>
      </c>
      <c r="E5120" s="117">
        <v>0</v>
      </c>
    </row>
    <row r="5121" spans="1:5" x14ac:dyDescent="0.25">
      <c r="A5121" s="119" t="s">
        <v>5586</v>
      </c>
      <c r="B5121" s="119" t="s">
        <v>11224</v>
      </c>
      <c r="C5121" s="119" t="s">
        <v>301</v>
      </c>
      <c r="D5121" t="s">
        <v>6759</v>
      </c>
      <c r="E5121" s="117">
        <v>3094.97</v>
      </c>
    </row>
    <row r="5122" spans="1:5" x14ac:dyDescent="0.25">
      <c r="A5122" s="119" t="s">
        <v>5587</v>
      </c>
      <c r="B5122" s="119" t="s">
        <v>11225</v>
      </c>
      <c r="C5122" s="119" t="s">
        <v>301</v>
      </c>
      <c r="D5122" t="s">
        <v>45</v>
      </c>
      <c r="E5122" s="117">
        <v>2660.29</v>
      </c>
    </row>
    <row r="5123" spans="1:5" x14ac:dyDescent="0.25">
      <c r="A5123" s="119" t="s">
        <v>5588</v>
      </c>
      <c r="B5123" s="119" t="s">
        <v>5589</v>
      </c>
      <c r="C5123" s="119" t="s">
        <v>301</v>
      </c>
      <c r="D5123" t="s">
        <v>45</v>
      </c>
      <c r="E5123" s="117">
        <v>0</v>
      </c>
    </row>
    <row r="5124" spans="1:5" x14ac:dyDescent="0.25">
      <c r="A5124" s="119" t="s">
        <v>5590</v>
      </c>
      <c r="B5124" s="119" t="s">
        <v>11226</v>
      </c>
      <c r="C5124" s="119" t="s">
        <v>301</v>
      </c>
      <c r="D5124" t="s">
        <v>45</v>
      </c>
      <c r="E5124" s="117">
        <v>0</v>
      </c>
    </row>
    <row r="5125" spans="1:5" x14ac:dyDescent="0.25">
      <c r="A5125" s="119" t="s">
        <v>5591</v>
      </c>
      <c r="B5125" s="119" t="s">
        <v>11227</v>
      </c>
      <c r="C5125" s="119" t="s">
        <v>301</v>
      </c>
      <c r="D5125" t="s">
        <v>45</v>
      </c>
      <c r="E5125" s="117">
        <v>0</v>
      </c>
    </row>
    <row r="5126" spans="1:5" x14ac:dyDescent="0.25">
      <c r="A5126" s="119" t="s">
        <v>5592</v>
      </c>
      <c r="B5126" s="119" t="s">
        <v>11228</v>
      </c>
      <c r="C5126" s="119" t="s">
        <v>301</v>
      </c>
      <c r="D5126" t="s">
        <v>49</v>
      </c>
      <c r="E5126" s="117">
        <v>398.2</v>
      </c>
    </row>
    <row r="5127" spans="1:5" x14ac:dyDescent="0.25">
      <c r="A5127" s="119" t="s">
        <v>5593</v>
      </c>
      <c r="B5127" s="119" t="s">
        <v>11229</v>
      </c>
      <c r="C5127" s="119" t="s">
        <v>301</v>
      </c>
      <c r="D5127" t="s">
        <v>45</v>
      </c>
      <c r="E5127" s="117">
        <v>516.48</v>
      </c>
    </row>
    <row r="5128" spans="1:5" x14ac:dyDescent="0.25">
      <c r="A5128" s="119" t="s">
        <v>5594</v>
      </c>
      <c r="B5128" s="119" t="s">
        <v>11230</v>
      </c>
      <c r="C5128" s="119" t="s">
        <v>301</v>
      </c>
      <c r="D5128" t="s">
        <v>49</v>
      </c>
      <c r="E5128" s="117">
        <v>886.11</v>
      </c>
    </row>
    <row r="5129" spans="1:5" x14ac:dyDescent="0.25">
      <c r="A5129" s="119" t="s">
        <v>5595</v>
      </c>
      <c r="B5129" s="119" t="s">
        <v>11231</v>
      </c>
      <c r="C5129" s="119" t="s">
        <v>301</v>
      </c>
      <c r="D5129" t="s">
        <v>45</v>
      </c>
      <c r="E5129" s="117">
        <v>0</v>
      </c>
    </row>
    <row r="5130" spans="1:5" x14ac:dyDescent="0.25">
      <c r="A5130" s="119" t="s">
        <v>5596</v>
      </c>
      <c r="B5130" s="119" t="s">
        <v>11232</v>
      </c>
      <c r="C5130" s="119" t="s">
        <v>301</v>
      </c>
      <c r="D5130" t="s">
        <v>49</v>
      </c>
      <c r="E5130" s="117">
        <v>925.53</v>
      </c>
    </row>
    <row r="5131" spans="1:5" x14ac:dyDescent="0.25">
      <c r="A5131" s="119" t="s">
        <v>5597</v>
      </c>
      <c r="B5131" s="119" t="s">
        <v>11233</v>
      </c>
      <c r="C5131" s="119" t="s">
        <v>301</v>
      </c>
      <c r="D5131" t="s">
        <v>6759</v>
      </c>
      <c r="E5131" s="117">
        <v>4927.3</v>
      </c>
    </row>
    <row r="5132" spans="1:5" x14ac:dyDescent="0.25">
      <c r="A5132" s="119" t="s">
        <v>8170</v>
      </c>
      <c r="B5132" s="119" t="s">
        <v>11234</v>
      </c>
      <c r="C5132" s="119" t="s">
        <v>301</v>
      </c>
      <c r="D5132" t="s">
        <v>45</v>
      </c>
      <c r="E5132" s="117">
        <v>2533.61</v>
      </c>
    </row>
    <row r="5133" spans="1:5" x14ac:dyDescent="0.25">
      <c r="A5133" s="119" t="s">
        <v>7792</v>
      </c>
      <c r="B5133" s="119" t="s">
        <v>7793</v>
      </c>
      <c r="C5133" s="119" t="s">
        <v>301</v>
      </c>
      <c r="D5133" t="s">
        <v>45</v>
      </c>
      <c r="E5133" s="117">
        <v>9999</v>
      </c>
    </row>
    <row r="5134" spans="1:5" x14ac:dyDescent="0.25">
      <c r="A5134" s="119" t="s">
        <v>5598</v>
      </c>
      <c r="B5134" s="119" t="s">
        <v>11235</v>
      </c>
      <c r="C5134" s="119" t="s">
        <v>301</v>
      </c>
      <c r="D5134" t="s">
        <v>45</v>
      </c>
      <c r="E5134" s="117">
        <v>2956.98</v>
      </c>
    </row>
    <row r="5135" spans="1:5" x14ac:dyDescent="0.25">
      <c r="A5135" s="119" t="s">
        <v>5599</v>
      </c>
      <c r="B5135" s="119" t="s">
        <v>4524</v>
      </c>
      <c r="C5135" s="119" t="s">
        <v>301</v>
      </c>
      <c r="D5135" t="s">
        <v>45</v>
      </c>
      <c r="E5135" s="117">
        <v>0</v>
      </c>
    </row>
    <row r="5136" spans="1:5" x14ac:dyDescent="0.25">
      <c r="A5136" s="119" t="s">
        <v>5600</v>
      </c>
      <c r="B5136" s="119" t="s">
        <v>11236</v>
      </c>
      <c r="C5136" s="119" t="s">
        <v>301</v>
      </c>
      <c r="D5136" t="s">
        <v>45</v>
      </c>
      <c r="E5136" s="117">
        <v>5563.95</v>
      </c>
    </row>
    <row r="5137" spans="1:5" x14ac:dyDescent="0.25">
      <c r="A5137" s="119" t="s">
        <v>5601</v>
      </c>
      <c r="B5137" s="119" t="s">
        <v>11236</v>
      </c>
      <c r="C5137" s="119" t="s">
        <v>301</v>
      </c>
      <c r="D5137" t="s">
        <v>45</v>
      </c>
      <c r="E5137" s="117">
        <v>5563.95</v>
      </c>
    </row>
    <row r="5138" spans="1:5" x14ac:dyDescent="0.25">
      <c r="A5138" s="119" t="s">
        <v>5602</v>
      </c>
      <c r="B5138" s="119" t="s">
        <v>11237</v>
      </c>
      <c r="C5138" s="119" t="s">
        <v>301</v>
      </c>
      <c r="D5138" t="s">
        <v>49</v>
      </c>
      <c r="E5138" s="117">
        <v>5999</v>
      </c>
    </row>
    <row r="5139" spans="1:5" x14ac:dyDescent="0.25">
      <c r="A5139" s="119" t="s">
        <v>5603</v>
      </c>
      <c r="B5139" s="119" t="s">
        <v>4524</v>
      </c>
      <c r="C5139" s="119" t="s">
        <v>301</v>
      </c>
      <c r="D5139" t="s">
        <v>45</v>
      </c>
      <c r="E5139" s="117">
        <v>0</v>
      </c>
    </row>
    <row r="5140" spans="1:5" x14ac:dyDescent="0.25">
      <c r="A5140" s="119" t="s">
        <v>5604</v>
      </c>
      <c r="B5140" s="119" t="s">
        <v>11238</v>
      </c>
      <c r="C5140" s="119" t="s">
        <v>301</v>
      </c>
      <c r="D5140" t="s">
        <v>45</v>
      </c>
      <c r="E5140" s="117">
        <v>5773.95</v>
      </c>
    </row>
    <row r="5141" spans="1:5" x14ac:dyDescent="0.25">
      <c r="A5141" s="119" t="s">
        <v>5605</v>
      </c>
      <c r="B5141" s="119" t="s">
        <v>11239</v>
      </c>
      <c r="C5141" s="119" t="s">
        <v>301</v>
      </c>
      <c r="D5141" t="s">
        <v>45</v>
      </c>
      <c r="E5141" s="117">
        <v>0</v>
      </c>
    </row>
    <row r="5142" spans="1:5" x14ac:dyDescent="0.25">
      <c r="A5142" s="119" t="s">
        <v>5606</v>
      </c>
      <c r="B5142" s="119" t="s">
        <v>11240</v>
      </c>
      <c r="C5142" s="119" t="s">
        <v>301</v>
      </c>
      <c r="D5142" t="s">
        <v>6759</v>
      </c>
      <c r="E5142" s="117">
        <v>2000</v>
      </c>
    </row>
    <row r="5143" spans="1:5" x14ac:dyDescent="0.25">
      <c r="A5143" s="119" t="s">
        <v>5607</v>
      </c>
      <c r="B5143" s="119" t="s">
        <v>4510</v>
      </c>
      <c r="C5143" s="119" t="s">
        <v>301</v>
      </c>
      <c r="D5143" t="s">
        <v>6759</v>
      </c>
      <c r="E5143" s="117">
        <v>999999</v>
      </c>
    </row>
    <row r="5144" spans="1:5" x14ac:dyDescent="0.25">
      <c r="A5144" s="119" t="s">
        <v>5608</v>
      </c>
      <c r="B5144" s="119" t="s">
        <v>5609</v>
      </c>
      <c r="C5144" s="119" t="s">
        <v>301</v>
      </c>
      <c r="D5144" t="s">
        <v>45</v>
      </c>
      <c r="E5144" s="117">
        <v>5000</v>
      </c>
    </row>
    <row r="5145" spans="1:5" x14ac:dyDescent="0.25">
      <c r="A5145" s="119" t="s">
        <v>5610</v>
      </c>
      <c r="B5145" s="119" t="s">
        <v>4524</v>
      </c>
      <c r="C5145" s="119" t="s">
        <v>301</v>
      </c>
      <c r="D5145" t="s">
        <v>6759</v>
      </c>
      <c r="E5145" s="117">
        <v>999999</v>
      </c>
    </row>
    <row r="5146" spans="1:5" x14ac:dyDescent="0.25">
      <c r="A5146" s="119" t="s">
        <v>5611</v>
      </c>
      <c r="B5146" s="119" t="s">
        <v>11241</v>
      </c>
      <c r="C5146" s="119" t="s">
        <v>301</v>
      </c>
      <c r="D5146" t="s">
        <v>6759</v>
      </c>
      <c r="E5146" s="117">
        <v>5025.87</v>
      </c>
    </row>
    <row r="5147" spans="1:5" x14ac:dyDescent="0.25">
      <c r="A5147" s="119" t="s">
        <v>5613</v>
      </c>
      <c r="B5147" s="119" t="s">
        <v>5612</v>
      </c>
      <c r="C5147" s="119" t="s">
        <v>301</v>
      </c>
      <c r="D5147" t="s">
        <v>45</v>
      </c>
      <c r="E5147" s="117">
        <v>0</v>
      </c>
    </row>
    <row r="5148" spans="1:5" x14ac:dyDescent="0.25">
      <c r="A5148" s="119" t="s">
        <v>5614</v>
      </c>
      <c r="B5148" s="119" t="s">
        <v>11242</v>
      </c>
      <c r="C5148" s="119" t="s">
        <v>301</v>
      </c>
      <c r="D5148" t="s">
        <v>6759</v>
      </c>
      <c r="E5148" s="117">
        <v>4533.04</v>
      </c>
    </row>
    <row r="5149" spans="1:5" x14ac:dyDescent="0.25">
      <c r="A5149" s="119" t="s">
        <v>5615</v>
      </c>
      <c r="B5149" s="119" t="s">
        <v>5612</v>
      </c>
      <c r="C5149" s="119" t="s">
        <v>301</v>
      </c>
      <c r="D5149" t="s">
        <v>45</v>
      </c>
      <c r="E5149" s="117">
        <v>5025.87</v>
      </c>
    </row>
    <row r="5150" spans="1:5" x14ac:dyDescent="0.25">
      <c r="A5150" s="119" t="s">
        <v>5616</v>
      </c>
      <c r="B5150" s="119" t="s">
        <v>11243</v>
      </c>
      <c r="C5150" s="119" t="s">
        <v>301</v>
      </c>
      <c r="D5150" t="s">
        <v>45</v>
      </c>
      <c r="E5150" s="117">
        <v>0</v>
      </c>
    </row>
    <row r="5151" spans="1:5" x14ac:dyDescent="0.25">
      <c r="A5151" s="119" t="s">
        <v>5617</v>
      </c>
      <c r="B5151" s="119" t="s">
        <v>11244</v>
      </c>
      <c r="C5151" s="119" t="s">
        <v>301</v>
      </c>
      <c r="D5151" t="s">
        <v>45</v>
      </c>
      <c r="E5151" s="117">
        <v>0</v>
      </c>
    </row>
    <row r="5152" spans="1:5" x14ac:dyDescent="0.25">
      <c r="A5152" s="119" t="s">
        <v>5618</v>
      </c>
      <c r="B5152" s="119" t="s">
        <v>11245</v>
      </c>
      <c r="C5152" s="119" t="s">
        <v>301</v>
      </c>
      <c r="D5152" t="s">
        <v>45</v>
      </c>
      <c r="E5152" s="117">
        <v>0</v>
      </c>
    </row>
    <row r="5153" spans="1:5" x14ac:dyDescent="0.25">
      <c r="A5153" s="119" t="s">
        <v>5619</v>
      </c>
      <c r="B5153" s="119" t="s">
        <v>11246</v>
      </c>
      <c r="C5153" s="119" t="s">
        <v>301</v>
      </c>
      <c r="D5153" t="s">
        <v>49</v>
      </c>
      <c r="E5153" s="117">
        <v>2365.58</v>
      </c>
    </row>
    <row r="5154" spans="1:5" x14ac:dyDescent="0.25">
      <c r="A5154" s="119" t="s">
        <v>5620</v>
      </c>
      <c r="B5154" s="119" t="s">
        <v>11247</v>
      </c>
      <c r="C5154" s="119" t="s">
        <v>301</v>
      </c>
      <c r="D5154" t="s">
        <v>45</v>
      </c>
      <c r="E5154" s="117">
        <v>0</v>
      </c>
    </row>
    <row r="5155" spans="1:5" x14ac:dyDescent="0.25">
      <c r="A5155" s="119" t="s">
        <v>5621</v>
      </c>
      <c r="B5155" s="119" t="s">
        <v>11248</v>
      </c>
      <c r="C5155" s="119" t="s">
        <v>301</v>
      </c>
      <c r="D5155" t="s">
        <v>51</v>
      </c>
      <c r="E5155" s="117">
        <v>1488.34</v>
      </c>
    </row>
    <row r="5156" spans="1:5" x14ac:dyDescent="0.25">
      <c r="A5156" s="119" t="s">
        <v>5622</v>
      </c>
      <c r="B5156" s="119" t="s">
        <v>11249</v>
      </c>
      <c r="C5156" s="119" t="s">
        <v>301</v>
      </c>
      <c r="D5156" t="s">
        <v>45</v>
      </c>
      <c r="E5156" s="117">
        <v>1493.27</v>
      </c>
    </row>
    <row r="5157" spans="1:5" x14ac:dyDescent="0.25">
      <c r="A5157" s="119" t="s">
        <v>5623</v>
      </c>
      <c r="B5157" s="119" t="s">
        <v>11250</v>
      </c>
      <c r="C5157" s="119" t="s">
        <v>301</v>
      </c>
      <c r="D5157" t="s">
        <v>6759</v>
      </c>
      <c r="E5157" s="117">
        <v>1407.14</v>
      </c>
    </row>
    <row r="5158" spans="1:5" x14ac:dyDescent="0.25">
      <c r="A5158" s="119" t="s">
        <v>5624</v>
      </c>
      <c r="B5158" s="119" t="s">
        <v>11251</v>
      </c>
      <c r="C5158" s="119" t="s">
        <v>301</v>
      </c>
      <c r="D5158" t="s">
        <v>45</v>
      </c>
      <c r="E5158" s="117">
        <v>0</v>
      </c>
    </row>
    <row r="5159" spans="1:5" x14ac:dyDescent="0.25">
      <c r="A5159" s="119" t="s">
        <v>5625</v>
      </c>
      <c r="B5159" s="119" t="s">
        <v>11252</v>
      </c>
      <c r="C5159" s="119" t="s">
        <v>301</v>
      </c>
      <c r="D5159" t="s">
        <v>45</v>
      </c>
      <c r="E5159" s="117">
        <v>3489.23</v>
      </c>
    </row>
    <row r="5160" spans="1:5" x14ac:dyDescent="0.25">
      <c r="A5160" s="119" t="s">
        <v>5626</v>
      </c>
      <c r="B5160" s="119" t="s">
        <v>11253</v>
      </c>
      <c r="C5160" s="119" t="s">
        <v>301</v>
      </c>
      <c r="D5160" t="s">
        <v>45</v>
      </c>
      <c r="E5160" s="117">
        <v>2365.58</v>
      </c>
    </row>
    <row r="5161" spans="1:5" x14ac:dyDescent="0.25">
      <c r="A5161" s="119" t="s">
        <v>5627</v>
      </c>
      <c r="B5161" s="119" t="s">
        <v>11254</v>
      </c>
      <c r="C5161" s="119" t="s">
        <v>301</v>
      </c>
      <c r="D5161" t="s">
        <v>45</v>
      </c>
      <c r="E5161" s="117">
        <v>0</v>
      </c>
    </row>
    <row r="5162" spans="1:5" x14ac:dyDescent="0.25">
      <c r="A5162" s="119" t="s">
        <v>5628</v>
      </c>
      <c r="B5162" s="119" t="s">
        <v>11255</v>
      </c>
      <c r="C5162" s="119" t="s">
        <v>301</v>
      </c>
      <c r="D5162" t="s">
        <v>45</v>
      </c>
      <c r="E5162" s="117">
        <v>0</v>
      </c>
    </row>
    <row r="5163" spans="1:5" x14ac:dyDescent="0.25">
      <c r="A5163" s="119" t="s">
        <v>5629</v>
      </c>
      <c r="B5163" s="119" t="s">
        <v>11256</v>
      </c>
      <c r="C5163" s="119" t="s">
        <v>301</v>
      </c>
      <c r="D5163" t="s">
        <v>51</v>
      </c>
      <c r="E5163" s="117">
        <v>807.25</v>
      </c>
    </row>
    <row r="5164" spans="1:5" x14ac:dyDescent="0.25">
      <c r="A5164" s="119" t="s">
        <v>5630</v>
      </c>
      <c r="B5164" s="119" t="s">
        <v>11254</v>
      </c>
      <c r="C5164" s="119" t="s">
        <v>301</v>
      </c>
      <c r="D5164" t="s">
        <v>45</v>
      </c>
      <c r="E5164" s="117">
        <v>0</v>
      </c>
    </row>
    <row r="5165" spans="1:5" x14ac:dyDescent="0.25">
      <c r="A5165" s="119" t="s">
        <v>5631</v>
      </c>
      <c r="B5165" s="119" t="s">
        <v>11257</v>
      </c>
      <c r="C5165" s="119" t="s">
        <v>301</v>
      </c>
      <c r="D5165" t="s">
        <v>45</v>
      </c>
      <c r="E5165" s="117">
        <v>0</v>
      </c>
    </row>
    <row r="5166" spans="1:5" x14ac:dyDescent="0.25">
      <c r="A5166" s="119" t="s">
        <v>5632</v>
      </c>
      <c r="B5166" s="119" t="s">
        <v>11258</v>
      </c>
      <c r="C5166" s="119" t="s">
        <v>66</v>
      </c>
      <c r="D5166" t="s">
        <v>6759</v>
      </c>
      <c r="E5166" s="117">
        <v>45</v>
      </c>
    </row>
    <row r="5167" spans="1:5" x14ac:dyDescent="0.25">
      <c r="A5167" s="119" t="s">
        <v>5633</v>
      </c>
      <c r="B5167" s="119" t="s">
        <v>11259</v>
      </c>
      <c r="C5167" s="119" t="s">
        <v>66</v>
      </c>
      <c r="D5167" t="s">
        <v>6759</v>
      </c>
      <c r="E5167" s="117">
        <v>70</v>
      </c>
    </row>
    <row r="5168" spans="1:5" x14ac:dyDescent="0.25">
      <c r="A5168" s="119" t="s">
        <v>5634</v>
      </c>
      <c r="B5168" s="119" t="s">
        <v>11260</v>
      </c>
      <c r="C5168" s="119" t="s">
        <v>66</v>
      </c>
      <c r="D5168" t="s">
        <v>6759</v>
      </c>
      <c r="E5168" s="117">
        <v>50</v>
      </c>
    </row>
    <row r="5169" spans="1:5" x14ac:dyDescent="0.25">
      <c r="A5169" s="119" t="s">
        <v>5635</v>
      </c>
      <c r="B5169" s="119" t="s">
        <v>11261</v>
      </c>
      <c r="C5169" s="119" t="s">
        <v>66</v>
      </c>
      <c r="D5169" t="s">
        <v>6759</v>
      </c>
      <c r="E5169" s="117">
        <v>30</v>
      </c>
    </row>
    <row r="5170" spans="1:5" x14ac:dyDescent="0.25">
      <c r="A5170" s="119" t="s">
        <v>5636</v>
      </c>
      <c r="B5170" s="119" t="s">
        <v>11262</v>
      </c>
      <c r="C5170" s="119" t="s">
        <v>301</v>
      </c>
      <c r="D5170" t="s">
        <v>51</v>
      </c>
      <c r="E5170" s="117">
        <v>275.67</v>
      </c>
    </row>
    <row r="5171" spans="1:5" x14ac:dyDescent="0.25">
      <c r="A5171" s="119" t="s">
        <v>5637</v>
      </c>
      <c r="B5171" s="119" t="s">
        <v>11263</v>
      </c>
      <c r="C5171" s="119" t="s">
        <v>301</v>
      </c>
      <c r="D5171" t="s">
        <v>45</v>
      </c>
      <c r="E5171" s="117">
        <v>0</v>
      </c>
    </row>
    <row r="5172" spans="1:5" x14ac:dyDescent="0.25">
      <c r="A5172" s="119" t="s">
        <v>5638</v>
      </c>
      <c r="B5172" s="119" t="s">
        <v>11264</v>
      </c>
      <c r="C5172" s="119" t="s">
        <v>301</v>
      </c>
      <c r="D5172" t="s">
        <v>45</v>
      </c>
      <c r="E5172" s="117">
        <v>0</v>
      </c>
    </row>
    <row r="5173" spans="1:5" x14ac:dyDescent="0.25">
      <c r="A5173" s="119" t="s">
        <v>5639</v>
      </c>
      <c r="B5173" s="119" t="s">
        <v>11265</v>
      </c>
      <c r="C5173" s="119" t="s">
        <v>301</v>
      </c>
      <c r="D5173" t="s">
        <v>51</v>
      </c>
      <c r="E5173" s="117">
        <v>181.36</v>
      </c>
    </row>
    <row r="5174" spans="1:5" x14ac:dyDescent="0.25">
      <c r="A5174" s="119" t="s">
        <v>5640</v>
      </c>
      <c r="B5174" s="119" t="s">
        <v>11266</v>
      </c>
      <c r="C5174" s="119" t="s">
        <v>301</v>
      </c>
      <c r="D5174" t="s">
        <v>51</v>
      </c>
      <c r="E5174" s="117">
        <v>194.06</v>
      </c>
    </row>
    <row r="5175" spans="1:5" x14ac:dyDescent="0.25">
      <c r="A5175" s="119" t="s">
        <v>5641</v>
      </c>
      <c r="B5175" s="119" t="s">
        <v>11267</v>
      </c>
      <c r="C5175" s="119" t="s">
        <v>301</v>
      </c>
      <c r="D5175" t="s">
        <v>45</v>
      </c>
      <c r="E5175" s="117">
        <v>0</v>
      </c>
    </row>
    <row r="5176" spans="1:5" x14ac:dyDescent="0.25">
      <c r="A5176" s="119" t="s">
        <v>5642</v>
      </c>
      <c r="B5176" s="119" t="s">
        <v>11268</v>
      </c>
      <c r="C5176" s="119" t="s">
        <v>301</v>
      </c>
      <c r="D5176" t="s">
        <v>45</v>
      </c>
      <c r="E5176" s="117">
        <v>0</v>
      </c>
    </row>
    <row r="5177" spans="1:5" x14ac:dyDescent="0.25">
      <c r="A5177" s="119" t="s">
        <v>5643</v>
      </c>
      <c r="B5177" s="119" t="s">
        <v>11269</v>
      </c>
      <c r="C5177" s="119" t="s">
        <v>301</v>
      </c>
      <c r="D5177" t="s">
        <v>45</v>
      </c>
      <c r="E5177" s="117">
        <v>425.29</v>
      </c>
    </row>
    <row r="5178" spans="1:5" x14ac:dyDescent="0.25">
      <c r="A5178" s="119" t="s">
        <v>5644</v>
      </c>
      <c r="B5178" s="119" t="s">
        <v>11270</v>
      </c>
      <c r="C5178" s="119" t="s">
        <v>301</v>
      </c>
      <c r="D5178" t="s">
        <v>45</v>
      </c>
      <c r="E5178" s="117">
        <v>462.27</v>
      </c>
    </row>
    <row r="5179" spans="1:5" x14ac:dyDescent="0.25">
      <c r="A5179" s="119" t="s">
        <v>5645</v>
      </c>
      <c r="B5179" s="119" t="s">
        <v>11271</v>
      </c>
      <c r="C5179" s="119" t="s">
        <v>301</v>
      </c>
      <c r="D5179" t="s">
        <v>6760</v>
      </c>
      <c r="E5179" s="117">
        <v>430.83</v>
      </c>
    </row>
    <row r="5180" spans="1:5" x14ac:dyDescent="0.25">
      <c r="A5180" s="119" t="s">
        <v>5646</v>
      </c>
      <c r="B5180" s="119" t="s">
        <v>11272</v>
      </c>
      <c r="C5180" s="119" t="s">
        <v>301</v>
      </c>
      <c r="D5180" t="s">
        <v>45</v>
      </c>
      <c r="E5180" s="117">
        <v>463.26</v>
      </c>
    </row>
    <row r="5181" spans="1:5" x14ac:dyDescent="0.25">
      <c r="A5181" s="119" t="s">
        <v>5647</v>
      </c>
      <c r="B5181" s="119" t="s">
        <v>11273</v>
      </c>
      <c r="C5181" s="119" t="s">
        <v>301</v>
      </c>
      <c r="D5181" t="s">
        <v>6759</v>
      </c>
      <c r="E5181" s="117">
        <v>631.02</v>
      </c>
    </row>
    <row r="5182" spans="1:5" x14ac:dyDescent="0.25">
      <c r="A5182" s="119" t="s">
        <v>5648</v>
      </c>
      <c r="B5182" s="119" t="s">
        <v>11274</v>
      </c>
      <c r="C5182" s="119" t="s">
        <v>301</v>
      </c>
      <c r="D5182" t="s">
        <v>49</v>
      </c>
      <c r="E5182" s="117">
        <v>355.82</v>
      </c>
    </row>
    <row r="5183" spans="1:5" x14ac:dyDescent="0.25">
      <c r="A5183" s="119" t="s">
        <v>5649</v>
      </c>
      <c r="B5183" s="119" t="s">
        <v>11275</v>
      </c>
      <c r="C5183" s="119" t="s">
        <v>301</v>
      </c>
      <c r="D5183" t="s">
        <v>45</v>
      </c>
      <c r="E5183" s="117">
        <v>0</v>
      </c>
    </row>
    <row r="5184" spans="1:5" x14ac:dyDescent="0.25">
      <c r="A5184" s="119" t="s">
        <v>5650</v>
      </c>
      <c r="B5184" s="119" t="s">
        <v>5651</v>
      </c>
      <c r="C5184" s="119" t="s">
        <v>301</v>
      </c>
      <c r="D5184" t="s">
        <v>45</v>
      </c>
      <c r="E5184" s="117">
        <v>0</v>
      </c>
    </row>
    <row r="5185" spans="1:5" x14ac:dyDescent="0.25">
      <c r="A5185" s="119" t="s">
        <v>5652</v>
      </c>
      <c r="B5185" s="119" t="s">
        <v>11927</v>
      </c>
      <c r="C5185" s="119" t="s">
        <v>301</v>
      </c>
      <c r="D5185" t="s">
        <v>6759</v>
      </c>
      <c r="E5185" s="117">
        <v>1300</v>
      </c>
    </row>
    <row r="5186" spans="1:5" x14ac:dyDescent="0.25">
      <c r="A5186" s="119" t="s">
        <v>5653</v>
      </c>
      <c r="B5186" s="119" t="s">
        <v>11276</v>
      </c>
      <c r="C5186" s="119" t="s">
        <v>301</v>
      </c>
      <c r="D5186" t="s">
        <v>45</v>
      </c>
      <c r="E5186" s="117">
        <v>0</v>
      </c>
    </row>
    <row r="5187" spans="1:5" x14ac:dyDescent="0.25">
      <c r="A5187" s="119" t="s">
        <v>5654</v>
      </c>
      <c r="B5187" s="119" t="s">
        <v>11277</v>
      </c>
      <c r="C5187" s="119" t="s">
        <v>301</v>
      </c>
      <c r="D5187" t="s">
        <v>45</v>
      </c>
      <c r="E5187" s="117">
        <v>0</v>
      </c>
    </row>
    <row r="5188" spans="1:5" x14ac:dyDescent="0.25">
      <c r="A5188" s="119" t="s">
        <v>5655</v>
      </c>
      <c r="B5188" s="119" t="s">
        <v>11278</v>
      </c>
      <c r="C5188" s="119" t="s">
        <v>301</v>
      </c>
      <c r="D5188" t="s">
        <v>51</v>
      </c>
      <c r="E5188" s="117">
        <v>612.09</v>
      </c>
    </row>
    <row r="5189" spans="1:5" x14ac:dyDescent="0.25">
      <c r="A5189" s="119" t="s">
        <v>5656</v>
      </c>
      <c r="B5189" s="119" t="s">
        <v>11279</v>
      </c>
      <c r="C5189" s="119" t="s">
        <v>301</v>
      </c>
      <c r="D5189" t="s">
        <v>45</v>
      </c>
      <c r="E5189" s="117">
        <v>0</v>
      </c>
    </row>
    <row r="5190" spans="1:5" x14ac:dyDescent="0.25">
      <c r="A5190" s="119" t="s">
        <v>5657</v>
      </c>
      <c r="B5190" s="119" t="s">
        <v>11280</v>
      </c>
      <c r="C5190" s="119" t="s">
        <v>301</v>
      </c>
      <c r="D5190" t="s">
        <v>45</v>
      </c>
      <c r="E5190" s="117">
        <v>0</v>
      </c>
    </row>
    <row r="5191" spans="1:5" x14ac:dyDescent="0.25">
      <c r="A5191" s="119" t="s">
        <v>5658</v>
      </c>
      <c r="B5191" s="119" t="s">
        <v>11281</v>
      </c>
      <c r="C5191" s="119" t="s">
        <v>301</v>
      </c>
      <c r="D5191" t="s">
        <v>49</v>
      </c>
      <c r="E5191" s="117">
        <v>729.97</v>
      </c>
    </row>
    <row r="5192" spans="1:5" x14ac:dyDescent="0.25">
      <c r="A5192" s="119" t="s">
        <v>5659</v>
      </c>
      <c r="B5192" s="119" t="s">
        <v>11282</v>
      </c>
      <c r="C5192" s="119" t="s">
        <v>301</v>
      </c>
      <c r="D5192" t="s">
        <v>45</v>
      </c>
      <c r="E5192" s="117">
        <v>0</v>
      </c>
    </row>
    <row r="5193" spans="1:5" x14ac:dyDescent="0.25">
      <c r="A5193" s="119" t="s">
        <v>5660</v>
      </c>
      <c r="B5193" s="119" t="s">
        <v>11283</v>
      </c>
      <c r="C5193" s="119" t="s">
        <v>301</v>
      </c>
      <c r="D5193" t="s">
        <v>51</v>
      </c>
      <c r="E5193" s="117">
        <v>385.4</v>
      </c>
    </row>
    <row r="5194" spans="1:5" x14ac:dyDescent="0.25">
      <c r="A5194" s="119" t="s">
        <v>5661</v>
      </c>
      <c r="B5194" s="119" t="s">
        <v>11284</v>
      </c>
      <c r="C5194" s="119" t="s">
        <v>301</v>
      </c>
      <c r="D5194" t="s">
        <v>45</v>
      </c>
      <c r="E5194" s="117">
        <v>0</v>
      </c>
    </row>
    <row r="5195" spans="1:5" x14ac:dyDescent="0.25">
      <c r="A5195" s="119" t="s">
        <v>5662</v>
      </c>
      <c r="B5195" s="119" t="s">
        <v>11285</v>
      </c>
      <c r="C5195" s="119" t="s">
        <v>301</v>
      </c>
      <c r="D5195" t="s">
        <v>51</v>
      </c>
      <c r="E5195" s="117">
        <v>314.92</v>
      </c>
    </row>
    <row r="5196" spans="1:5" x14ac:dyDescent="0.25">
      <c r="A5196" s="119" t="s">
        <v>5663</v>
      </c>
      <c r="B5196" s="119" t="s">
        <v>11286</v>
      </c>
      <c r="C5196" s="119" t="s">
        <v>301</v>
      </c>
      <c r="D5196" t="s">
        <v>45</v>
      </c>
      <c r="E5196" s="117">
        <v>0</v>
      </c>
    </row>
    <row r="5197" spans="1:5" x14ac:dyDescent="0.25">
      <c r="A5197" s="119" t="s">
        <v>5664</v>
      </c>
      <c r="B5197" s="119" t="s">
        <v>11287</v>
      </c>
      <c r="C5197" s="119" t="s">
        <v>301</v>
      </c>
      <c r="D5197" t="s">
        <v>51</v>
      </c>
      <c r="E5197" s="117">
        <v>186.34</v>
      </c>
    </row>
    <row r="5198" spans="1:5" x14ac:dyDescent="0.25">
      <c r="A5198" s="119" t="s">
        <v>5665</v>
      </c>
      <c r="B5198" s="119" t="s">
        <v>11288</v>
      </c>
      <c r="C5198" s="119" t="s">
        <v>301</v>
      </c>
      <c r="D5198" t="s">
        <v>45</v>
      </c>
      <c r="E5198" s="117">
        <v>0</v>
      </c>
    </row>
    <row r="5199" spans="1:5" x14ac:dyDescent="0.25">
      <c r="A5199" s="119" t="s">
        <v>5666</v>
      </c>
      <c r="B5199" s="119" t="s">
        <v>11289</v>
      </c>
      <c r="C5199" s="119" t="s">
        <v>301</v>
      </c>
      <c r="D5199" t="s">
        <v>51</v>
      </c>
      <c r="E5199" s="117">
        <v>271.13</v>
      </c>
    </row>
    <row r="5200" spans="1:5" x14ac:dyDescent="0.25">
      <c r="A5200" s="119" t="s">
        <v>5667</v>
      </c>
      <c r="B5200" s="119" t="s">
        <v>11290</v>
      </c>
      <c r="C5200" s="119" t="s">
        <v>301</v>
      </c>
      <c r="D5200" t="s">
        <v>49</v>
      </c>
      <c r="E5200" s="117">
        <v>262.06</v>
      </c>
    </row>
    <row r="5201" spans="1:5" x14ac:dyDescent="0.25">
      <c r="A5201" s="119" t="s">
        <v>5668</v>
      </c>
      <c r="B5201" s="119" t="s">
        <v>11291</v>
      </c>
      <c r="C5201" s="119" t="s">
        <v>301</v>
      </c>
      <c r="D5201" t="s">
        <v>45</v>
      </c>
      <c r="E5201" s="117">
        <v>0</v>
      </c>
    </row>
    <row r="5202" spans="1:5" x14ac:dyDescent="0.25">
      <c r="A5202" s="119" t="s">
        <v>5670</v>
      </c>
      <c r="B5202" s="119" t="s">
        <v>11290</v>
      </c>
      <c r="C5202" s="119" t="s">
        <v>301</v>
      </c>
      <c r="D5202" t="s">
        <v>49</v>
      </c>
      <c r="E5202" s="117">
        <v>388.6</v>
      </c>
    </row>
    <row r="5203" spans="1:5" x14ac:dyDescent="0.25">
      <c r="A5203" s="119" t="s">
        <v>5671</v>
      </c>
      <c r="B5203" s="119" t="s">
        <v>5669</v>
      </c>
      <c r="C5203" s="119" t="s">
        <v>301</v>
      </c>
      <c r="D5203" t="s">
        <v>45</v>
      </c>
      <c r="E5203" s="117">
        <v>380</v>
      </c>
    </row>
    <row r="5204" spans="1:5" x14ac:dyDescent="0.25">
      <c r="A5204" s="119" t="s">
        <v>5672</v>
      </c>
      <c r="B5204" s="119" t="s">
        <v>11292</v>
      </c>
      <c r="C5204" s="119" t="s">
        <v>301</v>
      </c>
      <c r="D5204" t="s">
        <v>45</v>
      </c>
      <c r="E5204" s="117">
        <v>505.65</v>
      </c>
    </row>
    <row r="5205" spans="1:5" x14ac:dyDescent="0.25">
      <c r="A5205" s="119" t="s">
        <v>5673</v>
      </c>
      <c r="B5205" s="119" t="s">
        <v>11293</v>
      </c>
      <c r="C5205" s="119" t="s">
        <v>301</v>
      </c>
      <c r="D5205" t="s">
        <v>45</v>
      </c>
      <c r="E5205" s="117">
        <v>0</v>
      </c>
    </row>
    <row r="5206" spans="1:5" x14ac:dyDescent="0.25">
      <c r="A5206" s="119" t="s">
        <v>5674</v>
      </c>
      <c r="B5206" s="119" t="s">
        <v>11294</v>
      </c>
      <c r="C5206" s="119" t="s">
        <v>301</v>
      </c>
      <c r="D5206" t="s">
        <v>6760</v>
      </c>
      <c r="E5206" s="117">
        <v>335.22</v>
      </c>
    </row>
    <row r="5207" spans="1:5" x14ac:dyDescent="0.25">
      <c r="A5207" s="119" t="s">
        <v>5675</v>
      </c>
      <c r="B5207" s="119" t="s">
        <v>11295</v>
      </c>
      <c r="C5207" s="119" t="s">
        <v>301</v>
      </c>
      <c r="D5207" t="s">
        <v>45</v>
      </c>
      <c r="E5207" s="117">
        <v>0</v>
      </c>
    </row>
    <row r="5208" spans="1:5" x14ac:dyDescent="0.25">
      <c r="A5208" s="119" t="s">
        <v>5676</v>
      </c>
      <c r="B5208" s="119" t="s">
        <v>11296</v>
      </c>
      <c r="C5208" s="119" t="s">
        <v>301</v>
      </c>
      <c r="D5208" t="s">
        <v>45</v>
      </c>
      <c r="E5208" s="117">
        <v>0</v>
      </c>
    </row>
    <row r="5209" spans="1:5" x14ac:dyDescent="0.25">
      <c r="A5209" s="119" t="s">
        <v>5677</v>
      </c>
      <c r="B5209" s="119" t="s">
        <v>11297</v>
      </c>
      <c r="C5209" s="119" t="s">
        <v>301</v>
      </c>
      <c r="D5209" t="s">
        <v>45</v>
      </c>
      <c r="E5209" s="117">
        <v>0</v>
      </c>
    </row>
    <row r="5210" spans="1:5" x14ac:dyDescent="0.25">
      <c r="A5210" s="119" t="s">
        <v>5678</v>
      </c>
      <c r="B5210" s="119" t="s">
        <v>11298</v>
      </c>
      <c r="C5210" s="119" t="s">
        <v>301</v>
      </c>
      <c r="D5210" t="s">
        <v>6759</v>
      </c>
      <c r="E5210" s="117">
        <v>213.1</v>
      </c>
    </row>
    <row r="5211" spans="1:5" x14ac:dyDescent="0.25">
      <c r="A5211" s="119" t="s">
        <v>5679</v>
      </c>
      <c r="B5211" s="119" t="s">
        <v>11299</v>
      </c>
      <c r="C5211" s="119" t="s">
        <v>301</v>
      </c>
      <c r="D5211" t="s">
        <v>6760</v>
      </c>
      <c r="E5211" s="117">
        <v>439.11</v>
      </c>
    </row>
    <row r="5212" spans="1:5" x14ac:dyDescent="0.25">
      <c r="A5212" s="119" t="s">
        <v>5680</v>
      </c>
      <c r="B5212" s="119" t="s">
        <v>11300</v>
      </c>
      <c r="C5212" s="119" t="s">
        <v>301</v>
      </c>
      <c r="D5212" t="s">
        <v>45</v>
      </c>
      <c r="E5212" s="117">
        <v>0</v>
      </c>
    </row>
    <row r="5213" spans="1:5" x14ac:dyDescent="0.25">
      <c r="A5213" s="119" t="s">
        <v>5681</v>
      </c>
      <c r="B5213" s="119" t="s">
        <v>11301</v>
      </c>
      <c r="C5213" s="119" t="s">
        <v>301</v>
      </c>
      <c r="D5213" t="s">
        <v>51</v>
      </c>
      <c r="E5213" s="117">
        <v>158.69</v>
      </c>
    </row>
    <row r="5214" spans="1:5" x14ac:dyDescent="0.25">
      <c r="A5214" s="119" t="s">
        <v>5682</v>
      </c>
      <c r="B5214" s="119" t="s">
        <v>7794</v>
      </c>
      <c r="C5214" s="119" t="s">
        <v>301</v>
      </c>
      <c r="D5214" t="s">
        <v>6759</v>
      </c>
      <c r="E5214" s="117">
        <v>152.18</v>
      </c>
    </row>
    <row r="5215" spans="1:5" x14ac:dyDescent="0.25">
      <c r="A5215" s="119" t="s">
        <v>5683</v>
      </c>
      <c r="B5215" s="119" t="s">
        <v>11302</v>
      </c>
      <c r="C5215" s="119" t="s">
        <v>301</v>
      </c>
      <c r="D5215" t="s">
        <v>49</v>
      </c>
      <c r="E5215" s="117">
        <v>575.72</v>
      </c>
    </row>
    <row r="5216" spans="1:5" x14ac:dyDescent="0.25">
      <c r="A5216" s="119" t="s">
        <v>5684</v>
      </c>
      <c r="B5216" s="119" t="s">
        <v>11303</v>
      </c>
      <c r="C5216" s="119" t="s">
        <v>301</v>
      </c>
      <c r="D5216" t="s">
        <v>45</v>
      </c>
      <c r="E5216" s="117">
        <v>639.69000000000005</v>
      </c>
    </row>
    <row r="5217" spans="1:5" x14ac:dyDescent="0.25">
      <c r="A5217" s="119" t="s">
        <v>5685</v>
      </c>
      <c r="B5217" s="119" t="s">
        <v>11304</v>
      </c>
      <c r="C5217" s="119" t="s">
        <v>301</v>
      </c>
      <c r="D5217" t="s">
        <v>6760</v>
      </c>
      <c r="E5217" s="117">
        <v>257.2</v>
      </c>
    </row>
    <row r="5218" spans="1:5" x14ac:dyDescent="0.25">
      <c r="A5218" s="119" t="s">
        <v>5686</v>
      </c>
      <c r="B5218" s="119" t="s">
        <v>11305</v>
      </c>
      <c r="C5218" s="119" t="s">
        <v>301</v>
      </c>
      <c r="D5218" t="s">
        <v>45</v>
      </c>
      <c r="E5218" s="117">
        <v>0</v>
      </c>
    </row>
    <row r="5219" spans="1:5" x14ac:dyDescent="0.25">
      <c r="A5219" s="119" t="s">
        <v>5687</v>
      </c>
      <c r="B5219" s="119" t="s">
        <v>11306</v>
      </c>
      <c r="C5219" s="119" t="s">
        <v>301</v>
      </c>
      <c r="D5219" t="s">
        <v>6759</v>
      </c>
      <c r="E5219" s="117">
        <v>824.93</v>
      </c>
    </row>
    <row r="5220" spans="1:5" x14ac:dyDescent="0.25">
      <c r="A5220" s="119" t="s">
        <v>5688</v>
      </c>
      <c r="B5220" s="119" t="s">
        <v>11307</v>
      </c>
      <c r="C5220" s="119" t="s">
        <v>301</v>
      </c>
      <c r="D5220" t="s">
        <v>45</v>
      </c>
      <c r="E5220" s="117">
        <v>1606.63</v>
      </c>
    </row>
    <row r="5221" spans="1:5" x14ac:dyDescent="0.25">
      <c r="A5221" s="119" t="s">
        <v>5689</v>
      </c>
      <c r="B5221" s="119" t="s">
        <v>11308</v>
      </c>
      <c r="C5221" s="119" t="s">
        <v>301</v>
      </c>
      <c r="D5221" t="s">
        <v>45</v>
      </c>
      <c r="E5221" s="117">
        <v>0</v>
      </c>
    </row>
    <row r="5222" spans="1:5" x14ac:dyDescent="0.25">
      <c r="A5222" s="119" t="s">
        <v>5690</v>
      </c>
      <c r="B5222" s="119" t="s">
        <v>11309</v>
      </c>
      <c r="C5222" s="119" t="s">
        <v>301</v>
      </c>
      <c r="D5222" t="s">
        <v>51</v>
      </c>
      <c r="E5222" s="117">
        <v>573.65</v>
      </c>
    </row>
    <row r="5223" spans="1:5" x14ac:dyDescent="0.25">
      <c r="A5223" s="119" t="s">
        <v>5691</v>
      </c>
      <c r="B5223" s="119" t="s">
        <v>11310</v>
      </c>
      <c r="C5223" s="119" t="s">
        <v>301</v>
      </c>
      <c r="D5223" t="s">
        <v>45</v>
      </c>
      <c r="E5223" s="117">
        <v>0</v>
      </c>
    </row>
    <row r="5224" spans="1:5" x14ac:dyDescent="0.25">
      <c r="A5224" s="119" t="s">
        <v>5692</v>
      </c>
      <c r="B5224" s="119" t="s">
        <v>11311</v>
      </c>
      <c r="C5224" s="119" t="s">
        <v>301</v>
      </c>
      <c r="D5224" t="s">
        <v>45</v>
      </c>
      <c r="E5224" s="117">
        <v>0</v>
      </c>
    </row>
    <row r="5225" spans="1:5" x14ac:dyDescent="0.25">
      <c r="A5225" s="119" t="s">
        <v>5693</v>
      </c>
      <c r="B5225" s="119" t="s">
        <v>7795</v>
      </c>
      <c r="C5225" s="119" t="s">
        <v>301</v>
      </c>
      <c r="D5225" t="s">
        <v>45</v>
      </c>
      <c r="E5225" s="117">
        <v>462.27</v>
      </c>
    </row>
    <row r="5226" spans="1:5" x14ac:dyDescent="0.25">
      <c r="A5226" s="119" t="s">
        <v>5694</v>
      </c>
      <c r="B5226" s="119" t="s">
        <v>7796</v>
      </c>
      <c r="C5226" s="119" t="s">
        <v>301</v>
      </c>
      <c r="D5226" t="s">
        <v>45</v>
      </c>
      <c r="E5226" s="117">
        <v>463.26</v>
      </c>
    </row>
    <row r="5227" spans="1:5" x14ac:dyDescent="0.25">
      <c r="A5227" s="119" t="s">
        <v>5695</v>
      </c>
      <c r="B5227" s="119" t="s">
        <v>8203</v>
      </c>
      <c r="C5227" s="119" t="s">
        <v>301</v>
      </c>
      <c r="D5227" t="s">
        <v>6760</v>
      </c>
      <c r="E5227" s="117">
        <v>301.83999999999997</v>
      </c>
    </row>
    <row r="5228" spans="1:5" x14ac:dyDescent="0.25">
      <c r="A5228" s="119" t="s">
        <v>5696</v>
      </c>
      <c r="B5228" s="119" t="s">
        <v>11312</v>
      </c>
      <c r="C5228" s="119" t="s">
        <v>301</v>
      </c>
      <c r="D5228" t="s">
        <v>45</v>
      </c>
      <c r="E5228" s="117">
        <v>0</v>
      </c>
    </row>
    <row r="5229" spans="1:5" x14ac:dyDescent="0.25">
      <c r="A5229" s="119" t="s">
        <v>5697</v>
      </c>
      <c r="B5229" s="119" t="s">
        <v>11313</v>
      </c>
      <c r="C5229" s="119" t="s">
        <v>301</v>
      </c>
      <c r="D5229" t="s">
        <v>51</v>
      </c>
      <c r="E5229" s="117">
        <v>245.53</v>
      </c>
    </row>
    <row r="5230" spans="1:5" x14ac:dyDescent="0.25">
      <c r="A5230" s="119" t="s">
        <v>5698</v>
      </c>
      <c r="B5230" s="119" t="s">
        <v>11314</v>
      </c>
      <c r="C5230" s="119" t="s">
        <v>301</v>
      </c>
      <c r="D5230" t="s">
        <v>45</v>
      </c>
      <c r="E5230" s="117">
        <v>0</v>
      </c>
    </row>
    <row r="5231" spans="1:5" x14ac:dyDescent="0.25">
      <c r="A5231" s="119" t="s">
        <v>5699</v>
      </c>
      <c r="B5231" s="119" t="s">
        <v>11315</v>
      </c>
      <c r="C5231" s="119" t="s">
        <v>301</v>
      </c>
      <c r="D5231" t="s">
        <v>45</v>
      </c>
      <c r="E5231" s="117">
        <v>182.59</v>
      </c>
    </row>
    <row r="5232" spans="1:5" x14ac:dyDescent="0.25">
      <c r="A5232" s="119" t="s">
        <v>5700</v>
      </c>
      <c r="B5232" s="119" t="s">
        <v>11316</v>
      </c>
      <c r="C5232" s="119" t="s">
        <v>301</v>
      </c>
      <c r="D5232" t="s">
        <v>45</v>
      </c>
      <c r="E5232" s="117">
        <v>0</v>
      </c>
    </row>
    <row r="5233" spans="1:5" x14ac:dyDescent="0.25">
      <c r="A5233" s="119" t="s">
        <v>5701</v>
      </c>
      <c r="B5233" s="119" t="s">
        <v>11317</v>
      </c>
      <c r="C5233" s="119" t="s">
        <v>301</v>
      </c>
      <c r="D5233" t="s">
        <v>6760</v>
      </c>
      <c r="E5233" s="117">
        <v>222.17</v>
      </c>
    </row>
    <row r="5234" spans="1:5" x14ac:dyDescent="0.25">
      <c r="A5234" s="119" t="s">
        <v>5702</v>
      </c>
      <c r="B5234" s="119" t="s">
        <v>11318</v>
      </c>
      <c r="C5234" s="119" t="s">
        <v>301</v>
      </c>
      <c r="D5234" t="s">
        <v>45</v>
      </c>
      <c r="E5234" s="117">
        <v>0</v>
      </c>
    </row>
    <row r="5235" spans="1:5" x14ac:dyDescent="0.25">
      <c r="A5235" s="119" t="s">
        <v>5703</v>
      </c>
      <c r="B5235" s="119" t="s">
        <v>11319</v>
      </c>
      <c r="C5235" s="119" t="s">
        <v>301</v>
      </c>
      <c r="D5235" t="s">
        <v>45</v>
      </c>
      <c r="E5235" s="117">
        <v>0</v>
      </c>
    </row>
    <row r="5236" spans="1:5" x14ac:dyDescent="0.25">
      <c r="A5236" s="119" t="s">
        <v>5704</v>
      </c>
      <c r="B5236" s="119" t="s">
        <v>11320</v>
      </c>
      <c r="C5236" s="119" t="s">
        <v>301</v>
      </c>
      <c r="D5236" t="s">
        <v>51</v>
      </c>
      <c r="E5236" s="117">
        <v>285.64999999999998</v>
      </c>
    </row>
    <row r="5237" spans="1:5" x14ac:dyDescent="0.25">
      <c r="A5237" s="119" t="s">
        <v>5705</v>
      </c>
      <c r="B5237" s="119" t="s">
        <v>11321</v>
      </c>
      <c r="C5237" s="119" t="s">
        <v>301</v>
      </c>
      <c r="D5237" t="s">
        <v>45</v>
      </c>
      <c r="E5237" s="117">
        <v>0</v>
      </c>
    </row>
    <row r="5238" spans="1:5" x14ac:dyDescent="0.25">
      <c r="A5238" s="119" t="s">
        <v>5706</v>
      </c>
      <c r="B5238" s="119" t="s">
        <v>11322</v>
      </c>
      <c r="C5238" s="119" t="s">
        <v>301</v>
      </c>
      <c r="D5238" t="s">
        <v>49</v>
      </c>
      <c r="E5238" s="117">
        <v>736.29</v>
      </c>
    </row>
    <row r="5239" spans="1:5" x14ac:dyDescent="0.25">
      <c r="A5239" s="119" t="s">
        <v>5707</v>
      </c>
      <c r="B5239" s="119" t="s">
        <v>11323</v>
      </c>
      <c r="C5239" s="119" t="s">
        <v>301</v>
      </c>
      <c r="D5239" t="s">
        <v>45</v>
      </c>
      <c r="E5239" s="117">
        <v>0</v>
      </c>
    </row>
    <row r="5240" spans="1:5" x14ac:dyDescent="0.25">
      <c r="A5240" s="119" t="s">
        <v>5708</v>
      </c>
      <c r="B5240" s="119" t="s">
        <v>11324</v>
      </c>
      <c r="C5240" s="119" t="s">
        <v>301</v>
      </c>
      <c r="D5240" t="s">
        <v>51</v>
      </c>
      <c r="E5240" s="117">
        <v>204.6</v>
      </c>
    </row>
    <row r="5241" spans="1:5" x14ac:dyDescent="0.25">
      <c r="A5241" s="119" t="s">
        <v>5709</v>
      </c>
      <c r="B5241" s="119" t="s">
        <v>11325</v>
      </c>
      <c r="C5241" s="119" t="s">
        <v>301</v>
      </c>
      <c r="D5241" t="s">
        <v>45</v>
      </c>
      <c r="E5241" s="117">
        <v>0</v>
      </c>
    </row>
    <row r="5242" spans="1:5" x14ac:dyDescent="0.25">
      <c r="A5242" s="119" t="s">
        <v>5710</v>
      </c>
      <c r="B5242" s="119" t="s">
        <v>11326</v>
      </c>
      <c r="C5242" s="119" t="s">
        <v>301</v>
      </c>
      <c r="D5242" t="s">
        <v>45</v>
      </c>
      <c r="E5242" s="117">
        <v>214.16</v>
      </c>
    </row>
    <row r="5243" spans="1:5" x14ac:dyDescent="0.25">
      <c r="A5243" s="119" t="s">
        <v>5711</v>
      </c>
      <c r="B5243" s="119" t="s">
        <v>11327</v>
      </c>
      <c r="C5243" s="119" t="s">
        <v>301</v>
      </c>
      <c r="D5243" t="s">
        <v>45</v>
      </c>
      <c r="E5243" s="117">
        <v>0</v>
      </c>
    </row>
    <row r="5244" spans="1:5" x14ac:dyDescent="0.25">
      <c r="A5244" s="119" t="s">
        <v>5712</v>
      </c>
      <c r="B5244" s="119" t="s">
        <v>5713</v>
      </c>
      <c r="C5244" s="119" t="s">
        <v>301</v>
      </c>
      <c r="D5244" t="s">
        <v>45</v>
      </c>
      <c r="E5244" s="117">
        <v>0</v>
      </c>
    </row>
    <row r="5245" spans="1:5" x14ac:dyDescent="0.25">
      <c r="A5245" s="119" t="s">
        <v>5714</v>
      </c>
      <c r="B5245" s="119" t="s">
        <v>11328</v>
      </c>
      <c r="C5245" s="119" t="s">
        <v>301</v>
      </c>
      <c r="D5245" t="s">
        <v>6760</v>
      </c>
      <c r="E5245" s="117">
        <v>297.17</v>
      </c>
    </row>
    <row r="5246" spans="1:5" x14ac:dyDescent="0.25">
      <c r="A5246" s="119" t="s">
        <v>5715</v>
      </c>
      <c r="B5246" s="119" t="s">
        <v>11328</v>
      </c>
      <c r="C5246" s="119" t="s">
        <v>301</v>
      </c>
      <c r="D5246" t="s">
        <v>49</v>
      </c>
      <c r="E5246" s="117">
        <v>532.79999999999995</v>
      </c>
    </row>
    <row r="5247" spans="1:5" x14ac:dyDescent="0.25">
      <c r="A5247" s="119" t="s">
        <v>5716</v>
      </c>
      <c r="B5247" s="119" t="s">
        <v>11329</v>
      </c>
      <c r="C5247" s="119" t="s">
        <v>301</v>
      </c>
      <c r="D5247" t="s">
        <v>49</v>
      </c>
      <c r="E5247" s="117">
        <v>344.59</v>
      </c>
    </row>
    <row r="5248" spans="1:5" x14ac:dyDescent="0.25">
      <c r="A5248" s="119" t="s">
        <v>5717</v>
      </c>
      <c r="B5248" s="119" t="s">
        <v>11330</v>
      </c>
      <c r="C5248" s="119" t="s">
        <v>301</v>
      </c>
      <c r="D5248" t="s">
        <v>45</v>
      </c>
      <c r="E5248" s="117">
        <v>330.19</v>
      </c>
    </row>
    <row r="5249" spans="1:5" x14ac:dyDescent="0.25">
      <c r="A5249" s="119" t="s">
        <v>5718</v>
      </c>
      <c r="B5249" s="119" t="s">
        <v>5719</v>
      </c>
      <c r="C5249" s="119" t="s">
        <v>301</v>
      </c>
      <c r="D5249" t="s">
        <v>45</v>
      </c>
      <c r="E5249" s="117">
        <v>0</v>
      </c>
    </row>
    <row r="5250" spans="1:5" x14ac:dyDescent="0.25">
      <c r="A5250" s="119" t="s">
        <v>5720</v>
      </c>
      <c r="B5250" s="119" t="s">
        <v>5721</v>
      </c>
      <c r="C5250" s="119" t="s">
        <v>66</v>
      </c>
      <c r="D5250" t="s">
        <v>45</v>
      </c>
      <c r="E5250" s="117">
        <v>0</v>
      </c>
    </row>
    <row r="5251" spans="1:5" x14ac:dyDescent="0.25">
      <c r="A5251" s="119" t="s">
        <v>8262</v>
      </c>
      <c r="B5251" s="119" t="s">
        <v>8263</v>
      </c>
      <c r="C5251" s="119" t="s">
        <v>66</v>
      </c>
      <c r="D5251" t="s">
        <v>45</v>
      </c>
      <c r="E5251" s="117">
        <v>9999</v>
      </c>
    </row>
    <row r="5252" spans="1:5" x14ac:dyDescent="0.25">
      <c r="A5252" s="119" t="s">
        <v>8268</v>
      </c>
      <c r="B5252" s="119" t="s">
        <v>8263</v>
      </c>
      <c r="C5252" s="119" t="s">
        <v>66</v>
      </c>
      <c r="D5252" t="s">
        <v>45</v>
      </c>
      <c r="E5252" s="117">
        <v>9999</v>
      </c>
    </row>
    <row r="5253" spans="1:5" x14ac:dyDescent="0.25">
      <c r="A5253" s="119" t="s">
        <v>8264</v>
      </c>
      <c r="B5253" s="119" t="s">
        <v>8265</v>
      </c>
      <c r="C5253" s="119" t="s">
        <v>66</v>
      </c>
      <c r="D5253" t="s">
        <v>45</v>
      </c>
      <c r="E5253" s="117">
        <v>9999</v>
      </c>
    </row>
    <row r="5254" spans="1:5" x14ac:dyDescent="0.25">
      <c r="A5254" s="119" t="s">
        <v>8269</v>
      </c>
      <c r="B5254" s="119" t="s">
        <v>8265</v>
      </c>
      <c r="C5254" s="119" t="s">
        <v>66</v>
      </c>
      <c r="D5254" t="s">
        <v>45</v>
      </c>
      <c r="E5254" s="117">
        <v>9999</v>
      </c>
    </row>
    <row r="5255" spans="1:5" x14ac:dyDescent="0.25">
      <c r="A5255" s="119" t="s">
        <v>12414</v>
      </c>
      <c r="B5255" s="119" t="s">
        <v>12415</v>
      </c>
      <c r="C5255" s="119" t="s">
        <v>66</v>
      </c>
      <c r="D5255" t="s">
        <v>45</v>
      </c>
      <c r="E5255" s="117">
        <v>9999</v>
      </c>
    </row>
    <row r="5256" spans="1:5" x14ac:dyDescent="0.25">
      <c r="A5256" s="119" t="s">
        <v>12416</v>
      </c>
      <c r="B5256" s="119" t="s">
        <v>12415</v>
      </c>
      <c r="C5256" s="119" t="s">
        <v>66</v>
      </c>
      <c r="D5256" t="s">
        <v>45</v>
      </c>
      <c r="E5256" s="117">
        <v>9999</v>
      </c>
    </row>
    <row r="5257" spans="1:5" x14ac:dyDescent="0.25">
      <c r="A5257" s="119" t="s">
        <v>12417</v>
      </c>
      <c r="B5257" s="119" t="s">
        <v>12415</v>
      </c>
      <c r="C5257" s="119" t="s">
        <v>66</v>
      </c>
      <c r="D5257" t="s">
        <v>45</v>
      </c>
      <c r="E5257" s="117">
        <v>9999</v>
      </c>
    </row>
    <row r="5258" spans="1:5" x14ac:dyDescent="0.25">
      <c r="A5258" s="119" t="s">
        <v>12418</v>
      </c>
      <c r="B5258" s="119" t="s">
        <v>12419</v>
      </c>
      <c r="C5258" s="119" t="s">
        <v>66</v>
      </c>
      <c r="D5258" t="s">
        <v>45</v>
      </c>
      <c r="E5258" s="117">
        <v>9999</v>
      </c>
    </row>
    <row r="5259" spans="1:5" x14ac:dyDescent="0.25">
      <c r="A5259" s="119" t="s">
        <v>12420</v>
      </c>
      <c r="B5259" s="119" t="s">
        <v>12419</v>
      </c>
      <c r="C5259" s="119" t="s">
        <v>66</v>
      </c>
      <c r="D5259" t="s">
        <v>45</v>
      </c>
      <c r="E5259" s="117">
        <v>9999</v>
      </c>
    </row>
    <row r="5260" spans="1:5" x14ac:dyDescent="0.25">
      <c r="A5260" s="119" t="s">
        <v>5722</v>
      </c>
      <c r="B5260" s="119" t="s">
        <v>11331</v>
      </c>
      <c r="C5260" s="119" t="s">
        <v>301</v>
      </c>
      <c r="D5260" t="s">
        <v>45</v>
      </c>
      <c r="E5260" s="117">
        <v>0</v>
      </c>
    </row>
    <row r="5261" spans="1:5" x14ac:dyDescent="0.25">
      <c r="A5261" s="119" t="s">
        <v>5723</v>
      </c>
      <c r="B5261" s="119" t="s">
        <v>11332</v>
      </c>
      <c r="C5261" s="119" t="s">
        <v>301</v>
      </c>
      <c r="D5261" t="s">
        <v>45</v>
      </c>
      <c r="E5261" s="117">
        <v>0</v>
      </c>
    </row>
    <row r="5262" spans="1:5" x14ac:dyDescent="0.25">
      <c r="A5262" s="119" t="s">
        <v>5724</v>
      </c>
      <c r="B5262" s="119" t="s">
        <v>11333</v>
      </c>
      <c r="C5262" s="119" t="s">
        <v>301</v>
      </c>
      <c r="D5262" t="s">
        <v>45</v>
      </c>
      <c r="E5262" s="117">
        <v>0</v>
      </c>
    </row>
    <row r="5263" spans="1:5" x14ac:dyDescent="0.25">
      <c r="A5263" s="119" t="s">
        <v>5725</v>
      </c>
      <c r="B5263" s="119" t="s">
        <v>4576</v>
      </c>
      <c r="C5263" s="119" t="s">
        <v>66</v>
      </c>
      <c r="D5263" t="s">
        <v>45</v>
      </c>
      <c r="E5263" s="117">
        <v>0</v>
      </c>
    </row>
    <row r="5264" spans="1:5" x14ac:dyDescent="0.25">
      <c r="A5264" s="119" t="s">
        <v>5726</v>
      </c>
      <c r="B5264" s="119" t="s">
        <v>4576</v>
      </c>
      <c r="C5264" s="119" t="s">
        <v>66</v>
      </c>
      <c r="D5264" t="s">
        <v>6759</v>
      </c>
      <c r="E5264" s="117">
        <v>0</v>
      </c>
    </row>
    <row r="5265" spans="1:5" x14ac:dyDescent="0.25">
      <c r="A5265" s="119" t="s">
        <v>5727</v>
      </c>
      <c r="B5265" s="119" t="s">
        <v>11334</v>
      </c>
      <c r="C5265" s="119" t="s">
        <v>66</v>
      </c>
      <c r="D5265" t="s">
        <v>51</v>
      </c>
      <c r="E5265" s="117">
        <v>412.99</v>
      </c>
    </row>
    <row r="5266" spans="1:5" x14ac:dyDescent="0.25">
      <c r="A5266" s="119" t="s">
        <v>5728</v>
      </c>
      <c r="B5266" s="119" t="s">
        <v>4568</v>
      </c>
      <c r="C5266" s="119" t="s">
        <v>66</v>
      </c>
      <c r="D5266" t="s">
        <v>45</v>
      </c>
      <c r="E5266" s="117">
        <v>0</v>
      </c>
    </row>
    <row r="5267" spans="1:5" x14ac:dyDescent="0.25">
      <c r="A5267" s="119" t="s">
        <v>5729</v>
      </c>
      <c r="B5267" s="119" t="s">
        <v>11335</v>
      </c>
      <c r="C5267" s="119" t="s">
        <v>66</v>
      </c>
      <c r="D5267" t="s">
        <v>6759</v>
      </c>
      <c r="E5267" s="117">
        <v>787.54</v>
      </c>
    </row>
    <row r="5268" spans="1:5" x14ac:dyDescent="0.25">
      <c r="A5268" s="119" t="s">
        <v>5730</v>
      </c>
      <c r="B5268" s="119" t="s">
        <v>4568</v>
      </c>
      <c r="C5268" s="119" t="s">
        <v>66</v>
      </c>
      <c r="D5268" t="s">
        <v>45</v>
      </c>
      <c r="E5268" s="117">
        <v>0</v>
      </c>
    </row>
    <row r="5269" spans="1:5" x14ac:dyDescent="0.25">
      <c r="A5269" s="119" t="s">
        <v>5731</v>
      </c>
      <c r="B5269" s="119" t="s">
        <v>11336</v>
      </c>
      <c r="C5269" s="119" t="s">
        <v>66</v>
      </c>
      <c r="D5269" t="s">
        <v>49</v>
      </c>
      <c r="E5269" s="117">
        <v>1100</v>
      </c>
    </row>
    <row r="5270" spans="1:5" x14ac:dyDescent="0.25">
      <c r="A5270" s="119" t="s">
        <v>5732</v>
      </c>
      <c r="B5270" s="119" t="s">
        <v>4568</v>
      </c>
      <c r="C5270" s="119" t="s">
        <v>66</v>
      </c>
      <c r="D5270" t="s">
        <v>45</v>
      </c>
      <c r="E5270" s="117">
        <v>0</v>
      </c>
    </row>
    <row r="5271" spans="1:5" x14ac:dyDescent="0.25">
      <c r="A5271" s="119" t="s">
        <v>5733</v>
      </c>
      <c r="B5271" s="119" t="s">
        <v>11337</v>
      </c>
      <c r="C5271" s="119" t="s">
        <v>66</v>
      </c>
      <c r="D5271" t="s">
        <v>6760</v>
      </c>
      <c r="E5271" s="117">
        <v>304.57</v>
      </c>
    </row>
    <row r="5272" spans="1:5" x14ac:dyDescent="0.25">
      <c r="A5272" s="119" t="s">
        <v>5734</v>
      </c>
      <c r="B5272" s="119" t="s">
        <v>4576</v>
      </c>
      <c r="C5272" s="119" t="s">
        <v>66</v>
      </c>
      <c r="D5272" t="s">
        <v>45</v>
      </c>
      <c r="E5272" s="117">
        <v>0</v>
      </c>
    </row>
    <row r="5273" spans="1:5" x14ac:dyDescent="0.25">
      <c r="A5273" s="119" t="s">
        <v>5735</v>
      </c>
      <c r="B5273" s="119" t="s">
        <v>11338</v>
      </c>
      <c r="C5273" s="119" t="s">
        <v>66</v>
      </c>
      <c r="D5273" t="s">
        <v>45</v>
      </c>
      <c r="E5273" s="117">
        <v>640</v>
      </c>
    </row>
    <row r="5274" spans="1:5" x14ac:dyDescent="0.25">
      <c r="A5274" s="119" t="s">
        <v>5736</v>
      </c>
      <c r="B5274" s="119" t="s">
        <v>11339</v>
      </c>
      <c r="C5274" s="119" t="s">
        <v>66</v>
      </c>
      <c r="D5274" t="s">
        <v>49</v>
      </c>
      <c r="E5274" s="117">
        <v>2000</v>
      </c>
    </row>
    <row r="5275" spans="1:5" x14ac:dyDescent="0.25">
      <c r="A5275" s="119" t="s">
        <v>5737</v>
      </c>
      <c r="B5275" s="119" t="s">
        <v>4576</v>
      </c>
      <c r="C5275" s="119" t="s">
        <v>66</v>
      </c>
      <c r="D5275" t="s">
        <v>45</v>
      </c>
      <c r="E5275" s="117">
        <v>999999</v>
      </c>
    </row>
    <row r="5276" spans="1:5" x14ac:dyDescent="0.25">
      <c r="A5276" s="119" t="s">
        <v>5738</v>
      </c>
      <c r="B5276" s="119" t="s">
        <v>11340</v>
      </c>
      <c r="C5276" s="119" t="s">
        <v>66</v>
      </c>
      <c r="D5276" t="s">
        <v>6759</v>
      </c>
      <c r="E5276" s="117">
        <v>2627.48</v>
      </c>
    </row>
    <row r="5277" spans="1:5" x14ac:dyDescent="0.25">
      <c r="A5277" s="119" t="s">
        <v>5739</v>
      </c>
      <c r="B5277" s="119" t="s">
        <v>5740</v>
      </c>
      <c r="C5277" s="119" t="s">
        <v>66</v>
      </c>
      <c r="D5277" t="s">
        <v>45</v>
      </c>
      <c r="E5277" s="117">
        <v>999999</v>
      </c>
    </row>
    <row r="5278" spans="1:5" x14ac:dyDescent="0.25">
      <c r="A5278" s="119" t="s">
        <v>5741</v>
      </c>
      <c r="B5278" s="119" t="s">
        <v>11341</v>
      </c>
      <c r="C5278" s="119" t="s">
        <v>66</v>
      </c>
      <c r="D5278" t="s">
        <v>6760</v>
      </c>
      <c r="E5278" s="117">
        <v>240</v>
      </c>
    </row>
    <row r="5279" spans="1:5" x14ac:dyDescent="0.25">
      <c r="A5279" s="119" t="s">
        <v>5743</v>
      </c>
      <c r="B5279" s="119" t="s">
        <v>5742</v>
      </c>
      <c r="C5279" s="119" t="s">
        <v>66</v>
      </c>
      <c r="D5279" t="s">
        <v>6759</v>
      </c>
      <c r="E5279" s="117">
        <v>999999</v>
      </c>
    </row>
    <row r="5280" spans="1:5" x14ac:dyDescent="0.25">
      <c r="A5280" s="119" t="s">
        <v>5744</v>
      </c>
      <c r="B5280" s="119" t="s">
        <v>11342</v>
      </c>
      <c r="C5280" s="119" t="s">
        <v>66</v>
      </c>
      <c r="D5280" t="s">
        <v>49</v>
      </c>
      <c r="E5280" s="117">
        <v>1299</v>
      </c>
    </row>
    <row r="5281" spans="1:5" x14ac:dyDescent="0.25">
      <c r="A5281" s="119" t="s">
        <v>5746</v>
      </c>
      <c r="B5281" s="119" t="s">
        <v>5745</v>
      </c>
      <c r="C5281" s="119" t="s">
        <v>66</v>
      </c>
      <c r="D5281" t="s">
        <v>6759</v>
      </c>
      <c r="E5281" s="117">
        <v>999999</v>
      </c>
    </row>
    <row r="5282" spans="1:5" x14ac:dyDescent="0.25">
      <c r="A5282" s="119" t="s">
        <v>7797</v>
      </c>
      <c r="B5282" s="119" t="s">
        <v>11626</v>
      </c>
      <c r="C5282" s="119" t="s">
        <v>66</v>
      </c>
      <c r="D5282" t="s">
        <v>49</v>
      </c>
      <c r="E5282" s="117">
        <v>261.89999999999998</v>
      </c>
    </row>
    <row r="5283" spans="1:5" x14ac:dyDescent="0.25">
      <c r="A5283" s="119" t="s">
        <v>7874</v>
      </c>
      <c r="B5283" s="119" t="s">
        <v>7875</v>
      </c>
      <c r="C5283" s="119" t="s">
        <v>66</v>
      </c>
      <c r="D5283" t="s">
        <v>6759</v>
      </c>
      <c r="E5283" s="117">
        <v>999999</v>
      </c>
    </row>
    <row r="5284" spans="1:5" x14ac:dyDescent="0.25">
      <c r="A5284" s="119" t="s">
        <v>8255</v>
      </c>
      <c r="B5284" s="119" t="s">
        <v>8172</v>
      </c>
      <c r="C5284" s="119" t="s">
        <v>66</v>
      </c>
      <c r="D5284" t="s">
        <v>45</v>
      </c>
      <c r="E5284" s="117">
        <v>9999</v>
      </c>
    </row>
    <row r="5285" spans="1:5" x14ac:dyDescent="0.25">
      <c r="A5285" s="119" t="s">
        <v>8171</v>
      </c>
      <c r="B5285" s="119" t="s">
        <v>8172</v>
      </c>
      <c r="C5285" s="119" t="s">
        <v>66</v>
      </c>
      <c r="D5285" t="s">
        <v>45</v>
      </c>
      <c r="E5285" s="117">
        <v>9999</v>
      </c>
    </row>
    <row r="5286" spans="1:5" x14ac:dyDescent="0.25">
      <c r="A5286" s="119" t="s">
        <v>5747</v>
      </c>
      <c r="B5286" s="119" t="s">
        <v>11343</v>
      </c>
      <c r="C5286" s="119" t="s">
        <v>66</v>
      </c>
      <c r="D5286" t="s">
        <v>49</v>
      </c>
      <c r="E5286" s="117">
        <v>97.58</v>
      </c>
    </row>
    <row r="5287" spans="1:5" x14ac:dyDescent="0.25">
      <c r="A5287" s="119" t="s">
        <v>5748</v>
      </c>
      <c r="B5287" s="119" t="s">
        <v>11344</v>
      </c>
      <c r="C5287" s="119" t="s">
        <v>66</v>
      </c>
      <c r="D5287" t="s">
        <v>6759</v>
      </c>
      <c r="E5287" s="117">
        <v>87.73</v>
      </c>
    </row>
    <row r="5288" spans="1:5" x14ac:dyDescent="0.25">
      <c r="A5288" s="119" t="s">
        <v>5749</v>
      </c>
      <c r="B5288" s="119" t="s">
        <v>5750</v>
      </c>
      <c r="C5288" s="119" t="s">
        <v>66</v>
      </c>
      <c r="D5288" t="s">
        <v>45</v>
      </c>
      <c r="E5288" s="117">
        <v>0</v>
      </c>
    </row>
    <row r="5289" spans="1:5" x14ac:dyDescent="0.25">
      <c r="A5289" s="119" t="s">
        <v>5751</v>
      </c>
      <c r="B5289" s="119" t="s">
        <v>11345</v>
      </c>
      <c r="C5289" s="119" t="s">
        <v>66</v>
      </c>
      <c r="D5289" t="s">
        <v>6759</v>
      </c>
      <c r="E5289" s="117">
        <v>279.93</v>
      </c>
    </row>
    <row r="5290" spans="1:5" x14ac:dyDescent="0.25">
      <c r="A5290" s="119" t="s">
        <v>5752</v>
      </c>
      <c r="B5290" s="119" t="s">
        <v>11346</v>
      </c>
      <c r="C5290" s="119" t="s">
        <v>66</v>
      </c>
      <c r="D5290" t="s">
        <v>6759</v>
      </c>
      <c r="E5290" s="117">
        <v>186.29</v>
      </c>
    </row>
    <row r="5291" spans="1:5" x14ac:dyDescent="0.25">
      <c r="A5291" s="119" t="s">
        <v>5753</v>
      </c>
      <c r="B5291" s="119" t="s">
        <v>11347</v>
      </c>
      <c r="C5291" s="119" t="s">
        <v>66</v>
      </c>
      <c r="D5291" t="s">
        <v>6759</v>
      </c>
      <c r="E5291" s="117">
        <v>210.93</v>
      </c>
    </row>
    <row r="5292" spans="1:5" x14ac:dyDescent="0.25">
      <c r="A5292" s="119" t="s">
        <v>5754</v>
      </c>
      <c r="B5292" s="119" t="s">
        <v>4568</v>
      </c>
      <c r="C5292" s="119" t="s">
        <v>66</v>
      </c>
      <c r="D5292" t="s">
        <v>6759</v>
      </c>
      <c r="E5292" s="117">
        <v>9999999</v>
      </c>
    </row>
    <row r="5293" spans="1:5" x14ac:dyDescent="0.25">
      <c r="A5293" s="119" t="s">
        <v>5755</v>
      </c>
      <c r="B5293" s="119" t="s">
        <v>11348</v>
      </c>
      <c r="C5293" s="119" t="s">
        <v>66</v>
      </c>
      <c r="D5293" t="s">
        <v>6759</v>
      </c>
      <c r="E5293" s="117">
        <v>77.87</v>
      </c>
    </row>
    <row r="5294" spans="1:5" x14ac:dyDescent="0.25">
      <c r="A5294" s="119" t="s">
        <v>5756</v>
      </c>
      <c r="B5294" s="119" t="s">
        <v>11349</v>
      </c>
      <c r="C5294" s="119" t="s">
        <v>301</v>
      </c>
      <c r="D5294" t="s">
        <v>45</v>
      </c>
      <c r="E5294" s="117">
        <v>1049.73</v>
      </c>
    </row>
    <row r="5295" spans="1:5" x14ac:dyDescent="0.25">
      <c r="A5295" s="119" t="s">
        <v>5757</v>
      </c>
      <c r="B5295" s="119" t="s">
        <v>11350</v>
      </c>
      <c r="C5295" s="119" t="s">
        <v>301</v>
      </c>
      <c r="D5295" t="s">
        <v>6760</v>
      </c>
      <c r="E5295" s="117">
        <v>2434.5700000000002</v>
      </c>
    </row>
    <row r="5296" spans="1:5" x14ac:dyDescent="0.25">
      <c r="A5296" s="119" t="s">
        <v>5758</v>
      </c>
      <c r="B5296" s="119" t="s">
        <v>11351</v>
      </c>
      <c r="C5296" s="119" t="s">
        <v>301</v>
      </c>
      <c r="D5296" t="s">
        <v>6759</v>
      </c>
      <c r="E5296" s="117">
        <v>688.98</v>
      </c>
    </row>
    <row r="5297" spans="1:5" x14ac:dyDescent="0.25">
      <c r="A5297" s="119" t="s">
        <v>5759</v>
      </c>
      <c r="B5297" s="119" t="s">
        <v>11352</v>
      </c>
      <c r="C5297" s="119" t="s">
        <v>301</v>
      </c>
      <c r="D5297" t="s">
        <v>45</v>
      </c>
      <c r="E5297" s="117">
        <v>0</v>
      </c>
    </row>
    <row r="5298" spans="1:5" x14ac:dyDescent="0.25">
      <c r="A5298" s="119" t="s">
        <v>5760</v>
      </c>
      <c r="B5298" s="119" t="s">
        <v>11353</v>
      </c>
      <c r="C5298" s="119" t="s">
        <v>301</v>
      </c>
      <c r="D5298" t="s">
        <v>45</v>
      </c>
      <c r="E5298" s="117">
        <v>299.64</v>
      </c>
    </row>
    <row r="5299" spans="1:5" x14ac:dyDescent="0.25">
      <c r="A5299" s="119" t="s">
        <v>5761</v>
      </c>
      <c r="B5299" s="119" t="s">
        <v>5762</v>
      </c>
      <c r="C5299" s="119" t="s">
        <v>66</v>
      </c>
      <c r="D5299" t="s">
        <v>45</v>
      </c>
      <c r="E5299" s="117">
        <v>0</v>
      </c>
    </row>
    <row r="5300" spans="1:5" x14ac:dyDescent="0.25">
      <c r="A5300" s="119" t="s">
        <v>5763</v>
      </c>
      <c r="B5300" s="119" t="s">
        <v>11354</v>
      </c>
      <c r="C5300" s="119" t="s">
        <v>301</v>
      </c>
      <c r="D5300" t="s">
        <v>45</v>
      </c>
      <c r="E5300" s="117">
        <v>1477.5</v>
      </c>
    </row>
    <row r="5301" spans="1:5" x14ac:dyDescent="0.25">
      <c r="A5301" s="119" t="s">
        <v>5764</v>
      </c>
      <c r="B5301" s="119" t="s">
        <v>4597</v>
      </c>
      <c r="C5301" s="119" t="s">
        <v>301</v>
      </c>
      <c r="D5301" t="s">
        <v>45</v>
      </c>
      <c r="E5301" s="117">
        <v>0</v>
      </c>
    </row>
    <row r="5302" spans="1:5" x14ac:dyDescent="0.25">
      <c r="A5302" s="119" t="s">
        <v>5765</v>
      </c>
      <c r="B5302" s="119" t="s">
        <v>4591</v>
      </c>
      <c r="C5302" s="119" t="s">
        <v>301</v>
      </c>
      <c r="D5302" t="s">
        <v>6759</v>
      </c>
      <c r="E5302" s="117">
        <v>999999</v>
      </c>
    </row>
    <row r="5303" spans="1:5" x14ac:dyDescent="0.25">
      <c r="A5303" s="119" t="s">
        <v>6805</v>
      </c>
      <c r="B5303" s="119" t="s">
        <v>11355</v>
      </c>
      <c r="C5303" s="119" t="s">
        <v>301</v>
      </c>
      <c r="D5303" t="s">
        <v>49</v>
      </c>
      <c r="E5303" s="117">
        <v>1125.53</v>
      </c>
    </row>
    <row r="5304" spans="1:5" x14ac:dyDescent="0.25">
      <c r="A5304" s="119" t="s">
        <v>6290</v>
      </c>
      <c r="B5304" s="119" t="s">
        <v>6291</v>
      </c>
      <c r="C5304" s="119" t="s">
        <v>301</v>
      </c>
      <c r="D5304" t="s">
        <v>6759</v>
      </c>
      <c r="E5304" s="117">
        <v>9999</v>
      </c>
    </row>
    <row r="5305" spans="1:5" x14ac:dyDescent="0.25">
      <c r="A5305" s="119" t="s">
        <v>5766</v>
      </c>
      <c r="B5305" s="119" t="s">
        <v>11356</v>
      </c>
      <c r="C5305" s="119" t="s">
        <v>301</v>
      </c>
      <c r="D5305" t="s">
        <v>45</v>
      </c>
      <c r="E5305" s="117">
        <v>0</v>
      </c>
    </row>
    <row r="5306" spans="1:5" x14ac:dyDescent="0.25">
      <c r="A5306" s="119" t="s">
        <v>5767</v>
      </c>
      <c r="B5306" s="119" t="s">
        <v>11357</v>
      </c>
      <c r="C5306" s="119" t="s">
        <v>301</v>
      </c>
      <c r="D5306" t="s">
        <v>45</v>
      </c>
      <c r="E5306" s="117">
        <v>0</v>
      </c>
    </row>
    <row r="5307" spans="1:5" x14ac:dyDescent="0.25">
      <c r="A5307" s="119" t="s">
        <v>5768</v>
      </c>
      <c r="B5307" s="119" t="s">
        <v>11358</v>
      </c>
      <c r="C5307" s="119" t="s">
        <v>301</v>
      </c>
      <c r="D5307" t="s">
        <v>45</v>
      </c>
      <c r="E5307" s="117">
        <v>0</v>
      </c>
    </row>
    <row r="5308" spans="1:5" x14ac:dyDescent="0.25">
      <c r="A5308" s="119" t="s">
        <v>5769</v>
      </c>
      <c r="B5308" s="119" t="s">
        <v>11359</v>
      </c>
      <c r="C5308" s="119" t="s">
        <v>301</v>
      </c>
      <c r="D5308" t="s">
        <v>51</v>
      </c>
      <c r="E5308" s="117">
        <v>328.06</v>
      </c>
    </row>
    <row r="5309" spans="1:5" x14ac:dyDescent="0.25">
      <c r="A5309" s="119" t="s">
        <v>5770</v>
      </c>
      <c r="B5309" s="119" t="s">
        <v>11360</v>
      </c>
      <c r="C5309" s="119" t="s">
        <v>301</v>
      </c>
      <c r="D5309" t="s">
        <v>6760</v>
      </c>
      <c r="E5309" s="117">
        <v>664.05</v>
      </c>
    </row>
    <row r="5310" spans="1:5" x14ac:dyDescent="0.25">
      <c r="A5310" s="119" t="s">
        <v>5771</v>
      </c>
      <c r="B5310" s="119" t="s">
        <v>5772</v>
      </c>
      <c r="C5310" s="119" t="s">
        <v>301</v>
      </c>
      <c r="D5310" t="s">
        <v>45</v>
      </c>
      <c r="E5310" s="117">
        <v>0</v>
      </c>
    </row>
    <row r="5311" spans="1:5" x14ac:dyDescent="0.25">
      <c r="A5311" s="119" t="s">
        <v>5773</v>
      </c>
      <c r="B5311" s="119" t="s">
        <v>11361</v>
      </c>
      <c r="C5311" s="119" t="s">
        <v>301</v>
      </c>
      <c r="D5311" t="s">
        <v>6759</v>
      </c>
      <c r="E5311" s="117">
        <v>4200</v>
      </c>
    </row>
    <row r="5312" spans="1:5" x14ac:dyDescent="0.25">
      <c r="A5312" s="119" t="s">
        <v>5774</v>
      </c>
      <c r="B5312" s="119" t="s">
        <v>5775</v>
      </c>
      <c r="C5312" s="119" t="s">
        <v>301</v>
      </c>
      <c r="D5312" t="s">
        <v>45</v>
      </c>
      <c r="E5312" s="117">
        <v>9999999</v>
      </c>
    </row>
    <row r="5313" spans="1:5" x14ac:dyDescent="0.25">
      <c r="A5313" s="119" t="s">
        <v>5776</v>
      </c>
      <c r="B5313" s="119" t="s">
        <v>11362</v>
      </c>
      <c r="C5313" s="119" t="s">
        <v>301</v>
      </c>
      <c r="D5313" t="s">
        <v>51</v>
      </c>
      <c r="E5313" s="117">
        <v>896.95</v>
      </c>
    </row>
    <row r="5314" spans="1:5" x14ac:dyDescent="0.25">
      <c r="A5314" s="119" t="s">
        <v>5777</v>
      </c>
      <c r="B5314" s="119" t="s">
        <v>5778</v>
      </c>
      <c r="C5314" s="119" t="s">
        <v>66</v>
      </c>
      <c r="D5314" t="s">
        <v>49</v>
      </c>
      <c r="E5314" s="117">
        <v>23.1</v>
      </c>
    </row>
    <row r="5315" spans="1:5" x14ac:dyDescent="0.25">
      <c r="A5315" s="119" t="s">
        <v>5779</v>
      </c>
      <c r="B5315" s="119" t="s">
        <v>5780</v>
      </c>
      <c r="C5315" s="119" t="s">
        <v>66</v>
      </c>
      <c r="D5315" t="s">
        <v>49</v>
      </c>
      <c r="E5315" s="117">
        <v>23.1</v>
      </c>
    </row>
    <row r="5316" spans="1:5" x14ac:dyDescent="0.25">
      <c r="A5316" s="119" t="s">
        <v>5781</v>
      </c>
      <c r="B5316" s="119" t="s">
        <v>5782</v>
      </c>
      <c r="C5316" s="119" t="s">
        <v>66</v>
      </c>
      <c r="D5316" t="s">
        <v>49</v>
      </c>
      <c r="E5316" s="117">
        <v>23.1</v>
      </c>
    </row>
    <row r="5317" spans="1:5" x14ac:dyDescent="0.25">
      <c r="A5317" s="119" t="s">
        <v>5783</v>
      </c>
      <c r="B5317" s="119" t="s">
        <v>5784</v>
      </c>
      <c r="C5317" s="119" t="s">
        <v>66</v>
      </c>
      <c r="D5317" t="s">
        <v>49</v>
      </c>
      <c r="E5317" s="117">
        <v>23.1</v>
      </c>
    </row>
    <row r="5318" spans="1:5" x14ac:dyDescent="0.25">
      <c r="A5318" s="119" t="s">
        <v>5785</v>
      </c>
      <c r="B5318" s="119" t="s">
        <v>5786</v>
      </c>
      <c r="C5318" s="119" t="s">
        <v>66</v>
      </c>
      <c r="D5318" t="s">
        <v>49</v>
      </c>
      <c r="E5318" s="117">
        <v>23.1</v>
      </c>
    </row>
    <row r="5319" spans="1:5" x14ac:dyDescent="0.25">
      <c r="A5319" s="119" t="s">
        <v>5787</v>
      </c>
      <c r="B5319" s="119" t="s">
        <v>5788</v>
      </c>
      <c r="C5319" s="119" t="s">
        <v>66</v>
      </c>
      <c r="D5319" t="s">
        <v>49</v>
      </c>
      <c r="E5319" s="117">
        <v>22.89</v>
      </c>
    </row>
    <row r="5320" spans="1:5" x14ac:dyDescent="0.25">
      <c r="A5320" s="119" t="s">
        <v>5789</v>
      </c>
      <c r="B5320" s="119" t="s">
        <v>6515</v>
      </c>
      <c r="C5320" s="119" t="s">
        <v>66</v>
      </c>
      <c r="D5320" t="s">
        <v>51</v>
      </c>
      <c r="E5320" s="117">
        <v>42.24</v>
      </c>
    </row>
    <row r="5321" spans="1:5" x14ac:dyDescent="0.25">
      <c r="A5321" s="119" t="s">
        <v>5790</v>
      </c>
      <c r="B5321" s="119" t="s">
        <v>6516</v>
      </c>
      <c r="C5321" s="119" t="s">
        <v>66</v>
      </c>
      <c r="D5321" t="s">
        <v>45</v>
      </c>
      <c r="E5321" s="117">
        <v>68.25</v>
      </c>
    </row>
    <row r="5322" spans="1:5" x14ac:dyDescent="0.25">
      <c r="A5322" s="119" t="s">
        <v>5791</v>
      </c>
      <c r="B5322" s="119" t="s">
        <v>6517</v>
      </c>
      <c r="C5322" s="119" t="s">
        <v>66</v>
      </c>
      <c r="D5322" t="s">
        <v>51</v>
      </c>
      <c r="E5322" s="117">
        <v>71.400000000000006</v>
      </c>
    </row>
    <row r="5323" spans="1:5" x14ac:dyDescent="0.25">
      <c r="A5323" s="119" t="s">
        <v>5792</v>
      </c>
      <c r="B5323" s="119" t="s">
        <v>11363</v>
      </c>
      <c r="C5323" s="119" t="s">
        <v>66</v>
      </c>
      <c r="D5323" t="s">
        <v>45</v>
      </c>
      <c r="E5323" s="117">
        <v>0</v>
      </c>
    </row>
    <row r="5324" spans="1:5" x14ac:dyDescent="0.25">
      <c r="A5324" s="119" t="s">
        <v>5793</v>
      </c>
      <c r="B5324" s="119" t="s">
        <v>5794</v>
      </c>
      <c r="C5324" s="119" t="s">
        <v>66</v>
      </c>
      <c r="D5324" t="s">
        <v>45</v>
      </c>
      <c r="E5324" s="117">
        <v>105</v>
      </c>
    </row>
    <row r="5325" spans="1:5" x14ac:dyDescent="0.25">
      <c r="A5325" s="119" t="s">
        <v>5795</v>
      </c>
      <c r="B5325" s="119" t="s">
        <v>5796</v>
      </c>
      <c r="C5325" s="119" t="s">
        <v>66</v>
      </c>
      <c r="D5325" t="s">
        <v>45</v>
      </c>
      <c r="E5325" s="117">
        <v>115</v>
      </c>
    </row>
    <row r="5326" spans="1:5" x14ac:dyDescent="0.25">
      <c r="A5326" s="119" t="s">
        <v>5797</v>
      </c>
      <c r="B5326" s="119" t="s">
        <v>6518</v>
      </c>
      <c r="C5326" s="119" t="s">
        <v>66</v>
      </c>
      <c r="D5326" t="s">
        <v>45</v>
      </c>
      <c r="E5326" s="117">
        <v>65</v>
      </c>
    </row>
    <row r="5327" spans="1:5" x14ac:dyDescent="0.25">
      <c r="A5327" s="119" t="s">
        <v>5798</v>
      </c>
      <c r="B5327" s="119" t="s">
        <v>11364</v>
      </c>
      <c r="C5327" s="119" t="s">
        <v>66</v>
      </c>
      <c r="D5327" t="s">
        <v>45</v>
      </c>
      <c r="E5327" s="117">
        <v>0</v>
      </c>
    </row>
    <row r="5328" spans="1:5" x14ac:dyDescent="0.25">
      <c r="A5328" s="119" t="s">
        <v>5799</v>
      </c>
      <c r="B5328" s="119" t="s">
        <v>11365</v>
      </c>
      <c r="C5328" s="119" t="s">
        <v>66</v>
      </c>
      <c r="D5328" t="s">
        <v>45</v>
      </c>
      <c r="E5328" s="117">
        <v>0</v>
      </c>
    </row>
    <row r="5329" spans="1:5" x14ac:dyDescent="0.25">
      <c r="A5329" s="119" t="s">
        <v>5800</v>
      </c>
      <c r="B5329" s="119" t="s">
        <v>11366</v>
      </c>
      <c r="C5329" s="119" t="s">
        <v>66</v>
      </c>
      <c r="D5329" t="s">
        <v>45</v>
      </c>
      <c r="E5329" s="117">
        <v>26.57</v>
      </c>
    </row>
    <row r="5330" spans="1:5" x14ac:dyDescent="0.25">
      <c r="A5330" s="119" t="s">
        <v>5801</v>
      </c>
      <c r="B5330" s="119" t="s">
        <v>11367</v>
      </c>
      <c r="C5330" s="119" t="s">
        <v>66</v>
      </c>
      <c r="D5330" t="s">
        <v>45</v>
      </c>
      <c r="E5330" s="117">
        <v>0</v>
      </c>
    </row>
    <row r="5331" spans="1:5" x14ac:dyDescent="0.25">
      <c r="A5331" s="119" t="s">
        <v>5802</v>
      </c>
      <c r="B5331" s="119" t="s">
        <v>11368</v>
      </c>
      <c r="C5331" s="119" t="s">
        <v>66</v>
      </c>
      <c r="D5331" t="s">
        <v>45</v>
      </c>
      <c r="E5331" s="117">
        <v>41.3</v>
      </c>
    </row>
    <row r="5332" spans="1:5" x14ac:dyDescent="0.25">
      <c r="A5332" s="119" t="s">
        <v>5803</v>
      </c>
      <c r="B5332" s="119" t="s">
        <v>5804</v>
      </c>
      <c r="C5332" s="119" t="s">
        <v>66</v>
      </c>
      <c r="D5332" t="s">
        <v>6760</v>
      </c>
      <c r="E5332" s="117">
        <v>23.1</v>
      </c>
    </row>
    <row r="5333" spans="1:5" x14ac:dyDescent="0.25">
      <c r="A5333" s="119" t="s">
        <v>5805</v>
      </c>
      <c r="B5333" s="119" t="s">
        <v>5806</v>
      </c>
      <c r="C5333" s="119" t="s">
        <v>66</v>
      </c>
      <c r="D5333" t="s">
        <v>6760</v>
      </c>
      <c r="E5333" s="117">
        <v>23.1</v>
      </c>
    </row>
    <row r="5334" spans="1:5" x14ac:dyDescent="0.25">
      <c r="A5334" s="119" t="s">
        <v>5807</v>
      </c>
      <c r="B5334" s="119" t="s">
        <v>5808</v>
      </c>
      <c r="C5334" s="119" t="s">
        <v>66</v>
      </c>
      <c r="D5334" t="s">
        <v>6760</v>
      </c>
      <c r="E5334" s="117">
        <v>23.1</v>
      </c>
    </row>
    <row r="5335" spans="1:5" x14ac:dyDescent="0.25">
      <c r="A5335" s="119" t="s">
        <v>5809</v>
      </c>
      <c r="B5335" s="119" t="s">
        <v>5810</v>
      </c>
      <c r="C5335" s="119" t="s">
        <v>66</v>
      </c>
      <c r="D5335" t="s">
        <v>6760</v>
      </c>
      <c r="E5335" s="117">
        <v>22.89</v>
      </c>
    </row>
    <row r="5336" spans="1:5" x14ac:dyDescent="0.25">
      <c r="A5336" s="119" t="s">
        <v>5811</v>
      </c>
      <c r="B5336" s="119" t="s">
        <v>5812</v>
      </c>
      <c r="C5336" s="119" t="s">
        <v>66</v>
      </c>
      <c r="D5336" t="s">
        <v>49</v>
      </c>
      <c r="E5336" s="117">
        <v>23.1</v>
      </c>
    </row>
    <row r="5337" spans="1:5" x14ac:dyDescent="0.25">
      <c r="A5337" s="119" t="s">
        <v>5813</v>
      </c>
      <c r="B5337" s="119" t="s">
        <v>5814</v>
      </c>
      <c r="C5337" s="119" t="s">
        <v>66</v>
      </c>
      <c r="D5337" t="s">
        <v>49</v>
      </c>
      <c r="E5337" s="117">
        <v>23.1</v>
      </c>
    </row>
    <row r="5338" spans="1:5" x14ac:dyDescent="0.25">
      <c r="A5338" s="119" t="s">
        <v>5815</v>
      </c>
      <c r="B5338" s="119" t="s">
        <v>5816</v>
      </c>
      <c r="C5338" s="119" t="s">
        <v>66</v>
      </c>
      <c r="D5338" t="s">
        <v>49</v>
      </c>
      <c r="E5338" s="117">
        <v>144.80000000000001</v>
      </c>
    </row>
    <row r="5339" spans="1:5" x14ac:dyDescent="0.25">
      <c r="A5339" s="119" t="s">
        <v>5817</v>
      </c>
      <c r="B5339" s="119" t="s">
        <v>5818</v>
      </c>
      <c r="C5339" s="119" t="s">
        <v>66</v>
      </c>
      <c r="D5339" t="s">
        <v>49</v>
      </c>
      <c r="E5339" s="117">
        <v>144.80000000000001</v>
      </c>
    </row>
    <row r="5340" spans="1:5" x14ac:dyDescent="0.25">
      <c r="A5340" s="119" t="s">
        <v>5819</v>
      </c>
      <c r="B5340" s="119" t="s">
        <v>5820</v>
      </c>
      <c r="C5340" s="119" t="s">
        <v>66</v>
      </c>
      <c r="D5340" t="s">
        <v>49</v>
      </c>
      <c r="E5340" s="117">
        <v>144.80000000000001</v>
      </c>
    </row>
    <row r="5341" spans="1:5" x14ac:dyDescent="0.25">
      <c r="A5341" s="119" t="s">
        <v>5821</v>
      </c>
      <c r="B5341" s="119" t="s">
        <v>5822</v>
      </c>
      <c r="C5341" s="119" t="s">
        <v>66</v>
      </c>
      <c r="D5341" t="s">
        <v>49</v>
      </c>
      <c r="E5341" s="117">
        <v>144.80000000000001</v>
      </c>
    </row>
    <row r="5342" spans="1:5" x14ac:dyDescent="0.25">
      <c r="A5342" s="119" t="s">
        <v>5823</v>
      </c>
      <c r="B5342" s="119" t="s">
        <v>5824</v>
      </c>
      <c r="C5342" s="119" t="s">
        <v>66</v>
      </c>
      <c r="D5342" t="s">
        <v>49</v>
      </c>
      <c r="E5342" s="117">
        <v>144.80000000000001</v>
      </c>
    </row>
    <row r="5343" spans="1:5" x14ac:dyDescent="0.25">
      <c r="A5343" s="119" t="s">
        <v>5825</v>
      </c>
      <c r="B5343" s="119" t="s">
        <v>5826</v>
      </c>
      <c r="C5343" s="119" t="s">
        <v>66</v>
      </c>
      <c r="D5343" t="s">
        <v>49</v>
      </c>
      <c r="E5343" s="117">
        <v>80.33</v>
      </c>
    </row>
    <row r="5344" spans="1:5" x14ac:dyDescent="0.25">
      <c r="A5344" s="119" t="s">
        <v>5827</v>
      </c>
      <c r="B5344" s="119" t="s">
        <v>5828</v>
      </c>
      <c r="C5344" s="119" t="s">
        <v>66</v>
      </c>
      <c r="D5344" t="s">
        <v>49</v>
      </c>
      <c r="E5344" s="117">
        <v>40.43</v>
      </c>
    </row>
    <row r="5345" spans="1:5" x14ac:dyDescent="0.25">
      <c r="A5345" s="119" t="s">
        <v>5829</v>
      </c>
      <c r="B5345" s="119" t="s">
        <v>5830</v>
      </c>
      <c r="C5345" s="119" t="s">
        <v>66</v>
      </c>
      <c r="D5345" t="s">
        <v>6759</v>
      </c>
      <c r="E5345" s="117">
        <v>26.57</v>
      </c>
    </row>
    <row r="5346" spans="1:5" x14ac:dyDescent="0.25">
      <c r="A5346" s="119" t="s">
        <v>5831</v>
      </c>
      <c r="B5346" s="119" t="s">
        <v>5832</v>
      </c>
      <c r="C5346" s="119" t="s">
        <v>66</v>
      </c>
      <c r="D5346" t="s">
        <v>45</v>
      </c>
      <c r="E5346" s="117">
        <v>25.3</v>
      </c>
    </row>
    <row r="5347" spans="1:5" x14ac:dyDescent="0.25">
      <c r="A5347" s="119" t="s">
        <v>5833</v>
      </c>
      <c r="B5347" s="119" t="s">
        <v>5834</v>
      </c>
      <c r="C5347" s="119" t="s">
        <v>66</v>
      </c>
      <c r="D5347" t="s">
        <v>49</v>
      </c>
      <c r="E5347" s="117">
        <v>26.57</v>
      </c>
    </row>
    <row r="5348" spans="1:5" x14ac:dyDescent="0.25">
      <c r="A5348" s="119" t="s">
        <v>5835</v>
      </c>
      <c r="B5348" s="119" t="s">
        <v>5836</v>
      </c>
      <c r="C5348" s="119" t="s">
        <v>66</v>
      </c>
      <c r="D5348" t="s">
        <v>49</v>
      </c>
      <c r="E5348" s="117">
        <v>26.57</v>
      </c>
    </row>
    <row r="5349" spans="1:5" x14ac:dyDescent="0.25">
      <c r="A5349" s="119" t="s">
        <v>5837</v>
      </c>
      <c r="B5349" s="119" t="s">
        <v>5838</v>
      </c>
      <c r="C5349" s="119" t="s">
        <v>66</v>
      </c>
      <c r="D5349" t="s">
        <v>49</v>
      </c>
      <c r="E5349" s="117">
        <v>26.57</v>
      </c>
    </row>
    <row r="5350" spans="1:5" x14ac:dyDescent="0.25">
      <c r="A5350" s="119" t="s">
        <v>5839</v>
      </c>
      <c r="B5350" s="119" t="s">
        <v>11369</v>
      </c>
      <c r="C5350" s="119" t="s">
        <v>66</v>
      </c>
      <c r="D5350" t="s">
        <v>45</v>
      </c>
      <c r="E5350" s="117">
        <v>0</v>
      </c>
    </row>
    <row r="5351" spans="1:5" x14ac:dyDescent="0.25">
      <c r="A5351" s="119" t="s">
        <v>5840</v>
      </c>
      <c r="B5351" s="119" t="s">
        <v>11370</v>
      </c>
      <c r="C5351" s="119" t="s">
        <v>66</v>
      </c>
      <c r="D5351" t="s">
        <v>45</v>
      </c>
      <c r="E5351" s="117">
        <v>278</v>
      </c>
    </row>
    <row r="5352" spans="1:5" x14ac:dyDescent="0.25">
      <c r="A5352" s="119" t="s">
        <v>5841</v>
      </c>
      <c r="B5352" s="119" t="s">
        <v>11371</v>
      </c>
      <c r="C5352" s="119" t="s">
        <v>66</v>
      </c>
      <c r="D5352" t="s">
        <v>49</v>
      </c>
      <c r="E5352" s="117">
        <v>979.55</v>
      </c>
    </row>
    <row r="5353" spans="1:5" x14ac:dyDescent="0.25">
      <c r="A5353" s="119" t="s">
        <v>5842</v>
      </c>
      <c r="B5353" s="119" t="s">
        <v>11372</v>
      </c>
      <c r="C5353" s="119" t="s">
        <v>66</v>
      </c>
      <c r="D5353" t="s">
        <v>49</v>
      </c>
      <c r="E5353" s="117">
        <v>120.75</v>
      </c>
    </row>
    <row r="5354" spans="1:5" x14ac:dyDescent="0.25">
      <c r="A5354" s="119" t="s">
        <v>5843</v>
      </c>
      <c r="B5354" s="119" t="s">
        <v>11373</v>
      </c>
      <c r="C5354" s="119" t="s">
        <v>66</v>
      </c>
      <c r="D5354" t="s">
        <v>45</v>
      </c>
      <c r="E5354" s="117">
        <v>155</v>
      </c>
    </row>
    <row r="5355" spans="1:5" x14ac:dyDescent="0.25">
      <c r="A5355" s="119" t="s">
        <v>5844</v>
      </c>
      <c r="B5355" s="119" t="s">
        <v>11374</v>
      </c>
      <c r="C5355" s="119" t="s">
        <v>66</v>
      </c>
      <c r="D5355" t="s">
        <v>49</v>
      </c>
      <c r="E5355" s="117">
        <v>262.5</v>
      </c>
    </row>
    <row r="5356" spans="1:5" x14ac:dyDescent="0.25">
      <c r="A5356" s="119" t="s">
        <v>5845</v>
      </c>
      <c r="B5356" s="119" t="s">
        <v>11375</v>
      </c>
      <c r="C5356" s="119" t="s">
        <v>66</v>
      </c>
      <c r="D5356" t="s">
        <v>45</v>
      </c>
      <c r="E5356" s="117">
        <v>210.6</v>
      </c>
    </row>
    <row r="5357" spans="1:5" x14ac:dyDescent="0.25">
      <c r="A5357" s="119" t="s">
        <v>5846</v>
      </c>
      <c r="B5357" s="119" t="s">
        <v>11376</v>
      </c>
      <c r="C5357" s="119" t="s">
        <v>66</v>
      </c>
      <c r="D5357" t="s">
        <v>49</v>
      </c>
      <c r="E5357" s="117">
        <v>260.19</v>
      </c>
    </row>
    <row r="5358" spans="1:5" x14ac:dyDescent="0.25">
      <c r="A5358" s="119" t="s">
        <v>5847</v>
      </c>
      <c r="B5358" s="119" t="s">
        <v>5848</v>
      </c>
      <c r="C5358" s="119" t="s">
        <v>66</v>
      </c>
      <c r="D5358" t="s">
        <v>51</v>
      </c>
      <c r="E5358" s="117">
        <v>315.01</v>
      </c>
    </row>
    <row r="5359" spans="1:5" x14ac:dyDescent="0.25">
      <c r="A5359" s="119" t="s">
        <v>5849</v>
      </c>
      <c r="B5359" s="119" t="s">
        <v>5850</v>
      </c>
      <c r="C5359" s="119" t="s">
        <v>66</v>
      </c>
      <c r="D5359" t="s">
        <v>51</v>
      </c>
      <c r="E5359" s="117">
        <v>374.19</v>
      </c>
    </row>
    <row r="5360" spans="1:5" x14ac:dyDescent="0.25">
      <c r="A5360" s="119" t="s">
        <v>5851</v>
      </c>
      <c r="B5360" s="119" t="s">
        <v>5852</v>
      </c>
      <c r="C5360" s="119" t="s">
        <v>66</v>
      </c>
      <c r="D5360" t="s">
        <v>51</v>
      </c>
      <c r="E5360" s="117">
        <v>561.29</v>
      </c>
    </row>
    <row r="5361" spans="1:5" x14ac:dyDescent="0.25">
      <c r="A5361" s="119" t="s">
        <v>5853</v>
      </c>
      <c r="B5361" s="119" t="s">
        <v>11377</v>
      </c>
      <c r="C5361" s="119" t="s">
        <v>66</v>
      </c>
      <c r="D5361" t="s">
        <v>45</v>
      </c>
      <c r="E5361" s="117">
        <v>856</v>
      </c>
    </row>
    <row r="5362" spans="1:5" x14ac:dyDescent="0.25">
      <c r="A5362" s="119" t="s">
        <v>5854</v>
      </c>
      <c r="B5362" s="119" t="s">
        <v>5855</v>
      </c>
      <c r="C5362" s="119" t="s">
        <v>66</v>
      </c>
      <c r="D5362" t="s">
        <v>51</v>
      </c>
      <c r="E5362" s="117">
        <v>483.07</v>
      </c>
    </row>
    <row r="5363" spans="1:5" x14ac:dyDescent="0.25">
      <c r="A5363" s="119" t="s">
        <v>5856</v>
      </c>
      <c r="B5363" s="119" t="s">
        <v>11378</v>
      </c>
      <c r="C5363" s="119" t="s">
        <v>66</v>
      </c>
      <c r="D5363" t="s">
        <v>45</v>
      </c>
      <c r="E5363" s="117">
        <v>0</v>
      </c>
    </row>
    <row r="5364" spans="1:5" x14ac:dyDescent="0.25">
      <c r="A5364" s="119" t="s">
        <v>5857</v>
      </c>
      <c r="B5364" s="119" t="s">
        <v>5858</v>
      </c>
      <c r="C5364" s="119" t="s">
        <v>66</v>
      </c>
      <c r="D5364" t="s">
        <v>51</v>
      </c>
      <c r="E5364" s="117">
        <v>106.26</v>
      </c>
    </row>
    <row r="5365" spans="1:5" x14ac:dyDescent="0.25">
      <c r="A5365" s="119" t="s">
        <v>5859</v>
      </c>
      <c r="B5365" s="119" t="s">
        <v>5523</v>
      </c>
      <c r="C5365" s="119" t="s">
        <v>66</v>
      </c>
      <c r="D5365" t="s">
        <v>45</v>
      </c>
      <c r="E5365" s="117">
        <v>491.84</v>
      </c>
    </row>
    <row r="5366" spans="1:5" x14ac:dyDescent="0.25">
      <c r="A5366" s="119" t="s">
        <v>5860</v>
      </c>
      <c r="B5366" s="119" t="s">
        <v>11379</v>
      </c>
      <c r="C5366" s="119" t="s">
        <v>301</v>
      </c>
      <c r="D5366" t="s">
        <v>6759</v>
      </c>
      <c r="E5366" s="117">
        <v>2660.29</v>
      </c>
    </row>
    <row r="5367" spans="1:5" x14ac:dyDescent="0.25">
      <c r="A5367" s="119" t="s">
        <v>5861</v>
      </c>
      <c r="B5367" s="119" t="s">
        <v>5862</v>
      </c>
      <c r="C5367" s="119" t="s">
        <v>301</v>
      </c>
      <c r="D5367" t="s">
        <v>45</v>
      </c>
      <c r="E5367" s="117">
        <v>0</v>
      </c>
    </row>
    <row r="5368" spans="1:5" x14ac:dyDescent="0.25">
      <c r="A5368" s="119" t="s">
        <v>7798</v>
      </c>
      <c r="B5368" s="119" t="s">
        <v>11380</v>
      </c>
      <c r="C5368" s="119" t="s">
        <v>301</v>
      </c>
      <c r="D5368" t="s">
        <v>6759</v>
      </c>
      <c r="E5368" s="117">
        <v>1313.27</v>
      </c>
    </row>
    <row r="5369" spans="1:5" x14ac:dyDescent="0.25">
      <c r="A5369" s="119" t="s">
        <v>7799</v>
      </c>
      <c r="B5369" s="119" t="s">
        <v>5862</v>
      </c>
      <c r="C5369" s="119" t="s">
        <v>301</v>
      </c>
      <c r="D5369" t="s">
        <v>6759</v>
      </c>
      <c r="E5369" s="117">
        <v>9999</v>
      </c>
    </row>
    <row r="5370" spans="1:5" x14ac:dyDescent="0.25">
      <c r="A5370" s="119" t="s">
        <v>5863</v>
      </c>
      <c r="B5370" s="119" t="s">
        <v>7800</v>
      </c>
      <c r="C5370" s="119" t="s">
        <v>301</v>
      </c>
      <c r="D5370" t="s">
        <v>45</v>
      </c>
      <c r="E5370" s="117">
        <v>2000</v>
      </c>
    </row>
    <row r="5371" spans="1:5" x14ac:dyDescent="0.25">
      <c r="A5371" s="119" t="s">
        <v>5864</v>
      </c>
      <c r="B5371" s="119" t="s">
        <v>11381</v>
      </c>
      <c r="C5371" s="119" t="s">
        <v>301</v>
      </c>
      <c r="D5371" t="s">
        <v>6759</v>
      </c>
      <c r="E5371" s="117">
        <v>2710.56</v>
      </c>
    </row>
    <row r="5372" spans="1:5" x14ac:dyDescent="0.25">
      <c r="A5372" s="119" t="s">
        <v>5865</v>
      </c>
      <c r="B5372" s="119" t="s">
        <v>11382</v>
      </c>
      <c r="C5372" s="119" t="s">
        <v>301</v>
      </c>
      <c r="D5372" t="s">
        <v>49</v>
      </c>
      <c r="E5372" s="117">
        <v>1330.64</v>
      </c>
    </row>
    <row r="5373" spans="1:5" x14ac:dyDescent="0.25">
      <c r="A5373" s="119" t="s">
        <v>5866</v>
      </c>
      <c r="B5373" s="119" t="s">
        <v>11383</v>
      </c>
      <c r="C5373" s="119" t="s">
        <v>301</v>
      </c>
      <c r="D5373" t="s">
        <v>45</v>
      </c>
      <c r="E5373" s="117">
        <v>8729.18</v>
      </c>
    </row>
    <row r="5374" spans="1:5" x14ac:dyDescent="0.25">
      <c r="A5374" s="119" t="s">
        <v>5867</v>
      </c>
      <c r="B5374" s="119" t="s">
        <v>11384</v>
      </c>
      <c r="C5374" s="119" t="s">
        <v>301</v>
      </c>
      <c r="D5374" t="s">
        <v>6759</v>
      </c>
      <c r="E5374" s="117">
        <v>8574.25</v>
      </c>
    </row>
    <row r="5375" spans="1:5" x14ac:dyDescent="0.25">
      <c r="A5375" s="119" t="s">
        <v>5868</v>
      </c>
      <c r="B5375" s="119" t="s">
        <v>11385</v>
      </c>
      <c r="C5375" s="119" t="s">
        <v>301</v>
      </c>
      <c r="D5375" t="s">
        <v>6759</v>
      </c>
      <c r="E5375" s="117">
        <v>11500</v>
      </c>
    </row>
    <row r="5376" spans="1:5" x14ac:dyDescent="0.25">
      <c r="A5376" s="119" t="s">
        <v>5869</v>
      </c>
      <c r="B5376" s="119" t="s">
        <v>11386</v>
      </c>
      <c r="C5376" s="119" t="s">
        <v>301</v>
      </c>
      <c r="D5376" t="s">
        <v>6759</v>
      </c>
      <c r="E5376" s="117">
        <v>999999</v>
      </c>
    </row>
    <row r="5377" spans="1:5" x14ac:dyDescent="0.25">
      <c r="A5377" s="119" t="s">
        <v>5870</v>
      </c>
      <c r="B5377" s="119" t="s">
        <v>11850</v>
      </c>
      <c r="C5377" s="119" t="s">
        <v>66</v>
      </c>
      <c r="D5377" t="s">
        <v>6759</v>
      </c>
      <c r="E5377" s="117">
        <v>75.099999999999994</v>
      </c>
    </row>
    <row r="5378" spans="1:5" x14ac:dyDescent="0.25">
      <c r="A5378" s="119" t="s">
        <v>11660</v>
      </c>
      <c r="B5378" s="119" t="s">
        <v>11661</v>
      </c>
      <c r="C5378" s="119" t="s">
        <v>301</v>
      </c>
      <c r="D5378" t="s">
        <v>45</v>
      </c>
      <c r="E5378" s="117">
        <v>9999</v>
      </c>
    </row>
    <row r="5379" spans="1:5" x14ac:dyDescent="0.25">
      <c r="A5379" s="119" t="s">
        <v>8197</v>
      </c>
      <c r="B5379" s="119" t="s">
        <v>8198</v>
      </c>
      <c r="C5379" s="119" t="s">
        <v>301</v>
      </c>
      <c r="D5379" t="s">
        <v>45</v>
      </c>
      <c r="E5379" s="117">
        <v>9999</v>
      </c>
    </row>
    <row r="5380" spans="1:5" x14ac:dyDescent="0.25">
      <c r="A5380" s="119" t="s">
        <v>5871</v>
      </c>
      <c r="B5380" s="119" t="s">
        <v>11387</v>
      </c>
      <c r="C5380" s="119" t="s">
        <v>301</v>
      </c>
      <c r="D5380" t="s">
        <v>45</v>
      </c>
      <c r="E5380" s="117">
        <v>6018.55</v>
      </c>
    </row>
    <row r="5381" spans="1:5" x14ac:dyDescent="0.25">
      <c r="A5381" s="119" t="s">
        <v>5872</v>
      </c>
      <c r="B5381" s="119" t="s">
        <v>11388</v>
      </c>
      <c r="C5381" s="119" t="s">
        <v>301</v>
      </c>
      <c r="D5381" t="s">
        <v>51</v>
      </c>
      <c r="E5381" s="117">
        <v>334.95</v>
      </c>
    </row>
    <row r="5382" spans="1:5" x14ac:dyDescent="0.25">
      <c r="A5382" s="119" t="s">
        <v>5873</v>
      </c>
      <c r="B5382" s="119" t="s">
        <v>11389</v>
      </c>
      <c r="C5382" s="119" t="s">
        <v>301</v>
      </c>
      <c r="D5382" t="s">
        <v>6760</v>
      </c>
      <c r="E5382" s="117">
        <v>345.45</v>
      </c>
    </row>
    <row r="5383" spans="1:5" x14ac:dyDescent="0.25">
      <c r="A5383" s="119" t="s">
        <v>5874</v>
      </c>
      <c r="B5383" s="119" t="s">
        <v>11390</v>
      </c>
      <c r="C5383" s="119" t="s">
        <v>301</v>
      </c>
      <c r="D5383" t="s">
        <v>49</v>
      </c>
      <c r="E5383" s="117">
        <v>460.95</v>
      </c>
    </row>
    <row r="5384" spans="1:5" x14ac:dyDescent="0.25">
      <c r="A5384" s="119" t="s">
        <v>5875</v>
      </c>
      <c r="B5384" s="119" t="s">
        <v>11391</v>
      </c>
      <c r="C5384" s="119" t="s">
        <v>301</v>
      </c>
      <c r="D5384" t="s">
        <v>45</v>
      </c>
      <c r="E5384" s="117">
        <v>502.95</v>
      </c>
    </row>
    <row r="5385" spans="1:5" x14ac:dyDescent="0.25">
      <c r="A5385" s="119" t="s">
        <v>5876</v>
      </c>
      <c r="B5385" s="119" t="s">
        <v>11392</v>
      </c>
      <c r="C5385" s="119" t="s">
        <v>301</v>
      </c>
      <c r="D5385" t="s">
        <v>49</v>
      </c>
      <c r="E5385" s="117">
        <v>999</v>
      </c>
    </row>
    <row r="5386" spans="1:5" x14ac:dyDescent="0.25">
      <c r="A5386" s="119" t="s">
        <v>5877</v>
      </c>
      <c r="B5386" s="119" t="s">
        <v>5878</v>
      </c>
      <c r="C5386" s="119" t="s">
        <v>66</v>
      </c>
      <c r="D5386" t="s">
        <v>45</v>
      </c>
      <c r="E5386" s="117">
        <v>999999</v>
      </c>
    </row>
    <row r="5387" spans="1:5" x14ac:dyDescent="0.25">
      <c r="A5387" s="119" t="s">
        <v>5879</v>
      </c>
      <c r="B5387" s="119" t="s">
        <v>5880</v>
      </c>
      <c r="C5387" s="119" t="s">
        <v>301</v>
      </c>
      <c r="D5387" t="s">
        <v>45</v>
      </c>
      <c r="E5387" s="117">
        <v>0</v>
      </c>
    </row>
    <row r="5388" spans="1:5" x14ac:dyDescent="0.25">
      <c r="A5388" s="119" t="s">
        <v>5881</v>
      </c>
      <c r="B5388" s="119" t="s">
        <v>5882</v>
      </c>
      <c r="C5388" s="119" t="s">
        <v>66</v>
      </c>
      <c r="D5388" t="s">
        <v>45</v>
      </c>
      <c r="E5388" s="117">
        <v>0</v>
      </c>
    </row>
    <row r="5389" spans="1:5" x14ac:dyDescent="0.25">
      <c r="A5389" s="119" t="s">
        <v>5883</v>
      </c>
      <c r="B5389" s="119" t="s">
        <v>5884</v>
      </c>
      <c r="C5389" s="119" t="s">
        <v>66</v>
      </c>
      <c r="D5389" t="s">
        <v>45</v>
      </c>
      <c r="E5389" s="117">
        <v>62.17</v>
      </c>
    </row>
    <row r="5390" spans="1:5" x14ac:dyDescent="0.25">
      <c r="A5390" s="119" t="s">
        <v>5885</v>
      </c>
      <c r="B5390" s="119" t="s">
        <v>5886</v>
      </c>
      <c r="C5390" s="119" t="s">
        <v>66</v>
      </c>
      <c r="D5390" t="s">
        <v>45</v>
      </c>
      <c r="E5390" s="117">
        <v>43.53</v>
      </c>
    </row>
    <row r="5391" spans="1:5" x14ac:dyDescent="0.25">
      <c r="A5391" s="119" t="s">
        <v>5887</v>
      </c>
      <c r="B5391" s="119" t="s">
        <v>11393</v>
      </c>
      <c r="C5391" s="119" t="s">
        <v>301</v>
      </c>
      <c r="D5391" t="s">
        <v>49</v>
      </c>
      <c r="E5391" s="117">
        <v>1103.94</v>
      </c>
    </row>
    <row r="5392" spans="1:5" x14ac:dyDescent="0.25">
      <c r="A5392" s="119" t="s">
        <v>5888</v>
      </c>
      <c r="B5392" s="119" t="s">
        <v>11394</v>
      </c>
      <c r="C5392" s="119" t="s">
        <v>301</v>
      </c>
      <c r="D5392" t="s">
        <v>45</v>
      </c>
      <c r="E5392" s="117">
        <v>0</v>
      </c>
    </row>
    <row r="5393" spans="1:5" x14ac:dyDescent="0.25">
      <c r="A5393" s="119" t="s">
        <v>5889</v>
      </c>
      <c r="B5393" s="119" t="s">
        <v>11395</v>
      </c>
      <c r="C5393" s="119" t="s">
        <v>301</v>
      </c>
      <c r="D5393" t="s">
        <v>6759</v>
      </c>
      <c r="E5393" s="117">
        <v>0</v>
      </c>
    </row>
    <row r="5394" spans="1:5" x14ac:dyDescent="0.25">
      <c r="A5394" s="119" t="s">
        <v>5890</v>
      </c>
      <c r="B5394" s="119" t="s">
        <v>11396</v>
      </c>
      <c r="C5394" s="119" t="s">
        <v>301</v>
      </c>
      <c r="D5394" t="s">
        <v>45</v>
      </c>
      <c r="E5394" s="117">
        <v>1987.26</v>
      </c>
    </row>
    <row r="5395" spans="1:5" x14ac:dyDescent="0.25">
      <c r="A5395" s="119" t="s">
        <v>5891</v>
      </c>
      <c r="B5395" s="119" t="s">
        <v>11397</v>
      </c>
      <c r="C5395" s="119" t="s">
        <v>301</v>
      </c>
      <c r="D5395" t="s">
        <v>45</v>
      </c>
      <c r="E5395" s="117">
        <v>2237.09</v>
      </c>
    </row>
    <row r="5396" spans="1:5" x14ac:dyDescent="0.25">
      <c r="A5396" s="119" t="s">
        <v>5892</v>
      </c>
      <c r="B5396" s="119" t="s">
        <v>11398</v>
      </c>
      <c r="C5396" s="119" t="s">
        <v>301</v>
      </c>
      <c r="D5396" t="s">
        <v>45</v>
      </c>
      <c r="E5396" s="117">
        <v>0</v>
      </c>
    </row>
    <row r="5397" spans="1:5" x14ac:dyDescent="0.25">
      <c r="A5397" s="119" t="s">
        <v>5893</v>
      </c>
      <c r="B5397" s="119" t="s">
        <v>11399</v>
      </c>
      <c r="C5397" s="119" t="s">
        <v>301</v>
      </c>
      <c r="D5397" t="s">
        <v>6759</v>
      </c>
      <c r="E5397" s="117">
        <v>3066.05</v>
      </c>
    </row>
    <row r="5398" spans="1:5" x14ac:dyDescent="0.25">
      <c r="A5398" s="119" t="s">
        <v>5894</v>
      </c>
      <c r="B5398" s="119" t="s">
        <v>11400</v>
      </c>
      <c r="C5398" s="119" t="s">
        <v>301</v>
      </c>
      <c r="D5398" t="s">
        <v>6759</v>
      </c>
      <c r="E5398" s="117">
        <v>3349.95</v>
      </c>
    </row>
    <row r="5399" spans="1:5" x14ac:dyDescent="0.25">
      <c r="A5399" s="119" t="s">
        <v>5895</v>
      </c>
      <c r="B5399" s="119" t="s">
        <v>11401</v>
      </c>
      <c r="C5399" s="119" t="s">
        <v>301</v>
      </c>
      <c r="D5399" t="s">
        <v>6759</v>
      </c>
      <c r="E5399" s="117">
        <v>4999</v>
      </c>
    </row>
    <row r="5400" spans="1:5" x14ac:dyDescent="0.25">
      <c r="A5400" s="119" t="s">
        <v>5896</v>
      </c>
      <c r="B5400" s="119" t="s">
        <v>5897</v>
      </c>
      <c r="C5400" s="119" t="s">
        <v>301</v>
      </c>
      <c r="D5400" t="s">
        <v>45</v>
      </c>
      <c r="E5400" s="117">
        <v>0</v>
      </c>
    </row>
    <row r="5401" spans="1:5" x14ac:dyDescent="0.25">
      <c r="A5401" s="119" t="s">
        <v>5898</v>
      </c>
      <c r="B5401" s="119" t="s">
        <v>11402</v>
      </c>
      <c r="C5401" s="119" t="s">
        <v>301</v>
      </c>
      <c r="D5401" t="s">
        <v>45</v>
      </c>
      <c r="E5401" s="117">
        <v>2668.61</v>
      </c>
    </row>
    <row r="5402" spans="1:5" x14ac:dyDescent="0.25">
      <c r="A5402" s="119" t="s">
        <v>7801</v>
      </c>
      <c r="B5402" s="119" t="s">
        <v>7802</v>
      </c>
      <c r="C5402" s="119" t="s">
        <v>66</v>
      </c>
      <c r="D5402" t="s">
        <v>6759</v>
      </c>
      <c r="E5402" s="117">
        <v>9999</v>
      </c>
    </row>
    <row r="5403" spans="1:5" x14ac:dyDescent="0.25">
      <c r="A5403" s="119" t="s">
        <v>5899</v>
      </c>
      <c r="B5403" s="119" t="s">
        <v>11403</v>
      </c>
      <c r="C5403" s="119" t="s">
        <v>301</v>
      </c>
      <c r="D5403" t="s">
        <v>49</v>
      </c>
      <c r="E5403" s="117">
        <v>1439.06</v>
      </c>
    </row>
    <row r="5404" spans="1:5" x14ac:dyDescent="0.25">
      <c r="A5404" s="119" t="s">
        <v>5900</v>
      </c>
      <c r="B5404" s="119" t="s">
        <v>5901</v>
      </c>
      <c r="C5404" s="119" t="s">
        <v>301</v>
      </c>
      <c r="D5404" t="s">
        <v>45</v>
      </c>
      <c r="E5404" s="117">
        <v>9999</v>
      </c>
    </row>
    <row r="5405" spans="1:5" x14ac:dyDescent="0.25">
      <c r="A5405" s="119" t="s">
        <v>5902</v>
      </c>
      <c r="B5405" s="119" t="s">
        <v>5903</v>
      </c>
      <c r="C5405" s="119" t="s">
        <v>66</v>
      </c>
      <c r="D5405" t="s">
        <v>45</v>
      </c>
      <c r="E5405" s="117">
        <v>0</v>
      </c>
    </row>
    <row r="5406" spans="1:5" x14ac:dyDescent="0.25">
      <c r="A5406" s="119" t="s">
        <v>6848</v>
      </c>
      <c r="B5406" s="119" t="s">
        <v>11404</v>
      </c>
      <c r="C5406" s="119" t="s">
        <v>66</v>
      </c>
      <c r="D5406" t="s">
        <v>6759</v>
      </c>
      <c r="E5406" s="117">
        <v>20</v>
      </c>
    </row>
    <row r="5407" spans="1:5" x14ac:dyDescent="0.25">
      <c r="A5407" s="119" t="s">
        <v>6849</v>
      </c>
      <c r="B5407" s="119" t="s">
        <v>11405</v>
      </c>
      <c r="C5407" s="119" t="s">
        <v>66</v>
      </c>
      <c r="D5407" t="s">
        <v>6759</v>
      </c>
      <c r="E5407" s="117">
        <v>20</v>
      </c>
    </row>
    <row r="5408" spans="1:5" x14ac:dyDescent="0.25">
      <c r="A5408" s="119" t="s">
        <v>6850</v>
      </c>
      <c r="B5408" s="119" t="s">
        <v>6851</v>
      </c>
      <c r="C5408" s="119" t="s">
        <v>66</v>
      </c>
      <c r="D5408" t="s">
        <v>6759</v>
      </c>
      <c r="E5408" s="117">
        <v>65</v>
      </c>
    </row>
    <row r="5409" spans="1:5" x14ac:dyDescent="0.25">
      <c r="A5409" s="119" t="s">
        <v>6568</v>
      </c>
      <c r="B5409" s="119" t="s">
        <v>11406</v>
      </c>
      <c r="C5409" s="119" t="s">
        <v>301</v>
      </c>
      <c r="D5409" t="s">
        <v>6759</v>
      </c>
      <c r="E5409" s="117">
        <v>3200</v>
      </c>
    </row>
    <row r="5410" spans="1:5" x14ac:dyDescent="0.25">
      <c r="A5410" s="119" t="s">
        <v>6570</v>
      </c>
      <c r="B5410" s="119" t="s">
        <v>6569</v>
      </c>
      <c r="C5410" s="119" t="s">
        <v>301</v>
      </c>
      <c r="D5410" t="s">
        <v>45</v>
      </c>
      <c r="E5410" s="117">
        <v>9999</v>
      </c>
    </row>
    <row r="5411" spans="1:5" x14ac:dyDescent="0.25">
      <c r="A5411" s="119" t="s">
        <v>8173</v>
      </c>
      <c r="B5411" s="119" t="s">
        <v>11407</v>
      </c>
      <c r="C5411" s="119" t="s">
        <v>66</v>
      </c>
      <c r="D5411" t="s">
        <v>45</v>
      </c>
      <c r="E5411" s="117">
        <v>4350.9799999999996</v>
      </c>
    </row>
    <row r="5412" spans="1:5" x14ac:dyDescent="0.25">
      <c r="A5412" s="119" t="s">
        <v>11655</v>
      </c>
      <c r="B5412" s="119" t="s">
        <v>12229</v>
      </c>
      <c r="C5412" s="119" t="s">
        <v>66</v>
      </c>
      <c r="D5412" t="s">
        <v>45</v>
      </c>
      <c r="E5412" s="117">
        <v>4147.28</v>
      </c>
    </row>
    <row r="5413" spans="1:5" x14ac:dyDescent="0.25">
      <c r="A5413" s="119" t="s">
        <v>11631</v>
      </c>
      <c r="B5413" s="119" t="s">
        <v>12230</v>
      </c>
      <c r="C5413" s="119" t="s">
        <v>66</v>
      </c>
      <c r="D5413" t="s">
        <v>49</v>
      </c>
      <c r="E5413" s="117">
        <v>3251.64</v>
      </c>
    </row>
    <row r="5414" spans="1:5" x14ac:dyDescent="0.25">
      <c r="A5414" s="119" t="s">
        <v>11656</v>
      </c>
      <c r="B5414" s="119" t="s">
        <v>11928</v>
      </c>
      <c r="C5414" s="119" t="s">
        <v>66</v>
      </c>
      <c r="D5414" t="s">
        <v>45</v>
      </c>
      <c r="E5414" s="117">
        <v>999</v>
      </c>
    </row>
    <row r="5415" spans="1:5" x14ac:dyDescent="0.25">
      <c r="A5415" s="119" t="s">
        <v>5904</v>
      </c>
      <c r="B5415" s="119" t="s">
        <v>11408</v>
      </c>
      <c r="C5415" s="119" t="s">
        <v>301</v>
      </c>
      <c r="D5415" t="s">
        <v>6759</v>
      </c>
      <c r="E5415" s="117">
        <v>2167.46</v>
      </c>
    </row>
    <row r="5416" spans="1:5" x14ac:dyDescent="0.25">
      <c r="A5416" s="119" t="s">
        <v>5905</v>
      </c>
      <c r="B5416" s="119" t="s">
        <v>5906</v>
      </c>
      <c r="C5416" s="119" t="s">
        <v>301</v>
      </c>
      <c r="D5416" t="s">
        <v>45</v>
      </c>
      <c r="E5416" s="117">
        <v>2167.46</v>
      </c>
    </row>
    <row r="5417" spans="1:5" x14ac:dyDescent="0.25">
      <c r="A5417" s="119" t="s">
        <v>5907</v>
      </c>
      <c r="B5417" s="119" t="s">
        <v>5908</v>
      </c>
      <c r="C5417" s="119" t="s">
        <v>301</v>
      </c>
      <c r="D5417" t="s">
        <v>45</v>
      </c>
      <c r="E5417" s="117">
        <v>0</v>
      </c>
    </row>
    <row r="5418" spans="1:5" x14ac:dyDescent="0.25">
      <c r="A5418" s="119" t="s">
        <v>7803</v>
      </c>
      <c r="B5418" s="119" t="s">
        <v>7804</v>
      </c>
      <c r="C5418" s="119" t="s">
        <v>66</v>
      </c>
      <c r="D5418" t="s">
        <v>6759</v>
      </c>
      <c r="E5418" s="117">
        <v>9999</v>
      </c>
    </row>
    <row r="5419" spans="1:5" x14ac:dyDescent="0.25">
      <c r="A5419" s="119" t="s">
        <v>5909</v>
      </c>
      <c r="B5419" s="119" t="s">
        <v>11409</v>
      </c>
      <c r="C5419" s="119" t="s">
        <v>301</v>
      </c>
      <c r="D5419" t="s">
        <v>49</v>
      </c>
      <c r="E5419" s="117">
        <v>1674.63</v>
      </c>
    </row>
    <row r="5420" spans="1:5" x14ac:dyDescent="0.25">
      <c r="A5420" s="119" t="s">
        <v>5910</v>
      </c>
      <c r="B5420" s="119" t="s">
        <v>5911</v>
      </c>
      <c r="C5420" s="119" t="s">
        <v>301</v>
      </c>
      <c r="D5420" t="s">
        <v>45</v>
      </c>
      <c r="E5420" s="117">
        <v>0</v>
      </c>
    </row>
    <row r="5421" spans="1:5" x14ac:dyDescent="0.25">
      <c r="A5421" s="119" t="s">
        <v>5912</v>
      </c>
      <c r="B5421" s="119" t="s">
        <v>11410</v>
      </c>
      <c r="C5421" s="119" t="s">
        <v>301</v>
      </c>
      <c r="D5421" t="s">
        <v>45</v>
      </c>
      <c r="E5421" s="117">
        <v>1774.19</v>
      </c>
    </row>
    <row r="5422" spans="1:5" x14ac:dyDescent="0.25">
      <c r="A5422" s="119" t="s">
        <v>5913</v>
      </c>
      <c r="B5422" s="119" t="s">
        <v>11411</v>
      </c>
      <c r="C5422" s="119" t="s">
        <v>301</v>
      </c>
      <c r="D5422" t="s">
        <v>45</v>
      </c>
      <c r="E5422" s="117">
        <v>0</v>
      </c>
    </row>
    <row r="5423" spans="1:5" x14ac:dyDescent="0.25">
      <c r="A5423" s="119" t="s">
        <v>5914</v>
      </c>
      <c r="B5423" s="119" t="s">
        <v>11412</v>
      </c>
      <c r="C5423" s="119" t="s">
        <v>301</v>
      </c>
      <c r="D5423" t="s">
        <v>45</v>
      </c>
      <c r="E5423" s="117">
        <v>1499</v>
      </c>
    </row>
    <row r="5424" spans="1:5" x14ac:dyDescent="0.25">
      <c r="A5424" s="119" t="s">
        <v>5915</v>
      </c>
      <c r="B5424" s="119" t="s">
        <v>11413</v>
      </c>
      <c r="C5424" s="119" t="s">
        <v>301</v>
      </c>
      <c r="D5424" t="s">
        <v>45</v>
      </c>
      <c r="E5424" s="117">
        <v>1988.4</v>
      </c>
    </row>
    <row r="5425" spans="1:5" x14ac:dyDescent="0.25">
      <c r="A5425" s="119" t="s">
        <v>7805</v>
      </c>
      <c r="B5425" s="119" t="s">
        <v>11414</v>
      </c>
      <c r="C5425" s="119" t="s">
        <v>301</v>
      </c>
      <c r="D5425" t="s">
        <v>6759</v>
      </c>
      <c r="E5425" s="117">
        <v>12000</v>
      </c>
    </row>
    <row r="5426" spans="1:5" x14ac:dyDescent="0.25">
      <c r="A5426" s="119" t="s">
        <v>5916</v>
      </c>
      <c r="B5426" s="119" t="s">
        <v>11415</v>
      </c>
      <c r="C5426" s="119" t="s">
        <v>301</v>
      </c>
      <c r="D5426" t="s">
        <v>45</v>
      </c>
      <c r="E5426" s="117">
        <v>1209</v>
      </c>
    </row>
    <row r="5427" spans="1:5" x14ac:dyDescent="0.25">
      <c r="A5427" s="119" t="s">
        <v>6270</v>
      </c>
      <c r="B5427" s="119" t="s">
        <v>6271</v>
      </c>
      <c r="C5427" s="119" t="s">
        <v>301</v>
      </c>
      <c r="D5427" t="s">
        <v>45</v>
      </c>
      <c r="E5427" s="117">
        <v>9999</v>
      </c>
    </row>
    <row r="5428" spans="1:5" x14ac:dyDescent="0.25">
      <c r="A5428" s="119" t="s">
        <v>5917</v>
      </c>
      <c r="B5428" s="119" t="s">
        <v>11416</v>
      </c>
      <c r="C5428" s="119" t="s">
        <v>301</v>
      </c>
      <c r="D5428" t="s">
        <v>6760</v>
      </c>
      <c r="E5428" s="117">
        <v>532.26</v>
      </c>
    </row>
    <row r="5429" spans="1:5" x14ac:dyDescent="0.25">
      <c r="A5429" s="119" t="s">
        <v>5918</v>
      </c>
      <c r="B5429" s="119" t="s">
        <v>11417</v>
      </c>
      <c r="C5429" s="119" t="s">
        <v>301</v>
      </c>
      <c r="D5429" t="s">
        <v>49</v>
      </c>
      <c r="E5429" s="117">
        <v>586.47</v>
      </c>
    </row>
    <row r="5430" spans="1:5" x14ac:dyDescent="0.25">
      <c r="A5430" s="119" t="s">
        <v>5919</v>
      </c>
      <c r="B5430" s="119" t="s">
        <v>11418</v>
      </c>
      <c r="C5430" s="119" t="s">
        <v>301</v>
      </c>
      <c r="D5430" t="s">
        <v>45</v>
      </c>
      <c r="E5430" s="117">
        <v>0</v>
      </c>
    </row>
    <row r="5431" spans="1:5" x14ac:dyDescent="0.25">
      <c r="A5431" s="119" t="s">
        <v>5920</v>
      </c>
      <c r="B5431" s="119" t="s">
        <v>11419</v>
      </c>
      <c r="C5431" s="119" t="s">
        <v>301</v>
      </c>
      <c r="D5431" t="s">
        <v>45</v>
      </c>
      <c r="E5431" s="117">
        <v>1769.26</v>
      </c>
    </row>
    <row r="5432" spans="1:5" x14ac:dyDescent="0.25">
      <c r="A5432" s="119" t="s">
        <v>5921</v>
      </c>
      <c r="B5432" s="119" t="s">
        <v>11420</v>
      </c>
      <c r="C5432" s="119" t="s">
        <v>301</v>
      </c>
      <c r="D5432" t="s">
        <v>49</v>
      </c>
      <c r="E5432" s="117">
        <v>1700</v>
      </c>
    </row>
    <row r="5433" spans="1:5" x14ac:dyDescent="0.25">
      <c r="A5433" s="119" t="s">
        <v>5922</v>
      </c>
      <c r="B5433" s="119" t="s">
        <v>5923</v>
      </c>
      <c r="C5433" s="119" t="s">
        <v>301</v>
      </c>
      <c r="D5433" t="s">
        <v>45</v>
      </c>
      <c r="E5433" s="117">
        <v>2739.15</v>
      </c>
    </row>
    <row r="5434" spans="1:5" x14ac:dyDescent="0.25">
      <c r="A5434" s="119" t="s">
        <v>5924</v>
      </c>
      <c r="B5434" s="119" t="s">
        <v>11421</v>
      </c>
      <c r="C5434" s="119" t="s">
        <v>301</v>
      </c>
      <c r="D5434" t="s">
        <v>6759</v>
      </c>
      <c r="E5434" s="117">
        <v>1314.87</v>
      </c>
    </row>
    <row r="5435" spans="1:5" x14ac:dyDescent="0.25">
      <c r="A5435" s="119" t="s">
        <v>5925</v>
      </c>
      <c r="B5435" s="119" t="s">
        <v>5926</v>
      </c>
      <c r="C5435" s="119" t="s">
        <v>301</v>
      </c>
      <c r="D5435" t="s">
        <v>45</v>
      </c>
      <c r="E5435" s="117">
        <v>999999</v>
      </c>
    </row>
    <row r="5436" spans="1:5" x14ac:dyDescent="0.25">
      <c r="A5436" s="119" t="s">
        <v>5927</v>
      </c>
      <c r="B5436" s="119" t="s">
        <v>11422</v>
      </c>
      <c r="C5436" s="119" t="s">
        <v>301</v>
      </c>
      <c r="D5436" t="s">
        <v>45</v>
      </c>
      <c r="E5436" s="117">
        <v>0</v>
      </c>
    </row>
    <row r="5437" spans="1:5" x14ac:dyDescent="0.25">
      <c r="A5437" s="119" t="s">
        <v>5928</v>
      </c>
      <c r="B5437" s="119" t="s">
        <v>5929</v>
      </c>
      <c r="C5437" s="119" t="s">
        <v>301</v>
      </c>
      <c r="D5437" t="s">
        <v>45</v>
      </c>
      <c r="E5437" s="117">
        <v>4000</v>
      </c>
    </row>
    <row r="5438" spans="1:5" x14ac:dyDescent="0.25">
      <c r="A5438" s="119" t="s">
        <v>5930</v>
      </c>
      <c r="B5438" s="119" t="s">
        <v>11423</v>
      </c>
      <c r="C5438" s="119" t="s">
        <v>301</v>
      </c>
      <c r="D5438" t="s">
        <v>6759</v>
      </c>
      <c r="E5438" s="117">
        <v>4800</v>
      </c>
    </row>
    <row r="5439" spans="1:5" x14ac:dyDescent="0.25">
      <c r="A5439" s="119" t="s">
        <v>5931</v>
      </c>
      <c r="B5439" s="119" t="s">
        <v>5932</v>
      </c>
      <c r="C5439" s="119" t="s">
        <v>301</v>
      </c>
      <c r="D5439" t="s">
        <v>45</v>
      </c>
      <c r="E5439" s="117">
        <v>1900</v>
      </c>
    </row>
    <row r="5440" spans="1:5" x14ac:dyDescent="0.25">
      <c r="A5440" s="119" t="s">
        <v>5933</v>
      </c>
      <c r="B5440" s="119" t="s">
        <v>11424</v>
      </c>
      <c r="C5440" s="119" t="s">
        <v>301</v>
      </c>
      <c r="D5440" t="s">
        <v>49</v>
      </c>
      <c r="E5440" s="117">
        <v>2100</v>
      </c>
    </row>
    <row r="5441" spans="1:5" x14ac:dyDescent="0.25">
      <c r="A5441" s="119" t="s">
        <v>5934</v>
      </c>
      <c r="B5441" s="119" t="s">
        <v>5935</v>
      </c>
      <c r="C5441" s="119" t="s">
        <v>301</v>
      </c>
      <c r="D5441" t="s">
        <v>45</v>
      </c>
      <c r="E5441" s="117">
        <v>0</v>
      </c>
    </row>
    <row r="5442" spans="1:5" x14ac:dyDescent="0.25">
      <c r="A5442" s="119" t="s">
        <v>5936</v>
      </c>
      <c r="B5442" s="119" t="s">
        <v>11425</v>
      </c>
      <c r="C5442" s="119" t="s">
        <v>301</v>
      </c>
      <c r="D5442" t="s">
        <v>51</v>
      </c>
      <c r="E5442" s="117">
        <v>596.33000000000004</v>
      </c>
    </row>
    <row r="5443" spans="1:5" x14ac:dyDescent="0.25">
      <c r="A5443" s="119" t="s">
        <v>5937</v>
      </c>
      <c r="B5443" s="119" t="s">
        <v>11426</v>
      </c>
      <c r="C5443" s="119" t="s">
        <v>301</v>
      </c>
      <c r="D5443" t="s">
        <v>45</v>
      </c>
      <c r="E5443" s="117">
        <v>0</v>
      </c>
    </row>
    <row r="5444" spans="1:5" x14ac:dyDescent="0.25">
      <c r="A5444" s="119" t="s">
        <v>5938</v>
      </c>
      <c r="B5444" s="119" t="s">
        <v>11427</v>
      </c>
      <c r="C5444" s="119" t="s">
        <v>301</v>
      </c>
      <c r="D5444" t="s">
        <v>45</v>
      </c>
      <c r="E5444" s="117">
        <v>0</v>
      </c>
    </row>
    <row r="5445" spans="1:5" x14ac:dyDescent="0.25">
      <c r="A5445" s="119" t="s">
        <v>5939</v>
      </c>
      <c r="B5445" s="119" t="s">
        <v>11428</v>
      </c>
      <c r="C5445" s="119" t="s">
        <v>301</v>
      </c>
      <c r="D5445" t="s">
        <v>49</v>
      </c>
      <c r="E5445" s="117">
        <v>1301.07</v>
      </c>
    </row>
    <row r="5446" spans="1:5" x14ac:dyDescent="0.25">
      <c r="A5446" s="119" t="s">
        <v>5940</v>
      </c>
      <c r="B5446" s="119" t="s">
        <v>11429</v>
      </c>
      <c r="C5446" s="119" t="s">
        <v>301</v>
      </c>
      <c r="D5446" t="s">
        <v>45</v>
      </c>
      <c r="E5446" s="117">
        <v>0</v>
      </c>
    </row>
    <row r="5447" spans="1:5" x14ac:dyDescent="0.25">
      <c r="A5447" s="119" t="s">
        <v>5941</v>
      </c>
      <c r="B5447" s="119" t="s">
        <v>11430</v>
      </c>
      <c r="C5447" s="119" t="s">
        <v>301</v>
      </c>
      <c r="D5447" t="s">
        <v>6759</v>
      </c>
      <c r="E5447" s="117">
        <v>827.96</v>
      </c>
    </row>
    <row r="5448" spans="1:5" x14ac:dyDescent="0.25">
      <c r="A5448" s="119" t="s">
        <v>5942</v>
      </c>
      <c r="B5448" s="119" t="s">
        <v>5943</v>
      </c>
      <c r="C5448" s="119" t="s">
        <v>66</v>
      </c>
      <c r="D5448" t="s">
        <v>6759</v>
      </c>
      <c r="E5448" s="117">
        <v>77.97</v>
      </c>
    </row>
    <row r="5449" spans="1:5" x14ac:dyDescent="0.25">
      <c r="A5449" s="119" t="s">
        <v>7806</v>
      </c>
      <c r="B5449" s="119" t="s">
        <v>11431</v>
      </c>
      <c r="C5449" s="119" t="s">
        <v>66</v>
      </c>
      <c r="D5449" t="s">
        <v>6759</v>
      </c>
      <c r="E5449" s="117">
        <v>400</v>
      </c>
    </row>
    <row r="5450" spans="1:5" x14ac:dyDescent="0.25">
      <c r="A5450" s="119" t="s">
        <v>5944</v>
      </c>
      <c r="B5450" s="119" t="s">
        <v>5945</v>
      </c>
      <c r="C5450" s="119" t="s">
        <v>301</v>
      </c>
      <c r="D5450" t="s">
        <v>45</v>
      </c>
      <c r="E5450" s="117">
        <v>9999</v>
      </c>
    </row>
    <row r="5451" spans="1:5" x14ac:dyDescent="0.25">
      <c r="A5451" s="119" t="s">
        <v>12223</v>
      </c>
      <c r="B5451" s="119" t="s">
        <v>11986</v>
      </c>
      <c r="C5451" s="119" t="s">
        <v>301</v>
      </c>
      <c r="D5451" t="s">
        <v>45</v>
      </c>
      <c r="E5451" s="117">
        <v>9999</v>
      </c>
    </row>
    <row r="5452" spans="1:5" x14ac:dyDescent="0.25">
      <c r="A5452" s="119" t="s">
        <v>11985</v>
      </c>
      <c r="B5452" s="119" t="s">
        <v>11986</v>
      </c>
      <c r="C5452" s="119" t="s">
        <v>301</v>
      </c>
      <c r="D5452" t="s">
        <v>45</v>
      </c>
      <c r="E5452" s="117">
        <v>9999</v>
      </c>
    </row>
    <row r="5453" spans="1:5" x14ac:dyDescent="0.25">
      <c r="A5453" s="119" t="s">
        <v>7807</v>
      </c>
      <c r="B5453" s="119" t="s">
        <v>11432</v>
      </c>
      <c r="C5453" s="119" t="s">
        <v>66</v>
      </c>
      <c r="D5453" t="s">
        <v>6759</v>
      </c>
      <c r="E5453" s="117">
        <v>370</v>
      </c>
    </row>
    <row r="5454" spans="1:5" x14ac:dyDescent="0.25">
      <c r="A5454" s="119" t="s">
        <v>11906</v>
      </c>
      <c r="B5454" s="119" t="s">
        <v>11988</v>
      </c>
      <c r="C5454" s="119" t="s">
        <v>66</v>
      </c>
      <c r="D5454" t="s">
        <v>6759</v>
      </c>
      <c r="E5454" s="117">
        <v>345.45</v>
      </c>
    </row>
    <row r="5455" spans="1:5" x14ac:dyDescent="0.25">
      <c r="A5455" s="119" t="s">
        <v>7808</v>
      </c>
      <c r="B5455" s="119" t="s">
        <v>11851</v>
      </c>
      <c r="C5455" s="119" t="s">
        <v>66</v>
      </c>
      <c r="D5455" t="s">
        <v>6759</v>
      </c>
      <c r="E5455" s="117">
        <v>346.39</v>
      </c>
    </row>
    <row r="5456" spans="1:5" x14ac:dyDescent="0.25">
      <c r="A5456" s="119" t="s">
        <v>7809</v>
      </c>
      <c r="B5456" s="119" t="s">
        <v>11852</v>
      </c>
      <c r="C5456" s="119" t="s">
        <v>66</v>
      </c>
      <c r="D5456" t="s">
        <v>6759</v>
      </c>
      <c r="E5456" s="117">
        <v>365.16</v>
      </c>
    </row>
    <row r="5457" spans="1:5" x14ac:dyDescent="0.25">
      <c r="A5457" s="119" t="s">
        <v>5946</v>
      </c>
      <c r="B5457" s="119" t="s">
        <v>11433</v>
      </c>
      <c r="C5457" s="119" t="s">
        <v>301</v>
      </c>
      <c r="D5457" t="s">
        <v>6759</v>
      </c>
      <c r="E5457" s="117">
        <v>3133.41</v>
      </c>
    </row>
    <row r="5458" spans="1:5" x14ac:dyDescent="0.25">
      <c r="A5458" s="119" t="s">
        <v>5947</v>
      </c>
      <c r="B5458" s="119" t="s">
        <v>5948</v>
      </c>
      <c r="C5458" s="119" t="s">
        <v>301</v>
      </c>
      <c r="D5458" t="s">
        <v>45</v>
      </c>
      <c r="E5458" s="117">
        <v>0</v>
      </c>
    </row>
    <row r="5459" spans="1:5" x14ac:dyDescent="0.25">
      <c r="A5459" s="119" t="s">
        <v>5949</v>
      </c>
      <c r="B5459" s="119" t="s">
        <v>11434</v>
      </c>
      <c r="C5459" s="119" t="s">
        <v>301</v>
      </c>
      <c r="D5459" t="s">
        <v>6759</v>
      </c>
      <c r="E5459" s="117">
        <v>871.32</v>
      </c>
    </row>
    <row r="5460" spans="1:5" x14ac:dyDescent="0.25">
      <c r="A5460" s="119" t="s">
        <v>5950</v>
      </c>
      <c r="B5460" s="119" t="s">
        <v>5951</v>
      </c>
      <c r="C5460" s="119" t="s">
        <v>301</v>
      </c>
      <c r="D5460" t="s">
        <v>45</v>
      </c>
      <c r="E5460" s="117">
        <v>0</v>
      </c>
    </row>
    <row r="5461" spans="1:5" x14ac:dyDescent="0.25">
      <c r="A5461" s="119" t="s">
        <v>5952</v>
      </c>
      <c r="B5461" s="119" t="s">
        <v>11435</v>
      </c>
      <c r="C5461" s="119" t="s">
        <v>301</v>
      </c>
      <c r="D5461" t="s">
        <v>45</v>
      </c>
      <c r="E5461" s="117">
        <v>2326.15</v>
      </c>
    </row>
    <row r="5462" spans="1:5" x14ac:dyDescent="0.25">
      <c r="A5462" s="119" t="s">
        <v>5953</v>
      </c>
      <c r="B5462" s="119" t="s">
        <v>11436</v>
      </c>
      <c r="C5462" s="119" t="s">
        <v>66</v>
      </c>
      <c r="D5462" t="s">
        <v>6759</v>
      </c>
      <c r="E5462" s="117">
        <v>309.42</v>
      </c>
    </row>
    <row r="5463" spans="1:5" x14ac:dyDescent="0.25">
      <c r="A5463" s="119" t="s">
        <v>5954</v>
      </c>
      <c r="B5463" s="119" t="s">
        <v>11437</v>
      </c>
      <c r="C5463" s="119" t="s">
        <v>66</v>
      </c>
      <c r="D5463" t="s">
        <v>6759</v>
      </c>
      <c r="E5463" s="117">
        <v>300.41000000000003</v>
      </c>
    </row>
    <row r="5464" spans="1:5" x14ac:dyDescent="0.25">
      <c r="A5464" s="119" t="s">
        <v>5955</v>
      </c>
      <c r="B5464" s="119" t="s">
        <v>11438</v>
      </c>
      <c r="C5464" s="119" t="s">
        <v>66</v>
      </c>
      <c r="D5464" t="s">
        <v>6759</v>
      </c>
      <c r="E5464" s="117">
        <v>313.86</v>
      </c>
    </row>
    <row r="5465" spans="1:5" x14ac:dyDescent="0.25">
      <c r="A5465" s="119" t="s">
        <v>5956</v>
      </c>
      <c r="B5465" s="119" t="s">
        <v>11439</v>
      </c>
      <c r="C5465" s="119" t="s">
        <v>66</v>
      </c>
      <c r="D5465" t="s">
        <v>6759</v>
      </c>
      <c r="E5465" s="117">
        <v>157.22</v>
      </c>
    </row>
    <row r="5466" spans="1:5" x14ac:dyDescent="0.25">
      <c r="A5466" s="119" t="s">
        <v>5957</v>
      </c>
      <c r="B5466" s="119" t="s">
        <v>11440</v>
      </c>
      <c r="C5466" s="119" t="s">
        <v>66</v>
      </c>
      <c r="D5466" t="s">
        <v>49</v>
      </c>
      <c r="E5466" s="117">
        <v>176.63</v>
      </c>
    </row>
    <row r="5467" spans="1:5" x14ac:dyDescent="0.25">
      <c r="A5467" s="119" t="s">
        <v>5958</v>
      </c>
      <c r="B5467" s="119" t="s">
        <v>11441</v>
      </c>
      <c r="C5467" s="119" t="s">
        <v>66</v>
      </c>
      <c r="D5467" t="s">
        <v>6759</v>
      </c>
      <c r="E5467" s="117">
        <v>316.52999999999997</v>
      </c>
    </row>
    <row r="5468" spans="1:5" x14ac:dyDescent="0.25">
      <c r="A5468" s="119" t="s">
        <v>5959</v>
      </c>
      <c r="B5468" s="119" t="s">
        <v>11442</v>
      </c>
      <c r="C5468" s="119" t="s">
        <v>66</v>
      </c>
      <c r="D5468" t="s">
        <v>49</v>
      </c>
      <c r="E5468" s="117">
        <v>218.05</v>
      </c>
    </row>
    <row r="5469" spans="1:5" x14ac:dyDescent="0.25">
      <c r="A5469" s="119" t="s">
        <v>5960</v>
      </c>
      <c r="B5469" s="119" t="s">
        <v>11443</v>
      </c>
      <c r="C5469" s="119" t="s">
        <v>301</v>
      </c>
      <c r="D5469" t="s">
        <v>6760</v>
      </c>
      <c r="E5469" s="117">
        <v>1212.3599999999999</v>
      </c>
    </row>
    <row r="5470" spans="1:5" x14ac:dyDescent="0.25">
      <c r="A5470" s="119" t="s">
        <v>5961</v>
      </c>
      <c r="B5470" s="119" t="s">
        <v>11444</v>
      </c>
      <c r="C5470" s="119" t="s">
        <v>301</v>
      </c>
      <c r="D5470" t="s">
        <v>45</v>
      </c>
      <c r="E5470" s="117">
        <v>0</v>
      </c>
    </row>
    <row r="5471" spans="1:5" x14ac:dyDescent="0.25">
      <c r="A5471" s="119" t="s">
        <v>5962</v>
      </c>
      <c r="B5471" s="119" t="s">
        <v>11445</v>
      </c>
      <c r="C5471" s="119" t="s">
        <v>301</v>
      </c>
      <c r="D5471" t="s">
        <v>45</v>
      </c>
      <c r="E5471" s="117">
        <v>0</v>
      </c>
    </row>
    <row r="5472" spans="1:5" x14ac:dyDescent="0.25">
      <c r="A5472" s="119" t="s">
        <v>5963</v>
      </c>
      <c r="B5472" s="119" t="s">
        <v>11446</v>
      </c>
      <c r="C5472" s="119" t="s">
        <v>301</v>
      </c>
      <c r="D5472" t="s">
        <v>45</v>
      </c>
      <c r="E5472" s="117">
        <v>0</v>
      </c>
    </row>
    <row r="5473" spans="1:5" x14ac:dyDescent="0.25">
      <c r="A5473" s="119" t="s">
        <v>5964</v>
      </c>
      <c r="B5473" s="119" t="s">
        <v>11447</v>
      </c>
      <c r="C5473" s="119" t="s">
        <v>301</v>
      </c>
      <c r="D5473" t="s">
        <v>45</v>
      </c>
      <c r="E5473" s="117">
        <v>0</v>
      </c>
    </row>
    <row r="5474" spans="1:5" x14ac:dyDescent="0.25">
      <c r="A5474" s="119" t="s">
        <v>5965</v>
      </c>
      <c r="B5474" s="119" t="s">
        <v>11448</v>
      </c>
      <c r="C5474" s="119" t="s">
        <v>301</v>
      </c>
      <c r="D5474" t="s">
        <v>45</v>
      </c>
      <c r="E5474" s="117">
        <v>0</v>
      </c>
    </row>
    <row r="5475" spans="1:5" x14ac:dyDescent="0.25">
      <c r="A5475" s="119" t="s">
        <v>5966</v>
      </c>
      <c r="B5475" s="119" t="s">
        <v>11449</v>
      </c>
      <c r="C5475" s="119" t="s">
        <v>301</v>
      </c>
      <c r="D5475" t="s">
        <v>6759</v>
      </c>
      <c r="E5475" s="117">
        <v>950.18</v>
      </c>
    </row>
    <row r="5476" spans="1:5" x14ac:dyDescent="0.25">
      <c r="A5476" s="119" t="s">
        <v>5967</v>
      </c>
      <c r="B5476" s="119" t="s">
        <v>11450</v>
      </c>
      <c r="C5476" s="119" t="s">
        <v>301</v>
      </c>
      <c r="D5476" t="s">
        <v>6759</v>
      </c>
      <c r="E5476" s="117">
        <v>2758.85</v>
      </c>
    </row>
    <row r="5477" spans="1:5" x14ac:dyDescent="0.25">
      <c r="A5477" s="119" t="s">
        <v>5968</v>
      </c>
      <c r="B5477" s="119" t="s">
        <v>11451</v>
      </c>
      <c r="C5477" s="119" t="s">
        <v>301</v>
      </c>
      <c r="D5477" t="s">
        <v>6759</v>
      </c>
      <c r="E5477" s="117">
        <v>4927.3</v>
      </c>
    </row>
    <row r="5478" spans="1:5" x14ac:dyDescent="0.25">
      <c r="A5478" s="119" t="s">
        <v>5969</v>
      </c>
      <c r="B5478" s="119" t="s">
        <v>11451</v>
      </c>
      <c r="C5478" s="119" t="s">
        <v>301</v>
      </c>
      <c r="D5478" t="s">
        <v>6759</v>
      </c>
      <c r="E5478" s="117">
        <v>5814.4</v>
      </c>
    </row>
    <row r="5479" spans="1:5" x14ac:dyDescent="0.25">
      <c r="A5479" s="119" t="s">
        <v>5970</v>
      </c>
      <c r="B5479" s="119" t="s">
        <v>11452</v>
      </c>
      <c r="C5479" s="119" t="s">
        <v>301</v>
      </c>
      <c r="D5479" t="s">
        <v>6759</v>
      </c>
      <c r="E5479" s="117">
        <v>4138.7700000000004</v>
      </c>
    </row>
    <row r="5480" spans="1:5" x14ac:dyDescent="0.25">
      <c r="A5480" s="119" t="s">
        <v>5971</v>
      </c>
      <c r="B5480" s="119" t="s">
        <v>11453</v>
      </c>
      <c r="C5480" s="119" t="s">
        <v>301</v>
      </c>
      <c r="D5480" t="s">
        <v>45</v>
      </c>
      <c r="E5480" s="117">
        <v>0</v>
      </c>
    </row>
    <row r="5481" spans="1:5" x14ac:dyDescent="0.25">
      <c r="A5481" s="119" t="s">
        <v>5972</v>
      </c>
      <c r="B5481" s="119" t="s">
        <v>11454</v>
      </c>
      <c r="C5481" s="119" t="s">
        <v>301</v>
      </c>
      <c r="D5481" t="s">
        <v>45</v>
      </c>
      <c r="E5481" s="117">
        <v>3448.82</v>
      </c>
    </row>
    <row r="5482" spans="1:5" x14ac:dyDescent="0.25">
      <c r="A5482" s="119" t="s">
        <v>5973</v>
      </c>
      <c r="B5482" s="119" t="s">
        <v>5974</v>
      </c>
      <c r="C5482" s="119" t="s">
        <v>301</v>
      </c>
      <c r="D5482" t="s">
        <v>45</v>
      </c>
      <c r="E5482" s="117">
        <v>3448.82</v>
      </c>
    </row>
    <row r="5483" spans="1:5" x14ac:dyDescent="0.25">
      <c r="A5483" s="119" t="s">
        <v>6757</v>
      </c>
      <c r="B5483" s="119" t="s">
        <v>6758</v>
      </c>
      <c r="C5483" s="119" t="s">
        <v>301</v>
      </c>
      <c r="D5483" t="s">
        <v>6759</v>
      </c>
      <c r="E5483" s="117">
        <v>0</v>
      </c>
    </row>
    <row r="5484" spans="1:5" x14ac:dyDescent="0.25">
      <c r="A5484" s="119" t="s">
        <v>5975</v>
      </c>
      <c r="B5484" s="119" t="s">
        <v>11455</v>
      </c>
      <c r="C5484" s="119" t="s">
        <v>301</v>
      </c>
      <c r="D5484" t="s">
        <v>6759</v>
      </c>
      <c r="E5484" s="117">
        <v>3543.45</v>
      </c>
    </row>
    <row r="5485" spans="1:5" x14ac:dyDescent="0.25">
      <c r="A5485" s="119" t="s">
        <v>5976</v>
      </c>
      <c r="B5485" s="119" t="s">
        <v>11456</v>
      </c>
      <c r="C5485" s="119" t="s">
        <v>301</v>
      </c>
      <c r="D5485" t="s">
        <v>45</v>
      </c>
      <c r="E5485" s="117">
        <v>1921.05</v>
      </c>
    </row>
    <row r="5486" spans="1:5" x14ac:dyDescent="0.25">
      <c r="A5486" s="119" t="s">
        <v>5977</v>
      </c>
      <c r="B5486" s="119" t="s">
        <v>11457</v>
      </c>
      <c r="C5486" s="119" t="s">
        <v>301</v>
      </c>
      <c r="D5486" t="s">
        <v>45</v>
      </c>
      <c r="E5486" s="117">
        <v>0</v>
      </c>
    </row>
    <row r="5487" spans="1:5" x14ac:dyDescent="0.25">
      <c r="A5487" s="119" t="s">
        <v>5978</v>
      </c>
      <c r="B5487" s="119" t="s">
        <v>11458</v>
      </c>
      <c r="C5487" s="119" t="s">
        <v>301</v>
      </c>
      <c r="D5487" t="s">
        <v>45</v>
      </c>
      <c r="E5487" s="117">
        <v>1493.27</v>
      </c>
    </row>
    <row r="5488" spans="1:5" x14ac:dyDescent="0.25">
      <c r="A5488" s="119" t="s">
        <v>11989</v>
      </c>
      <c r="B5488" s="119" t="s">
        <v>11990</v>
      </c>
      <c r="C5488" s="119" t="s">
        <v>66</v>
      </c>
      <c r="D5488" t="s">
        <v>6760</v>
      </c>
      <c r="E5488" s="117">
        <v>43.53</v>
      </c>
    </row>
    <row r="5489" spans="1:5" x14ac:dyDescent="0.25">
      <c r="A5489" s="119" t="s">
        <v>11991</v>
      </c>
      <c r="B5489" s="119" t="s">
        <v>11992</v>
      </c>
      <c r="C5489" s="119" t="s">
        <v>66</v>
      </c>
      <c r="D5489" t="s">
        <v>51</v>
      </c>
      <c r="E5489" s="117">
        <v>62.17</v>
      </c>
    </row>
    <row r="5490" spans="1:5" x14ac:dyDescent="0.25">
      <c r="A5490" s="119" t="s">
        <v>5979</v>
      </c>
      <c r="B5490" s="119" t="s">
        <v>11459</v>
      </c>
      <c r="C5490" s="119" t="s">
        <v>301</v>
      </c>
      <c r="D5490" t="s">
        <v>45</v>
      </c>
      <c r="E5490" s="117">
        <v>1211.3699999999999</v>
      </c>
    </row>
    <row r="5491" spans="1:5" x14ac:dyDescent="0.25">
      <c r="A5491" s="119" t="s">
        <v>5980</v>
      </c>
      <c r="B5491" s="119" t="s">
        <v>11460</v>
      </c>
      <c r="C5491" s="119" t="s">
        <v>301</v>
      </c>
      <c r="D5491" t="s">
        <v>45</v>
      </c>
      <c r="E5491" s="117">
        <v>0</v>
      </c>
    </row>
    <row r="5492" spans="1:5" x14ac:dyDescent="0.25">
      <c r="A5492" s="119" t="s">
        <v>5981</v>
      </c>
      <c r="B5492" s="119" t="s">
        <v>5982</v>
      </c>
      <c r="C5492" s="119" t="s">
        <v>66</v>
      </c>
      <c r="D5492" t="s">
        <v>6759</v>
      </c>
      <c r="E5492" s="117">
        <v>200.55</v>
      </c>
    </row>
    <row r="5493" spans="1:5" x14ac:dyDescent="0.25">
      <c r="A5493" s="119" t="s">
        <v>5983</v>
      </c>
      <c r="B5493" s="119" t="s">
        <v>5984</v>
      </c>
      <c r="C5493" s="119" t="s">
        <v>66</v>
      </c>
      <c r="D5493" t="s">
        <v>45</v>
      </c>
      <c r="E5493" s="117">
        <v>0</v>
      </c>
    </row>
    <row r="5494" spans="1:5" x14ac:dyDescent="0.25">
      <c r="A5494" s="119" t="s">
        <v>5985</v>
      </c>
      <c r="B5494" s="119" t="s">
        <v>5986</v>
      </c>
      <c r="C5494" s="119" t="s">
        <v>66</v>
      </c>
      <c r="D5494" t="s">
        <v>45</v>
      </c>
      <c r="E5494" s="117">
        <v>0</v>
      </c>
    </row>
    <row r="5495" spans="1:5" x14ac:dyDescent="0.25">
      <c r="A5495" s="119" t="s">
        <v>5987</v>
      </c>
      <c r="B5495" s="119" t="s">
        <v>5988</v>
      </c>
      <c r="C5495" s="119" t="s">
        <v>66</v>
      </c>
      <c r="D5495" t="s">
        <v>45</v>
      </c>
      <c r="E5495" s="117">
        <v>0</v>
      </c>
    </row>
    <row r="5496" spans="1:5" x14ac:dyDescent="0.25">
      <c r="A5496" s="119" t="s">
        <v>5989</v>
      </c>
      <c r="B5496" s="119" t="s">
        <v>11461</v>
      </c>
      <c r="C5496" s="119" t="s">
        <v>66</v>
      </c>
      <c r="D5496" t="s">
        <v>6759</v>
      </c>
      <c r="E5496" s="117">
        <v>415</v>
      </c>
    </row>
    <row r="5497" spans="1:5" x14ac:dyDescent="0.25">
      <c r="A5497" s="119" t="s">
        <v>5990</v>
      </c>
      <c r="B5497" s="119" t="s">
        <v>11462</v>
      </c>
      <c r="C5497" s="119" t="s">
        <v>66</v>
      </c>
      <c r="D5497" t="s">
        <v>49</v>
      </c>
      <c r="E5497" s="117">
        <v>475</v>
      </c>
    </row>
    <row r="5498" spans="1:5" x14ac:dyDescent="0.25">
      <c r="A5498" s="119" t="s">
        <v>5991</v>
      </c>
      <c r="B5498" s="119" t="s">
        <v>11463</v>
      </c>
      <c r="C5498" s="119" t="s">
        <v>66</v>
      </c>
      <c r="D5498" t="s">
        <v>49</v>
      </c>
      <c r="E5498" s="117">
        <v>525</v>
      </c>
    </row>
    <row r="5499" spans="1:5" x14ac:dyDescent="0.25">
      <c r="A5499" s="119" t="s">
        <v>5992</v>
      </c>
      <c r="B5499" s="119" t="s">
        <v>11464</v>
      </c>
      <c r="C5499" s="119" t="s">
        <v>66</v>
      </c>
      <c r="D5499" t="s">
        <v>6759</v>
      </c>
      <c r="E5499" s="117">
        <v>785</v>
      </c>
    </row>
    <row r="5500" spans="1:5" x14ac:dyDescent="0.25">
      <c r="A5500" s="119" t="s">
        <v>5993</v>
      </c>
      <c r="B5500" s="119" t="s">
        <v>11465</v>
      </c>
      <c r="C5500" s="119" t="s">
        <v>66</v>
      </c>
      <c r="D5500" t="s">
        <v>6759</v>
      </c>
      <c r="E5500" s="117">
        <v>1996.91</v>
      </c>
    </row>
    <row r="5501" spans="1:5" x14ac:dyDescent="0.25">
      <c r="A5501" s="119" t="s">
        <v>5994</v>
      </c>
      <c r="B5501" s="119" t="s">
        <v>6519</v>
      </c>
      <c r="C5501" s="119" t="s">
        <v>66</v>
      </c>
      <c r="D5501" t="s">
        <v>6759</v>
      </c>
      <c r="E5501" s="117">
        <v>295</v>
      </c>
    </row>
    <row r="5502" spans="1:5" x14ac:dyDescent="0.25">
      <c r="A5502" s="119" t="s">
        <v>5995</v>
      </c>
      <c r="B5502" s="119" t="s">
        <v>6520</v>
      </c>
      <c r="C5502" s="119" t="s">
        <v>66</v>
      </c>
      <c r="D5502" t="s">
        <v>6759</v>
      </c>
      <c r="E5502" s="117">
        <v>677.2</v>
      </c>
    </row>
    <row r="5503" spans="1:5" x14ac:dyDescent="0.25">
      <c r="A5503" s="119" t="s">
        <v>5996</v>
      </c>
      <c r="B5503" s="119" t="s">
        <v>5997</v>
      </c>
      <c r="C5503" s="119" t="s">
        <v>66</v>
      </c>
      <c r="D5503" t="s">
        <v>6759</v>
      </c>
      <c r="E5503" s="117">
        <v>415.19</v>
      </c>
    </row>
    <row r="5504" spans="1:5" x14ac:dyDescent="0.25">
      <c r="A5504" s="119" t="s">
        <v>5998</v>
      </c>
      <c r="B5504" s="119" t="s">
        <v>6521</v>
      </c>
      <c r="C5504" s="119" t="s">
        <v>66</v>
      </c>
      <c r="D5504" t="s">
        <v>6759</v>
      </c>
      <c r="E5504" s="117">
        <v>159</v>
      </c>
    </row>
    <row r="5505" spans="1:5" x14ac:dyDescent="0.25">
      <c r="A5505" s="119" t="s">
        <v>5999</v>
      </c>
      <c r="B5505" s="119" t="s">
        <v>6522</v>
      </c>
      <c r="C5505" s="119" t="s">
        <v>66</v>
      </c>
      <c r="D5505" t="s">
        <v>6759</v>
      </c>
      <c r="E5505" s="117">
        <v>169</v>
      </c>
    </row>
    <row r="5506" spans="1:5" x14ac:dyDescent="0.25">
      <c r="A5506" s="119" t="s">
        <v>6000</v>
      </c>
      <c r="B5506" s="119" t="s">
        <v>6523</v>
      </c>
      <c r="C5506" s="119" t="s">
        <v>66</v>
      </c>
      <c r="D5506" t="s">
        <v>6759</v>
      </c>
      <c r="E5506" s="117">
        <v>249</v>
      </c>
    </row>
    <row r="5507" spans="1:5" x14ac:dyDescent="0.25">
      <c r="A5507" s="119" t="s">
        <v>6001</v>
      </c>
      <c r="B5507" s="119" t="s">
        <v>6002</v>
      </c>
      <c r="C5507" s="119" t="s">
        <v>66</v>
      </c>
      <c r="D5507" t="s">
        <v>6759</v>
      </c>
      <c r="E5507" s="117">
        <v>145.18</v>
      </c>
    </row>
    <row r="5508" spans="1:5" x14ac:dyDescent="0.25">
      <c r="A5508" s="119" t="s">
        <v>6003</v>
      </c>
      <c r="B5508" s="119" t="s">
        <v>11466</v>
      </c>
      <c r="C5508" s="119" t="s">
        <v>66</v>
      </c>
      <c r="D5508" t="s">
        <v>45</v>
      </c>
      <c r="E5508" s="117">
        <v>109.73</v>
      </c>
    </row>
    <row r="5509" spans="1:5" x14ac:dyDescent="0.25">
      <c r="A5509" s="119" t="s">
        <v>6004</v>
      </c>
      <c r="B5509" s="119" t="s">
        <v>11467</v>
      </c>
      <c r="C5509" s="119" t="s">
        <v>66</v>
      </c>
      <c r="D5509" t="s">
        <v>49</v>
      </c>
      <c r="E5509" s="117">
        <v>109.73</v>
      </c>
    </row>
    <row r="5510" spans="1:5" x14ac:dyDescent="0.25">
      <c r="A5510" s="119" t="s">
        <v>6005</v>
      </c>
      <c r="B5510" s="119" t="s">
        <v>11468</v>
      </c>
      <c r="C5510" s="119" t="s">
        <v>66</v>
      </c>
      <c r="D5510" t="s">
        <v>45</v>
      </c>
      <c r="E5510" s="117">
        <v>109.73</v>
      </c>
    </row>
    <row r="5511" spans="1:5" x14ac:dyDescent="0.25">
      <c r="A5511" s="119" t="s">
        <v>6006</v>
      </c>
      <c r="B5511" s="119" t="s">
        <v>11469</v>
      </c>
      <c r="C5511" s="119" t="s">
        <v>66</v>
      </c>
      <c r="D5511" t="s">
        <v>49</v>
      </c>
      <c r="E5511" s="117">
        <v>127.05</v>
      </c>
    </row>
    <row r="5512" spans="1:5" x14ac:dyDescent="0.25">
      <c r="A5512" s="119" t="s">
        <v>6007</v>
      </c>
      <c r="B5512" s="119" t="s">
        <v>11470</v>
      </c>
      <c r="C5512" s="119" t="s">
        <v>66</v>
      </c>
      <c r="D5512" t="s">
        <v>49</v>
      </c>
      <c r="E5512" s="117">
        <v>127</v>
      </c>
    </row>
    <row r="5513" spans="1:5" x14ac:dyDescent="0.25">
      <c r="A5513" s="119" t="s">
        <v>6008</v>
      </c>
      <c r="B5513" s="119" t="s">
        <v>11471</v>
      </c>
      <c r="C5513" s="119" t="s">
        <v>66</v>
      </c>
      <c r="D5513" t="s">
        <v>51</v>
      </c>
      <c r="E5513" s="117">
        <v>105</v>
      </c>
    </row>
    <row r="5514" spans="1:5" x14ac:dyDescent="0.25">
      <c r="A5514" s="119" t="s">
        <v>6009</v>
      </c>
      <c r="B5514" s="119" t="s">
        <v>6010</v>
      </c>
      <c r="C5514" s="119" t="s">
        <v>66</v>
      </c>
      <c r="D5514" t="s">
        <v>45</v>
      </c>
      <c r="E5514" s="117">
        <v>0</v>
      </c>
    </row>
    <row r="5515" spans="1:5" x14ac:dyDescent="0.25">
      <c r="A5515" s="119" t="s">
        <v>6011</v>
      </c>
      <c r="B5515" s="119" t="s">
        <v>6012</v>
      </c>
      <c r="C5515" s="119" t="s">
        <v>66</v>
      </c>
      <c r="D5515" t="s">
        <v>6760</v>
      </c>
      <c r="E5515" s="117">
        <v>161.69999999999999</v>
      </c>
    </row>
    <row r="5516" spans="1:5" x14ac:dyDescent="0.25">
      <c r="A5516" s="119" t="s">
        <v>6013</v>
      </c>
      <c r="B5516" s="119" t="s">
        <v>6014</v>
      </c>
      <c r="C5516" s="119" t="s">
        <v>66</v>
      </c>
      <c r="D5516" t="s">
        <v>49</v>
      </c>
      <c r="E5516" s="117">
        <v>57.75</v>
      </c>
    </row>
    <row r="5517" spans="1:5" x14ac:dyDescent="0.25">
      <c r="A5517" s="119" t="s">
        <v>6015</v>
      </c>
      <c r="B5517" s="119" t="s">
        <v>6016</v>
      </c>
      <c r="C5517" s="119" t="s">
        <v>66</v>
      </c>
      <c r="D5517" t="s">
        <v>49</v>
      </c>
      <c r="E5517" s="117">
        <v>57.75</v>
      </c>
    </row>
    <row r="5518" spans="1:5" x14ac:dyDescent="0.25">
      <c r="A5518" s="119" t="s">
        <v>7810</v>
      </c>
      <c r="B5518" s="119" t="s">
        <v>7811</v>
      </c>
      <c r="C5518" s="119" t="s">
        <v>66</v>
      </c>
      <c r="D5518" t="s">
        <v>51</v>
      </c>
      <c r="E5518" s="117">
        <v>51.54</v>
      </c>
    </row>
    <row r="5519" spans="1:5" x14ac:dyDescent="0.25">
      <c r="A5519" s="119" t="s">
        <v>7812</v>
      </c>
      <c r="B5519" s="119" t="s">
        <v>7813</v>
      </c>
      <c r="C5519" s="119" t="s">
        <v>66</v>
      </c>
      <c r="D5519" t="s">
        <v>51</v>
      </c>
      <c r="E5519" s="117">
        <v>51.54</v>
      </c>
    </row>
    <row r="5520" spans="1:5" x14ac:dyDescent="0.25">
      <c r="A5520" s="119" t="s">
        <v>7814</v>
      </c>
      <c r="B5520" s="119" t="s">
        <v>7815</v>
      </c>
      <c r="C5520" s="119" t="s">
        <v>66</v>
      </c>
      <c r="D5520" t="s">
        <v>51</v>
      </c>
      <c r="E5520" s="117">
        <v>121.1</v>
      </c>
    </row>
    <row r="5521" spans="1:5" x14ac:dyDescent="0.25">
      <c r="A5521" s="119" t="s">
        <v>7816</v>
      </c>
      <c r="B5521" s="119" t="s">
        <v>7817</v>
      </c>
      <c r="C5521" s="119" t="s">
        <v>66</v>
      </c>
      <c r="D5521" t="s">
        <v>6760</v>
      </c>
      <c r="E5521" s="117">
        <v>121.1</v>
      </c>
    </row>
    <row r="5522" spans="1:5" x14ac:dyDescent="0.25">
      <c r="A5522" s="119" t="s">
        <v>7818</v>
      </c>
      <c r="B5522" s="119" t="s">
        <v>11472</v>
      </c>
      <c r="C5522" s="119" t="s">
        <v>66</v>
      </c>
      <c r="D5522" t="s">
        <v>6760</v>
      </c>
      <c r="E5522" s="117">
        <v>1219.4000000000001</v>
      </c>
    </row>
    <row r="5523" spans="1:5" x14ac:dyDescent="0.25">
      <c r="A5523" s="119" t="s">
        <v>7819</v>
      </c>
      <c r="B5523" s="119" t="s">
        <v>7820</v>
      </c>
      <c r="C5523" s="119" t="s">
        <v>66</v>
      </c>
      <c r="D5523" t="s">
        <v>45</v>
      </c>
      <c r="E5523" s="117">
        <v>9999</v>
      </c>
    </row>
    <row r="5524" spans="1:5" x14ac:dyDescent="0.25">
      <c r="A5524" s="119" t="s">
        <v>7821</v>
      </c>
      <c r="B5524" s="119" t="s">
        <v>11473</v>
      </c>
      <c r="C5524" s="119" t="s">
        <v>66</v>
      </c>
      <c r="D5524" t="s">
        <v>6760</v>
      </c>
      <c r="E5524" s="117">
        <v>815.75</v>
      </c>
    </row>
    <row r="5525" spans="1:5" x14ac:dyDescent="0.25">
      <c r="A5525" s="119" t="s">
        <v>7822</v>
      </c>
      <c r="B5525" s="119" t="s">
        <v>7823</v>
      </c>
      <c r="C5525" s="119" t="s">
        <v>66</v>
      </c>
      <c r="D5525" t="s">
        <v>45</v>
      </c>
      <c r="E5525" s="117">
        <v>9999</v>
      </c>
    </row>
    <row r="5526" spans="1:5" x14ac:dyDescent="0.25">
      <c r="A5526" s="119" t="s">
        <v>8174</v>
      </c>
      <c r="B5526" s="119" t="s">
        <v>11474</v>
      </c>
      <c r="C5526" s="119" t="s">
        <v>66</v>
      </c>
      <c r="D5526" t="s">
        <v>6760</v>
      </c>
      <c r="E5526" s="117">
        <v>571.67999999999995</v>
      </c>
    </row>
    <row r="5527" spans="1:5" x14ac:dyDescent="0.25">
      <c r="A5527" s="119" t="s">
        <v>7824</v>
      </c>
      <c r="B5527" s="119" t="s">
        <v>7825</v>
      </c>
      <c r="C5527" s="119" t="s">
        <v>66</v>
      </c>
      <c r="D5527" t="s">
        <v>45</v>
      </c>
      <c r="E5527" s="117">
        <v>9999</v>
      </c>
    </row>
    <row r="5528" spans="1:5" x14ac:dyDescent="0.25">
      <c r="A5528" s="119" t="s">
        <v>8175</v>
      </c>
      <c r="B5528" s="119" t="s">
        <v>11475</v>
      </c>
      <c r="C5528" s="119" t="s">
        <v>66</v>
      </c>
      <c r="D5528" t="s">
        <v>6760</v>
      </c>
      <c r="E5528" s="117">
        <v>383.94</v>
      </c>
    </row>
    <row r="5529" spans="1:5" x14ac:dyDescent="0.25">
      <c r="A5529" s="119" t="s">
        <v>7826</v>
      </c>
      <c r="B5529" s="119" t="s">
        <v>7827</v>
      </c>
      <c r="C5529" s="119" t="s">
        <v>66</v>
      </c>
      <c r="D5529" t="s">
        <v>6759</v>
      </c>
      <c r="E5529" s="117">
        <v>9999</v>
      </c>
    </row>
    <row r="5530" spans="1:5" x14ac:dyDescent="0.25">
      <c r="A5530" s="119" t="s">
        <v>8176</v>
      </c>
      <c r="B5530" s="119" t="s">
        <v>11476</v>
      </c>
      <c r="C5530" s="119" t="s">
        <v>66</v>
      </c>
      <c r="D5530" t="s">
        <v>6760</v>
      </c>
      <c r="E5530" s="117">
        <v>440.26</v>
      </c>
    </row>
    <row r="5531" spans="1:5" x14ac:dyDescent="0.25">
      <c r="A5531" s="119" t="s">
        <v>7828</v>
      </c>
      <c r="B5531" s="119" t="s">
        <v>7829</v>
      </c>
      <c r="C5531" s="119" t="s">
        <v>66</v>
      </c>
      <c r="D5531" t="s">
        <v>6759</v>
      </c>
      <c r="E5531" s="117">
        <v>9999</v>
      </c>
    </row>
    <row r="5532" spans="1:5" x14ac:dyDescent="0.25">
      <c r="A5532" s="119" t="s">
        <v>8177</v>
      </c>
      <c r="B5532" s="119" t="s">
        <v>11477</v>
      </c>
      <c r="C5532" s="119" t="s">
        <v>66</v>
      </c>
      <c r="D5532" t="s">
        <v>6760</v>
      </c>
      <c r="E5532" s="117">
        <v>327.61</v>
      </c>
    </row>
    <row r="5533" spans="1:5" x14ac:dyDescent="0.25">
      <c r="A5533" s="119" t="s">
        <v>7830</v>
      </c>
      <c r="B5533" s="119" t="s">
        <v>7831</v>
      </c>
      <c r="C5533" s="119" t="s">
        <v>66</v>
      </c>
      <c r="D5533" t="s">
        <v>6759</v>
      </c>
      <c r="E5533" s="117">
        <v>9999</v>
      </c>
    </row>
    <row r="5534" spans="1:5" x14ac:dyDescent="0.25">
      <c r="A5534" s="119" t="s">
        <v>8178</v>
      </c>
      <c r="B5534" s="119" t="s">
        <v>11478</v>
      </c>
      <c r="C5534" s="119" t="s">
        <v>66</v>
      </c>
      <c r="D5534" t="s">
        <v>6760</v>
      </c>
      <c r="E5534" s="117">
        <v>308.83999999999997</v>
      </c>
    </row>
    <row r="5535" spans="1:5" x14ac:dyDescent="0.25">
      <c r="A5535" s="119" t="s">
        <v>7832</v>
      </c>
      <c r="B5535" s="119" t="s">
        <v>7833</v>
      </c>
      <c r="C5535" s="119" t="s">
        <v>66</v>
      </c>
      <c r="D5535" t="s">
        <v>6759</v>
      </c>
      <c r="E5535" s="117">
        <v>9999</v>
      </c>
    </row>
    <row r="5536" spans="1:5" x14ac:dyDescent="0.25">
      <c r="A5536" s="119" t="s">
        <v>7834</v>
      </c>
      <c r="B5536" s="119" t="s">
        <v>7835</v>
      </c>
      <c r="C5536" s="119" t="s">
        <v>66</v>
      </c>
      <c r="D5536" t="s">
        <v>6760</v>
      </c>
      <c r="E5536" s="117">
        <v>65.709999999999994</v>
      </c>
    </row>
    <row r="5537" spans="1:5" x14ac:dyDescent="0.25">
      <c r="A5537" s="119" t="s">
        <v>7836</v>
      </c>
      <c r="B5537" s="119" t="s">
        <v>7837</v>
      </c>
      <c r="C5537" s="119" t="s">
        <v>66</v>
      </c>
      <c r="D5537" t="s">
        <v>49</v>
      </c>
      <c r="E5537" s="117">
        <v>36.61</v>
      </c>
    </row>
    <row r="5538" spans="1:5" x14ac:dyDescent="0.25">
      <c r="A5538" s="119" t="s">
        <v>7838</v>
      </c>
      <c r="B5538" s="119" t="s">
        <v>7839</v>
      </c>
      <c r="C5538" s="119" t="s">
        <v>66</v>
      </c>
      <c r="D5538" t="s">
        <v>49</v>
      </c>
      <c r="E5538" s="117">
        <v>30.98</v>
      </c>
    </row>
    <row r="5539" spans="1:5" x14ac:dyDescent="0.25">
      <c r="A5539" s="119" t="s">
        <v>7840</v>
      </c>
      <c r="B5539" s="119" t="s">
        <v>7841</v>
      </c>
      <c r="C5539" s="119" t="s">
        <v>66</v>
      </c>
      <c r="D5539" t="s">
        <v>49</v>
      </c>
      <c r="E5539" s="117">
        <v>21.59</v>
      </c>
    </row>
    <row r="5540" spans="1:5" x14ac:dyDescent="0.25">
      <c r="A5540" s="119" t="s">
        <v>7842</v>
      </c>
      <c r="B5540" s="119" t="s">
        <v>7843</v>
      </c>
      <c r="C5540" s="119" t="s">
        <v>66</v>
      </c>
      <c r="D5540" t="s">
        <v>49</v>
      </c>
      <c r="E5540" s="117">
        <v>23.47</v>
      </c>
    </row>
    <row r="5541" spans="1:5" x14ac:dyDescent="0.25">
      <c r="A5541" s="119" t="s">
        <v>7844</v>
      </c>
      <c r="B5541" s="119" t="s">
        <v>7845</v>
      </c>
      <c r="C5541" s="119" t="s">
        <v>66</v>
      </c>
      <c r="D5541" t="s">
        <v>6759</v>
      </c>
      <c r="E5541" s="117">
        <v>42.24</v>
      </c>
    </row>
    <row r="5542" spans="1:5" x14ac:dyDescent="0.25">
      <c r="A5542" s="119" t="s">
        <v>6017</v>
      </c>
      <c r="B5542" s="119" t="s">
        <v>6524</v>
      </c>
      <c r="C5542" s="119" t="s">
        <v>66</v>
      </c>
      <c r="D5542" t="s">
        <v>45</v>
      </c>
      <c r="E5542" s="117">
        <v>0</v>
      </c>
    </row>
    <row r="5543" spans="1:5" x14ac:dyDescent="0.25">
      <c r="A5543" s="119" t="s">
        <v>6018</v>
      </c>
      <c r="B5543" s="119" t="s">
        <v>11479</v>
      </c>
      <c r="C5543" s="119" t="s">
        <v>301</v>
      </c>
      <c r="D5543" t="s">
        <v>45</v>
      </c>
      <c r="E5543" s="117">
        <v>1201.52</v>
      </c>
    </row>
    <row r="5544" spans="1:5" x14ac:dyDescent="0.25">
      <c r="A5544" s="119" t="s">
        <v>6019</v>
      </c>
      <c r="B5544" s="119" t="s">
        <v>6020</v>
      </c>
      <c r="C5544" s="119" t="s">
        <v>66</v>
      </c>
      <c r="D5544" t="s">
        <v>6759</v>
      </c>
      <c r="E5544" s="117">
        <v>188.1</v>
      </c>
    </row>
    <row r="5545" spans="1:5" x14ac:dyDescent="0.25">
      <c r="A5545" s="119" t="s">
        <v>6021</v>
      </c>
      <c r="B5545" s="119" t="s">
        <v>6022</v>
      </c>
      <c r="C5545" s="119" t="s">
        <v>66</v>
      </c>
      <c r="D5545" t="s">
        <v>45</v>
      </c>
      <c r="E5545" s="117">
        <v>43.05</v>
      </c>
    </row>
    <row r="5546" spans="1:5" x14ac:dyDescent="0.25">
      <c r="A5546" s="119" t="s">
        <v>6023</v>
      </c>
      <c r="B5546" s="119" t="s">
        <v>11480</v>
      </c>
      <c r="C5546" s="119" t="s">
        <v>66</v>
      </c>
      <c r="D5546" t="s">
        <v>6759</v>
      </c>
      <c r="E5546" s="117">
        <v>196.15</v>
      </c>
    </row>
    <row r="5547" spans="1:5" x14ac:dyDescent="0.25">
      <c r="A5547" s="119" t="s">
        <v>6024</v>
      </c>
      <c r="B5547" s="119" t="s">
        <v>11481</v>
      </c>
      <c r="C5547" s="119" t="s">
        <v>66</v>
      </c>
      <c r="D5547" t="s">
        <v>49</v>
      </c>
      <c r="E5547" s="117">
        <v>196.15</v>
      </c>
    </row>
    <row r="5548" spans="1:5" x14ac:dyDescent="0.25">
      <c r="A5548" s="119" t="s">
        <v>6025</v>
      </c>
      <c r="B5548" s="119" t="s">
        <v>6026</v>
      </c>
      <c r="C5548" s="119" t="s">
        <v>66</v>
      </c>
      <c r="D5548" t="s">
        <v>51</v>
      </c>
      <c r="E5548" s="117">
        <v>14.9</v>
      </c>
    </row>
    <row r="5549" spans="1:5" x14ac:dyDescent="0.25">
      <c r="A5549" s="119" t="s">
        <v>6027</v>
      </c>
      <c r="B5549" s="119" t="s">
        <v>11482</v>
      </c>
      <c r="C5549" s="119" t="s">
        <v>301</v>
      </c>
      <c r="D5549" t="s">
        <v>49</v>
      </c>
      <c r="E5549" s="117">
        <v>2955.99</v>
      </c>
    </row>
    <row r="5550" spans="1:5" x14ac:dyDescent="0.25">
      <c r="A5550" s="119" t="s">
        <v>6028</v>
      </c>
      <c r="B5550" s="119" t="s">
        <v>11483</v>
      </c>
      <c r="C5550" s="119" t="s">
        <v>301</v>
      </c>
      <c r="D5550" t="s">
        <v>6759</v>
      </c>
      <c r="E5550" s="117">
        <v>984.67</v>
      </c>
    </row>
    <row r="5551" spans="1:5" x14ac:dyDescent="0.25">
      <c r="A5551" s="119" t="s">
        <v>6029</v>
      </c>
      <c r="B5551" s="119" t="s">
        <v>4690</v>
      </c>
      <c r="C5551" s="119" t="s">
        <v>301</v>
      </c>
      <c r="D5551" t="s">
        <v>45</v>
      </c>
      <c r="E5551" s="117">
        <v>0</v>
      </c>
    </row>
    <row r="5552" spans="1:5" x14ac:dyDescent="0.25">
      <c r="A5552" s="119" t="s">
        <v>6030</v>
      </c>
      <c r="B5552" s="119" t="s">
        <v>11484</v>
      </c>
      <c r="C5552" s="119" t="s">
        <v>301</v>
      </c>
      <c r="D5552" t="s">
        <v>49</v>
      </c>
      <c r="E5552" s="117">
        <v>1500</v>
      </c>
    </row>
    <row r="5553" spans="1:5" x14ac:dyDescent="0.25">
      <c r="A5553" s="119" t="s">
        <v>6031</v>
      </c>
      <c r="B5553" s="119" t="s">
        <v>4690</v>
      </c>
      <c r="C5553" s="119" t="s">
        <v>301</v>
      </c>
      <c r="D5553" t="s">
        <v>45</v>
      </c>
      <c r="E5553" s="117">
        <v>9999999</v>
      </c>
    </row>
    <row r="5554" spans="1:5" x14ac:dyDescent="0.25">
      <c r="A5554" s="119" t="s">
        <v>6032</v>
      </c>
      <c r="B5554" s="119" t="s">
        <v>11485</v>
      </c>
      <c r="C5554" s="119" t="s">
        <v>301</v>
      </c>
      <c r="D5554" t="s">
        <v>49</v>
      </c>
      <c r="E5554" s="117">
        <v>750</v>
      </c>
    </row>
    <row r="5555" spans="1:5" x14ac:dyDescent="0.25">
      <c r="A5555" s="119" t="s">
        <v>6033</v>
      </c>
      <c r="B5555" s="119" t="s">
        <v>4690</v>
      </c>
      <c r="C5555" s="119" t="s">
        <v>301</v>
      </c>
      <c r="D5555" t="s">
        <v>45</v>
      </c>
      <c r="E5555" s="117">
        <v>999999</v>
      </c>
    </row>
    <row r="5556" spans="1:5" x14ac:dyDescent="0.25">
      <c r="A5556" s="119" t="s">
        <v>6336</v>
      </c>
      <c r="B5556" s="119" t="s">
        <v>11486</v>
      </c>
      <c r="C5556" s="119" t="s">
        <v>301</v>
      </c>
      <c r="D5556" t="s">
        <v>49</v>
      </c>
      <c r="E5556" s="117">
        <v>796.98</v>
      </c>
    </row>
    <row r="5557" spans="1:5" x14ac:dyDescent="0.25">
      <c r="A5557" s="119" t="s">
        <v>6289</v>
      </c>
      <c r="B5557" s="119" t="s">
        <v>4690</v>
      </c>
      <c r="C5557" s="119" t="s">
        <v>301</v>
      </c>
      <c r="D5557" t="s">
        <v>6759</v>
      </c>
      <c r="E5557" s="117">
        <v>999999</v>
      </c>
    </row>
    <row r="5558" spans="1:5" x14ac:dyDescent="0.25">
      <c r="A5558" s="119" t="s">
        <v>6034</v>
      </c>
      <c r="B5558" s="119" t="s">
        <v>11487</v>
      </c>
      <c r="C5558" s="119" t="s">
        <v>301</v>
      </c>
      <c r="D5558" t="s">
        <v>6759</v>
      </c>
      <c r="E5558" s="117">
        <v>330.19</v>
      </c>
    </row>
    <row r="5559" spans="1:5" x14ac:dyDescent="0.25">
      <c r="A5559" s="119" t="s">
        <v>6035</v>
      </c>
      <c r="B5559" s="119" t="s">
        <v>11488</v>
      </c>
      <c r="C5559" s="119" t="s">
        <v>301</v>
      </c>
      <c r="D5559" t="s">
        <v>6759</v>
      </c>
      <c r="E5559" s="117">
        <v>352.86</v>
      </c>
    </row>
    <row r="5560" spans="1:5" x14ac:dyDescent="0.25">
      <c r="A5560" s="119" t="s">
        <v>6036</v>
      </c>
      <c r="B5560" s="119" t="s">
        <v>11489</v>
      </c>
      <c r="C5560" s="119" t="s">
        <v>301</v>
      </c>
      <c r="D5560" t="s">
        <v>45</v>
      </c>
      <c r="E5560" s="117">
        <v>0</v>
      </c>
    </row>
    <row r="5561" spans="1:5" x14ac:dyDescent="0.25">
      <c r="A5561" s="119" t="s">
        <v>8266</v>
      </c>
      <c r="B5561" s="119" t="s">
        <v>8180</v>
      </c>
      <c r="C5561" s="119" t="s">
        <v>301</v>
      </c>
      <c r="D5561" t="s">
        <v>45</v>
      </c>
      <c r="E5561" s="117">
        <v>0</v>
      </c>
    </row>
    <row r="5562" spans="1:5" x14ac:dyDescent="0.25">
      <c r="A5562" s="119" t="s">
        <v>8179</v>
      </c>
      <c r="B5562" s="119" t="s">
        <v>8180</v>
      </c>
      <c r="C5562" s="119" t="s">
        <v>301</v>
      </c>
      <c r="D5562" t="s">
        <v>6759</v>
      </c>
      <c r="E5562" s="117">
        <v>9999</v>
      </c>
    </row>
    <row r="5563" spans="1:5" x14ac:dyDescent="0.25">
      <c r="A5563" s="119" t="s">
        <v>6037</v>
      </c>
      <c r="B5563" s="119" t="s">
        <v>11490</v>
      </c>
      <c r="C5563" s="119" t="s">
        <v>301</v>
      </c>
      <c r="D5563" t="s">
        <v>45</v>
      </c>
      <c r="E5563" s="117">
        <v>0</v>
      </c>
    </row>
    <row r="5564" spans="1:5" x14ac:dyDescent="0.25">
      <c r="A5564" s="119" t="s">
        <v>6038</v>
      </c>
      <c r="B5564" s="119" t="s">
        <v>11491</v>
      </c>
      <c r="C5564" s="119" t="s">
        <v>301</v>
      </c>
      <c r="D5564" t="s">
        <v>45</v>
      </c>
      <c r="E5564" s="117">
        <v>615.04999999999995</v>
      </c>
    </row>
    <row r="5565" spans="1:5" x14ac:dyDescent="0.25">
      <c r="A5565" s="119" t="s">
        <v>6039</v>
      </c>
      <c r="B5565" s="119" t="s">
        <v>11492</v>
      </c>
      <c r="C5565" s="119" t="s">
        <v>301</v>
      </c>
      <c r="D5565" t="s">
        <v>45</v>
      </c>
      <c r="E5565" s="117">
        <v>210.93</v>
      </c>
    </row>
    <row r="5566" spans="1:5" x14ac:dyDescent="0.25">
      <c r="A5566" s="119" t="s">
        <v>6040</v>
      </c>
      <c r="B5566" s="119" t="s">
        <v>11493</v>
      </c>
      <c r="C5566" s="119" t="s">
        <v>301</v>
      </c>
      <c r="D5566" t="s">
        <v>45</v>
      </c>
      <c r="E5566" s="117">
        <v>915.67</v>
      </c>
    </row>
    <row r="5567" spans="1:5" x14ac:dyDescent="0.25">
      <c r="A5567" s="119" t="s">
        <v>6041</v>
      </c>
      <c r="B5567" s="119" t="s">
        <v>11494</v>
      </c>
      <c r="C5567" s="119" t="s">
        <v>301</v>
      </c>
      <c r="D5567" t="s">
        <v>6760</v>
      </c>
      <c r="E5567" s="117">
        <v>462.27</v>
      </c>
    </row>
    <row r="5568" spans="1:5" x14ac:dyDescent="0.25">
      <c r="A5568" s="119" t="s">
        <v>6042</v>
      </c>
      <c r="B5568" s="119" t="s">
        <v>11495</v>
      </c>
      <c r="C5568" s="119" t="s">
        <v>301</v>
      </c>
      <c r="D5568" t="s">
        <v>45</v>
      </c>
      <c r="E5568" s="117">
        <v>0</v>
      </c>
    </row>
    <row r="5569" spans="1:5" x14ac:dyDescent="0.25">
      <c r="A5569" s="119" t="s">
        <v>6043</v>
      </c>
      <c r="B5569" s="119" t="s">
        <v>4690</v>
      </c>
      <c r="C5569" s="119" t="s">
        <v>301</v>
      </c>
      <c r="D5569" t="s">
        <v>45</v>
      </c>
      <c r="E5569" s="117">
        <v>0</v>
      </c>
    </row>
    <row r="5570" spans="1:5" x14ac:dyDescent="0.25">
      <c r="A5570" s="119" t="s">
        <v>6044</v>
      </c>
      <c r="B5570" s="119" t="s">
        <v>11496</v>
      </c>
      <c r="C5570" s="119" t="s">
        <v>301</v>
      </c>
      <c r="D5570" t="s">
        <v>45</v>
      </c>
      <c r="E5570" s="117">
        <v>0</v>
      </c>
    </row>
    <row r="5571" spans="1:5" x14ac:dyDescent="0.25">
      <c r="A5571" s="119" t="s">
        <v>6045</v>
      </c>
      <c r="B5571" s="119" t="s">
        <v>6046</v>
      </c>
      <c r="C5571" s="119" t="s">
        <v>301</v>
      </c>
      <c r="D5571" t="s">
        <v>45</v>
      </c>
      <c r="E5571" s="117">
        <v>279.93</v>
      </c>
    </row>
    <row r="5572" spans="1:5" x14ac:dyDescent="0.25">
      <c r="A5572" s="119" t="s">
        <v>6047</v>
      </c>
      <c r="B5572" s="119" t="s">
        <v>11497</v>
      </c>
      <c r="C5572" s="119" t="s">
        <v>66</v>
      </c>
      <c r="D5572" t="s">
        <v>6759</v>
      </c>
      <c r="E5572" s="117">
        <v>83.95</v>
      </c>
    </row>
    <row r="5573" spans="1:5" x14ac:dyDescent="0.25">
      <c r="A5573" s="119" t="s">
        <v>6048</v>
      </c>
      <c r="B5573" s="119" t="s">
        <v>6049</v>
      </c>
      <c r="C5573" s="119" t="s">
        <v>66</v>
      </c>
      <c r="D5573" t="s">
        <v>45</v>
      </c>
      <c r="E5573" s="117">
        <v>105</v>
      </c>
    </row>
    <row r="5574" spans="1:5" x14ac:dyDescent="0.25">
      <c r="A5574" s="119" t="s">
        <v>6050</v>
      </c>
      <c r="B5574" s="119" t="s">
        <v>11498</v>
      </c>
      <c r="C5574" s="119" t="s">
        <v>301</v>
      </c>
      <c r="D5574" t="s">
        <v>45</v>
      </c>
      <c r="E5574" s="117">
        <v>738.26</v>
      </c>
    </row>
    <row r="5575" spans="1:5" x14ac:dyDescent="0.25">
      <c r="A5575" s="119" t="s">
        <v>6051</v>
      </c>
      <c r="B5575" s="119" t="s">
        <v>6052</v>
      </c>
      <c r="C5575" s="119" t="s">
        <v>301</v>
      </c>
      <c r="D5575" t="s">
        <v>45</v>
      </c>
      <c r="E5575" s="117">
        <v>0</v>
      </c>
    </row>
    <row r="5576" spans="1:5" x14ac:dyDescent="0.25">
      <c r="A5576" s="119" t="s">
        <v>6053</v>
      </c>
      <c r="B5576" s="119" t="s">
        <v>11499</v>
      </c>
      <c r="C5576" s="119" t="s">
        <v>301</v>
      </c>
      <c r="D5576" t="s">
        <v>6759</v>
      </c>
      <c r="E5576" s="117">
        <v>757.97</v>
      </c>
    </row>
    <row r="5577" spans="1:5" x14ac:dyDescent="0.25">
      <c r="A5577" s="119" t="s">
        <v>6054</v>
      </c>
      <c r="B5577" s="119" t="s">
        <v>11500</v>
      </c>
      <c r="C5577" s="119" t="s">
        <v>301</v>
      </c>
      <c r="D5577" t="s">
        <v>6759</v>
      </c>
      <c r="E5577" s="117">
        <v>859</v>
      </c>
    </row>
    <row r="5578" spans="1:5" x14ac:dyDescent="0.25">
      <c r="A5578" s="119" t="s">
        <v>6308</v>
      </c>
      <c r="B5578" s="119" t="s">
        <v>6309</v>
      </c>
      <c r="C5578" s="119" t="s">
        <v>301</v>
      </c>
      <c r="D5578" t="s">
        <v>45</v>
      </c>
      <c r="E5578" s="117">
        <v>9999</v>
      </c>
    </row>
    <row r="5579" spans="1:5" x14ac:dyDescent="0.25">
      <c r="A5579" s="119" t="s">
        <v>6055</v>
      </c>
      <c r="B5579" s="119" t="s">
        <v>11501</v>
      </c>
      <c r="C5579" s="119" t="s">
        <v>301</v>
      </c>
      <c r="D5579" t="s">
        <v>45</v>
      </c>
      <c r="E5579" s="117">
        <v>497.75</v>
      </c>
    </row>
    <row r="5580" spans="1:5" x14ac:dyDescent="0.25">
      <c r="A5580" s="119" t="s">
        <v>6056</v>
      </c>
      <c r="B5580" s="119" t="s">
        <v>11502</v>
      </c>
      <c r="C5580" s="119" t="s">
        <v>301</v>
      </c>
      <c r="D5580" t="s">
        <v>45</v>
      </c>
      <c r="E5580" s="117">
        <v>704.75</v>
      </c>
    </row>
    <row r="5581" spans="1:5" x14ac:dyDescent="0.25">
      <c r="A5581" s="119" t="s">
        <v>6057</v>
      </c>
      <c r="B5581" s="119" t="s">
        <v>11503</v>
      </c>
      <c r="C5581" s="119" t="s">
        <v>301</v>
      </c>
      <c r="D5581" t="s">
        <v>45</v>
      </c>
      <c r="E5581" s="117">
        <v>0</v>
      </c>
    </row>
    <row r="5582" spans="1:5" x14ac:dyDescent="0.25">
      <c r="A5582" s="119" t="s">
        <v>6058</v>
      </c>
      <c r="B5582" s="119" t="s">
        <v>11504</v>
      </c>
      <c r="C5582" s="119" t="s">
        <v>301</v>
      </c>
      <c r="D5582" t="s">
        <v>45</v>
      </c>
      <c r="E5582" s="117">
        <v>930.46</v>
      </c>
    </row>
    <row r="5583" spans="1:5" x14ac:dyDescent="0.25">
      <c r="A5583" s="119" t="s">
        <v>6059</v>
      </c>
      <c r="B5583" s="119" t="s">
        <v>11505</v>
      </c>
      <c r="C5583" s="119" t="s">
        <v>301</v>
      </c>
      <c r="D5583" t="s">
        <v>45</v>
      </c>
      <c r="E5583" s="117">
        <v>394.01</v>
      </c>
    </row>
    <row r="5584" spans="1:5" x14ac:dyDescent="0.25">
      <c r="A5584" s="119" t="s">
        <v>6060</v>
      </c>
      <c r="B5584" s="119" t="s">
        <v>6061</v>
      </c>
      <c r="C5584" s="119" t="s">
        <v>301</v>
      </c>
      <c r="D5584" t="s">
        <v>45</v>
      </c>
      <c r="E5584" s="117">
        <v>0</v>
      </c>
    </row>
    <row r="5585" spans="1:5" x14ac:dyDescent="0.25">
      <c r="A5585" s="119" t="s">
        <v>6062</v>
      </c>
      <c r="B5585" s="119" t="s">
        <v>6063</v>
      </c>
      <c r="C5585" s="119" t="s">
        <v>66</v>
      </c>
      <c r="D5585" t="s">
        <v>6759</v>
      </c>
      <c r="E5585" s="117">
        <v>658.56</v>
      </c>
    </row>
    <row r="5586" spans="1:5" x14ac:dyDescent="0.25">
      <c r="A5586" s="119" t="s">
        <v>6806</v>
      </c>
      <c r="B5586" s="119" t="s">
        <v>11506</v>
      </c>
      <c r="C5586" s="119" t="s">
        <v>301</v>
      </c>
      <c r="D5586" t="s">
        <v>6760</v>
      </c>
      <c r="E5586" s="117">
        <v>4223.3100000000004</v>
      </c>
    </row>
    <row r="5587" spans="1:5" x14ac:dyDescent="0.25">
      <c r="A5587" s="119" t="s">
        <v>6808</v>
      </c>
      <c r="B5587" s="119" t="s">
        <v>6807</v>
      </c>
      <c r="C5587" s="119" t="s">
        <v>301</v>
      </c>
      <c r="D5587" t="s">
        <v>45</v>
      </c>
      <c r="E5587" s="117">
        <v>9999</v>
      </c>
    </row>
    <row r="5588" spans="1:5" x14ac:dyDescent="0.25">
      <c r="A5588" s="119" t="s">
        <v>6064</v>
      </c>
      <c r="B5588" s="119" t="s">
        <v>11507</v>
      </c>
      <c r="C5588" s="119" t="s">
        <v>301</v>
      </c>
      <c r="D5588" t="s">
        <v>49</v>
      </c>
      <c r="E5588" s="117">
        <v>4055.98</v>
      </c>
    </row>
    <row r="5589" spans="1:5" x14ac:dyDescent="0.25">
      <c r="A5589" s="119" t="s">
        <v>6065</v>
      </c>
      <c r="B5589" s="119" t="s">
        <v>11508</v>
      </c>
      <c r="C5589" s="119" t="s">
        <v>301</v>
      </c>
      <c r="D5589" t="s">
        <v>6759</v>
      </c>
      <c r="E5589" s="117">
        <v>2084.67</v>
      </c>
    </row>
    <row r="5590" spans="1:5" x14ac:dyDescent="0.25">
      <c r="A5590" s="119" t="s">
        <v>6067</v>
      </c>
      <c r="B5590" s="119" t="s">
        <v>6068</v>
      </c>
      <c r="C5590" s="119" t="s">
        <v>301</v>
      </c>
      <c r="D5590" t="s">
        <v>45</v>
      </c>
      <c r="E5590" s="117">
        <v>0</v>
      </c>
    </row>
    <row r="5591" spans="1:5" x14ac:dyDescent="0.25">
      <c r="A5591" s="119" t="s">
        <v>6313</v>
      </c>
      <c r="B5591" s="119" t="s">
        <v>11509</v>
      </c>
      <c r="C5591" s="119" t="s">
        <v>301</v>
      </c>
      <c r="D5591" t="s">
        <v>49</v>
      </c>
      <c r="E5591" s="117">
        <v>4055.98</v>
      </c>
    </row>
    <row r="5592" spans="1:5" x14ac:dyDescent="0.25">
      <c r="A5592" s="119" t="s">
        <v>6314</v>
      </c>
      <c r="B5592" s="119" t="s">
        <v>11510</v>
      </c>
      <c r="C5592" s="119" t="s">
        <v>301</v>
      </c>
      <c r="D5592" t="s">
        <v>49</v>
      </c>
      <c r="E5592" s="117">
        <v>2084.67</v>
      </c>
    </row>
    <row r="5593" spans="1:5" x14ac:dyDescent="0.25">
      <c r="A5593" s="119" t="s">
        <v>6357</v>
      </c>
      <c r="B5593" s="119" t="s">
        <v>6066</v>
      </c>
      <c r="C5593" s="119" t="s">
        <v>301</v>
      </c>
      <c r="D5593" t="s">
        <v>45</v>
      </c>
      <c r="E5593" s="117">
        <v>0</v>
      </c>
    </row>
    <row r="5594" spans="1:5" x14ac:dyDescent="0.25">
      <c r="A5594" s="119" t="s">
        <v>6069</v>
      </c>
      <c r="B5594" s="119" t="s">
        <v>11511</v>
      </c>
      <c r="C5594" s="119" t="s">
        <v>301</v>
      </c>
      <c r="D5594" t="s">
        <v>45</v>
      </c>
      <c r="E5594" s="117">
        <v>2740.13</v>
      </c>
    </row>
    <row r="5595" spans="1:5" x14ac:dyDescent="0.25">
      <c r="A5595" s="119" t="s">
        <v>6070</v>
      </c>
      <c r="B5595" s="119" t="s">
        <v>11512</v>
      </c>
      <c r="C5595" s="119" t="s">
        <v>301</v>
      </c>
      <c r="D5595" t="s">
        <v>45</v>
      </c>
      <c r="E5595" s="117">
        <v>1094.08</v>
      </c>
    </row>
    <row r="5596" spans="1:5" x14ac:dyDescent="0.25">
      <c r="A5596" s="119" t="s">
        <v>6071</v>
      </c>
      <c r="B5596" s="119" t="s">
        <v>6072</v>
      </c>
      <c r="C5596" s="119" t="s">
        <v>301</v>
      </c>
      <c r="D5596" t="s">
        <v>45</v>
      </c>
      <c r="E5596" s="117">
        <v>0</v>
      </c>
    </row>
    <row r="5597" spans="1:5" x14ac:dyDescent="0.25">
      <c r="A5597" s="119" t="s">
        <v>6073</v>
      </c>
      <c r="B5597" s="119" t="s">
        <v>11513</v>
      </c>
      <c r="C5597" s="119" t="s">
        <v>301</v>
      </c>
      <c r="D5597" t="s">
        <v>49</v>
      </c>
      <c r="E5597" s="117">
        <v>3429.1</v>
      </c>
    </row>
    <row r="5598" spans="1:5" x14ac:dyDescent="0.25">
      <c r="A5598" s="119" t="s">
        <v>6074</v>
      </c>
      <c r="B5598" s="119" t="s">
        <v>11514</v>
      </c>
      <c r="C5598" s="119" t="s">
        <v>301</v>
      </c>
      <c r="D5598" t="s">
        <v>45</v>
      </c>
      <c r="E5598" s="117">
        <v>1379.92</v>
      </c>
    </row>
    <row r="5599" spans="1:5" x14ac:dyDescent="0.25">
      <c r="A5599" s="119" t="s">
        <v>6075</v>
      </c>
      <c r="B5599" s="119" t="s">
        <v>6068</v>
      </c>
      <c r="C5599" s="119" t="s">
        <v>301</v>
      </c>
      <c r="D5599" t="s">
        <v>45</v>
      </c>
      <c r="E5599" s="117">
        <v>0</v>
      </c>
    </row>
    <row r="5600" spans="1:5" x14ac:dyDescent="0.25">
      <c r="A5600" s="119" t="s">
        <v>6076</v>
      </c>
      <c r="B5600" s="119" t="s">
        <v>11515</v>
      </c>
      <c r="C5600" s="119" t="s">
        <v>301</v>
      </c>
      <c r="D5600" t="s">
        <v>45</v>
      </c>
      <c r="E5600" s="117">
        <v>1379.92</v>
      </c>
    </row>
    <row r="5601" spans="1:5" x14ac:dyDescent="0.25">
      <c r="A5601" s="119" t="s">
        <v>6077</v>
      </c>
      <c r="B5601" s="119" t="s">
        <v>11515</v>
      </c>
      <c r="C5601" s="119" t="s">
        <v>301</v>
      </c>
      <c r="D5601" t="s">
        <v>45</v>
      </c>
      <c r="E5601" s="117">
        <v>1379.92</v>
      </c>
    </row>
    <row r="5602" spans="1:5" x14ac:dyDescent="0.25">
      <c r="A5602" s="119" t="s">
        <v>6078</v>
      </c>
      <c r="B5602" s="119" t="s">
        <v>11516</v>
      </c>
      <c r="C5602" s="119" t="s">
        <v>301</v>
      </c>
      <c r="D5602" t="s">
        <v>49</v>
      </c>
      <c r="E5602" s="117">
        <v>2991.18</v>
      </c>
    </row>
    <row r="5603" spans="1:5" x14ac:dyDescent="0.25">
      <c r="A5603" s="119" t="s">
        <v>6836</v>
      </c>
      <c r="B5603" s="119" t="s">
        <v>6068</v>
      </c>
      <c r="C5603" s="119" t="s">
        <v>301</v>
      </c>
      <c r="D5603" t="s">
        <v>45</v>
      </c>
      <c r="E5603" s="117">
        <v>9999</v>
      </c>
    </row>
    <row r="5604" spans="1:5" x14ac:dyDescent="0.25">
      <c r="A5604" s="119" t="s">
        <v>6079</v>
      </c>
      <c r="B5604" s="119" t="s">
        <v>11517</v>
      </c>
      <c r="C5604" s="119" t="s">
        <v>301</v>
      </c>
      <c r="D5604" t="s">
        <v>6760</v>
      </c>
      <c r="E5604" s="117">
        <v>5883.62</v>
      </c>
    </row>
    <row r="5605" spans="1:5" x14ac:dyDescent="0.25">
      <c r="A5605" s="119" t="s">
        <v>6080</v>
      </c>
      <c r="B5605" s="119" t="s">
        <v>11518</v>
      </c>
      <c r="C5605" s="119" t="s">
        <v>301</v>
      </c>
      <c r="D5605" t="s">
        <v>49</v>
      </c>
      <c r="E5605" s="117">
        <v>3190.66</v>
      </c>
    </row>
    <row r="5606" spans="1:5" x14ac:dyDescent="0.25">
      <c r="A5606" s="119" t="s">
        <v>6557</v>
      </c>
      <c r="B5606" s="119" t="s">
        <v>6068</v>
      </c>
      <c r="C5606" s="119" t="s">
        <v>301</v>
      </c>
      <c r="D5606" t="s">
        <v>45</v>
      </c>
      <c r="E5606" s="117">
        <v>9999</v>
      </c>
    </row>
    <row r="5607" spans="1:5" x14ac:dyDescent="0.25">
      <c r="A5607" s="119" t="s">
        <v>6809</v>
      </c>
      <c r="B5607" s="119" t="s">
        <v>11519</v>
      </c>
      <c r="C5607" s="119" t="s">
        <v>301</v>
      </c>
      <c r="D5607" t="s">
        <v>49</v>
      </c>
      <c r="E5607" s="117">
        <v>3566.21</v>
      </c>
    </row>
    <row r="5608" spans="1:5" x14ac:dyDescent="0.25">
      <c r="A5608" s="119" t="s">
        <v>6810</v>
      </c>
      <c r="B5608" s="119" t="s">
        <v>11520</v>
      </c>
      <c r="C5608" s="119" t="s">
        <v>301</v>
      </c>
      <c r="D5608" t="s">
        <v>49</v>
      </c>
      <c r="E5608" s="117">
        <v>1594.89</v>
      </c>
    </row>
    <row r="5609" spans="1:5" x14ac:dyDescent="0.25">
      <c r="A5609" s="119" t="s">
        <v>6811</v>
      </c>
      <c r="B5609" s="119" t="s">
        <v>6068</v>
      </c>
      <c r="C5609" s="119" t="s">
        <v>301</v>
      </c>
      <c r="D5609" t="s">
        <v>45</v>
      </c>
      <c r="E5609" s="117">
        <v>9999</v>
      </c>
    </row>
    <row r="5610" spans="1:5" x14ac:dyDescent="0.25">
      <c r="A5610" s="119" t="s">
        <v>12225</v>
      </c>
      <c r="B5610" s="119" t="s">
        <v>11854</v>
      </c>
      <c r="C5610" s="119" t="s">
        <v>301</v>
      </c>
      <c r="D5610" t="s">
        <v>45</v>
      </c>
      <c r="E5610" s="117">
        <v>9999</v>
      </c>
    </row>
    <row r="5611" spans="1:5" x14ac:dyDescent="0.25">
      <c r="A5611" s="119" t="s">
        <v>11853</v>
      </c>
      <c r="B5611" s="119" t="s">
        <v>11854</v>
      </c>
      <c r="C5611" s="119" t="s">
        <v>301</v>
      </c>
      <c r="D5611" t="s">
        <v>45</v>
      </c>
      <c r="E5611" s="117">
        <v>9999</v>
      </c>
    </row>
    <row r="5612" spans="1:5" x14ac:dyDescent="0.25">
      <c r="A5612" s="119" t="s">
        <v>12226</v>
      </c>
      <c r="B5612" s="119" t="s">
        <v>11854</v>
      </c>
      <c r="C5612" s="119" t="s">
        <v>301</v>
      </c>
      <c r="D5612" t="s">
        <v>45</v>
      </c>
      <c r="E5612" s="117">
        <v>9999</v>
      </c>
    </row>
    <row r="5613" spans="1:5" x14ac:dyDescent="0.25">
      <c r="A5613" s="119" t="s">
        <v>12227</v>
      </c>
      <c r="B5613" s="119" t="s">
        <v>11854</v>
      </c>
      <c r="C5613" s="119" t="s">
        <v>301</v>
      </c>
      <c r="D5613" t="s">
        <v>45</v>
      </c>
      <c r="E5613" s="117">
        <v>9999</v>
      </c>
    </row>
    <row r="5614" spans="1:5" x14ac:dyDescent="0.25">
      <c r="A5614" s="119" t="s">
        <v>12228</v>
      </c>
      <c r="B5614" s="119" t="s">
        <v>11854</v>
      </c>
      <c r="C5614" s="119" t="s">
        <v>301</v>
      </c>
      <c r="D5614" t="s">
        <v>45</v>
      </c>
      <c r="E5614" s="117">
        <v>9999</v>
      </c>
    </row>
    <row r="5615" spans="1:5" x14ac:dyDescent="0.25">
      <c r="A5615" s="119" t="s">
        <v>11855</v>
      </c>
      <c r="B5615" s="119" t="s">
        <v>11854</v>
      </c>
      <c r="C5615" s="119" t="s">
        <v>301</v>
      </c>
      <c r="D5615" t="s">
        <v>45</v>
      </c>
      <c r="E5615" s="117">
        <v>9999</v>
      </c>
    </row>
    <row r="5616" spans="1:5" x14ac:dyDescent="0.25">
      <c r="A5616" s="119" t="s">
        <v>6081</v>
      </c>
      <c r="B5616" s="119" t="s">
        <v>11521</v>
      </c>
      <c r="C5616" s="119" t="s">
        <v>301</v>
      </c>
      <c r="D5616" t="s">
        <v>49</v>
      </c>
      <c r="E5616" s="117">
        <v>1547.48</v>
      </c>
    </row>
    <row r="5617" spans="1:5" x14ac:dyDescent="0.25">
      <c r="A5617" s="119" t="s">
        <v>6082</v>
      </c>
      <c r="B5617" s="119" t="s">
        <v>7846</v>
      </c>
      <c r="C5617" s="119" t="s">
        <v>301</v>
      </c>
      <c r="D5617" t="s">
        <v>45</v>
      </c>
      <c r="E5617" s="117">
        <v>739.24</v>
      </c>
    </row>
    <row r="5618" spans="1:5" x14ac:dyDescent="0.25">
      <c r="A5618" s="119" t="s">
        <v>6083</v>
      </c>
      <c r="B5618" s="119" t="s">
        <v>7847</v>
      </c>
      <c r="C5618" s="119" t="s">
        <v>301</v>
      </c>
      <c r="D5618" t="s">
        <v>45</v>
      </c>
      <c r="E5618" s="117">
        <v>877.23</v>
      </c>
    </row>
    <row r="5619" spans="1:5" x14ac:dyDescent="0.25">
      <c r="A5619" s="119" t="s">
        <v>6084</v>
      </c>
      <c r="B5619" s="119" t="s">
        <v>11522</v>
      </c>
      <c r="C5619" s="119" t="s">
        <v>301</v>
      </c>
      <c r="D5619" t="s">
        <v>45</v>
      </c>
      <c r="E5619" s="117">
        <v>236.55</v>
      </c>
    </row>
    <row r="5620" spans="1:5" x14ac:dyDescent="0.25">
      <c r="A5620" s="119" t="s">
        <v>6085</v>
      </c>
      <c r="B5620" s="119" t="s">
        <v>11523</v>
      </c>
      <c r="C5620" s="119" t="s">
        <v>301</v>
      </c>
      <c r="D5620" t="s">
        <v>6759</v>
      </c>
      <c r="E5620" s="117">
        <v>4139.76</v>
      </c>
    </row>
    <row r="5621" spans="1:5" x14ac:dyDescent="0.25">
      <c r="A5621" s="119" t="s">
        <v>6086</v>
      </c>
      <c r="B5621" s="119" t="s">
        <v>11524</v>
      </c>
      <c r="C5621" s="119" t="s">
        <v>301</v>
      </c>
      <c r="D5621" t="s">
        <v>45</v>
      </c>
      <c r="E5621" s="117">
        <v>0</v>
      </c>
    </row>
    <row r="5622" spans="1:5" x14ac:dyDescent="0.25">
      <c r="A5622" s="119" t="s">
        <v>6087</v>
      </c>
      <c r="B5622" s="119" t="s">
        <v>7848</v>
      </c>
      <c r="C5622" s="119" t="s">
        <v>301</v>
      </c>
      <c r="D5622" t="s">
        <v>6759</v>
      </c>
      <c r="E5622" s="117">
        <v>758.96</v>
      </c>
    </row>
    <row r="5623" spans="1:5" x14ac:dyDescent="0.25">
      <c r="A5623" s="119" t="s">
        <v>6088</v>
      </c>
      <c r="B5623" s="119" t="s">
        <v>7848</v>
      </c>
      <c r="C5623" s="119" t="s">
        <v>301</v>
      </c>
      <c r="D5623" t="s">
        <v>45</v>
      </c>
      <c r="E5623" s="117">
        <v>758.96</v>
      </c>
    </row>
    <row r="5624" spans="1:5" x14ac:dyDescent="0.25">
      <c r="A5624" s="119" t="s">
        <v>6089</v>
      </c>
      <c r="B5624" s="119" t="s">
        <v>7849</v>
      </c>
      <c r="C5624" s="119" t="s">
        <v>301</v>
      </c>
      <c r="D5624" t="s">
        <v>6759</v>
      </c>
      <c r="E5624" s="117">
        <v>231.63</v>
      </c>
    </row>
    <row r="5625" spans="1:5" x14ac:dyDescent="0.25">
      <c r="A5625" s="119" t="s">
        <v>6090</v>
      </c>
      <c r="B5625" s="119" t="s">
        <v>6091</v>
      </c>
      <c r="C5625" s="119" t="s">
        <v>301</v>
      </c>
      <c r="D5625" t="s">
        <v>45</v>
      </c>
      <c r="E5625" s="117">
        <v>0</v>
      </c>
    </row>
    <row r="5626" spans="1:5" x14ac:dyDescent="0.25">
      <c r="A5626" s="119" t="s">
        <v>6092</v>
      </c>
      <c r="B5626" s="119" t="s">
        <v>11525</v>
      </c>
      <c r="C5626" s="119" t="s">
        <v>301</v>
      </c>
      <c r="D5626" t="s">
        <v>45</v>
      </c>
      <c r="E5626" s="117">
        <v>758.96</v>
      </c>
    </row>
    <row r="5627" spans="1:5" x14ac:dyDescent="0.25">
      <c r="A5627" s="119" t="s">
        <v>6093</v>
      </c>
      <c r="B5627" s="119" t="s">
        <v>7850</v>
      </c>
      <c r="C5627" s="119" t="s">
        <v>301</v>
      </c>
      <c r="D5627" t="s">
        <v>45</v>
      </c>
      <c r="E5627" s="117">
        <v>887.09</v>
      </c>
    </row>
    <row r="5628" spans="1:5" x14ac:dyDescent="0.25">
      <c r="A5628" s="119" t="s">
        <v>6094</v>
      </c>
      <c r="B5628" s="119" t="s">
        <v>11526</v>
      </c>
      <c r="C5628" s="119" t="s">
        <v>301</v>
      </c>
      <c r="D5628" t="s">
        <v>6759</v>
      </c>
      <c r="E5628" s="117">
        <v>231.63</v>
      </c>
    </row>
    <row r="5629" spans="1:5" x14ac:dyDescent="0.25">
      <c r="A5629" s="119" t="s">
        <v>6095</v>
      </c>
      <c r="B5629" s="119" t="s">
        <v>11527</v>
      </c>
      <c r="C5629" s="119" t="s">
        <v>301</v>
      </c>
      <c r="D5629" t="s">
        <v>45</v>
      </c>
      <c r="E5629" s="117">
        <v>231.63</v>
      </c>
    </row>
    <row r="5630" spans="1:5" x14ac:dyDescent="0.25">
      <c r="A5630" s="119" t="s">
        <v>6096</v>
      </c>
      <c r="B5630" s="119" t="s">
        <v>11528</v>
      </c>
      <c r="C5630" s="119" t="s">
        <v>301</v>
      </c>
      <c r="D5630" t="s">
        <v>6759</v>
      </c>
      <c r="E5630" s="117">
        <v>502.69</v>
      </c>
    </row>
    <row r="5631" spans="1:5" x14ac:dyDescent="0.25">
      <c r="A5631" s="119" t="s">
        <v>6097</v>
      </c>
      <c r="B5631" s="119" t="s">
        <v>7851</v>
      </c>
      <c r="C5631" s="119" t="s">
        <v>301</v>
      </c>
      <c r="D5631" t="s">
        <v>45</v>
      </c>
      <c r="E5631" s="117">
        <v>1177.8599999999999</v>
      </c>
    </row>
    <row r="5632" spans="1:5" x14ac:dyDescent="0.25">
      <c r="A5632" s="119" t="s">
        <v>6098</v>
      </c>
      <c r="B5632" s="119" t="s">
        <v>11529</v>
      </c>
      <c r="C5632" s="119" t="s">
        <v>301</v>
      </c>
      <c r="D5632" t="s">
        <v>45</v>
      </c>
      <c r="E5632" s="117">
        <v>502.69</v>
      </c>
    </row>
    <row r="5633" spans="1:5" x14ac:dyDescent="0.25">
      <c r="A5633" s="119" t="s">
        <v>6099</v>
      </c>
      <c r="B5633" s="119" t="s">
        <v>11530</v>
      </c>
      <c r="C5633" s="119" t="s">
        <v>301</v>
      </c>
      <c r="D5633" t="s">
        <v>45</v>
      </c>
      <c r="E5633" s="117">
        <v>0</v>
      </c>
    </row>
    <row r="5634" spans="1:5" x14ac:dyDescent="0.25">
      <c r="A5634" s="119" t="s">
        <v>6100</v>
      </c>
      <c r="B5634" s="119" t="s">
        <v>6101</v>
      </c>
      <c r="C5634" s="119" t="s">
        <v>301</v>
      </c>
      <c r="D5634" t="s">
        <v>45</v>
      </c>
      <c r="E5634" s="117">
        <v>360</v>
      </c>
    </row>
    <row r="5635" spans="1:5" x14ac:dyDescent="0.25">
      <c r="A5635" s="119" t="s">
        <v>6102</v>
      </c>
      <c r="B5635" s="119" t="s">
        <v>6068</v>
      </c>
      <c r="C5635" s="119" t="s">
        <v>301</v>
      </c>
      <c r="D5635" t="s">
        <v>6759</v>
      </c>
      <c r="E5635" s="117">
        <v>1</v>
      </c>
    </row>
    <row r="5636" spans="1:5" x14ac:dyDescent="0.25">
      <c r="A5636" s="119" t="s">
        <v>12011</v>
      </c>
      <c r="B5636" s="119" t="s">
        <v>12012</v>
      </c>
      <c r="C5636" s="119" t="s">
        <v>66</v>
      </c>
      <c r="D5636" t="s">
        <v>45</v>
      </c>
      <c r="E5636" s="117">
        <v>0</v>
      </c>
    </row>
    <row r="5637" spans="1:5" x14ac:dyDescent="0.25">
      <c r="A5637" s="119" t="s">
        <v>12013</v>
      </c>
      <c r="B5637" s="119" t="s">
        <v>12014</v>
      </c>
      <c r="C5637" s="119" t="s">
        <v>66</v>
      </c>
      <c r="D5637" t="s">
        <v>45</v>
      </c>
      <c r="E5637" s="117">
        <v>0</v>
      </c>
    </row>
    <row r="5638" spans="1:5" x14ac:dyDescent="0.25">
      <c r="A5638" s="119" t="s">
        <v>6103</v>
      </c>
      <c r="B5638" s="119" t="s">
        <v>11531</v>
      </c>
      <c r="C5638" s="119" t="s">
        <v>301</v>
      </c>
      <c r="D5638" t="s">
        <v>6760</v>
      </c>
      <c r="E5638" s="117">
        <v>3222.45</v>
      </c>
    </row>
    <row r="5639" spans="1:5" x14ac:dyDescent="0.25">
      <c r="A5639" s="119" t="s">
        <v>6104</v>
      </c>
      <c r="B5639" s="119" t="s">
        <v>11532</v>
      </c>
      <c r="C5639" s="119" t="s">
        <v>301</v>
      </c>
      <c r="D5639" t="s">
        <v>45</v>
      </c>
      <c r="E5639" s="117">
        <v>3222.45</v>
      </c>
    </row>
    <row r="5640" spans="1:5" x14ac:dyDescent="0.25">
      <c r="A5640" s="119" t="s">
        <v>6105</v>
      </c>
      <c r="B5640" s="119" t="s">
        <v>11533</v>
      </c>
      <c r="C5640" s="119" t="s">
        <v>301</v>
      </c>
      <c r="D5640" t="s">
        <v>49</v>
      </c>
      <c r="E5640" s="117">
        <v>1488.38</v>
      </c>
    </row>
    <row r="5641" spans="1:5" x14ac:dyDescent="0.25">
      <c r="A5641" s="119" t="s">
        <v>6106</v>
      </c>
      <c r="B5641" s="119" t="s">
        <v>11533</v>
      </c>
      <c r="C5641" s="119" t="s">
        <v>301</v>
      </c>
      <c r="D5641" t="s">
        <v>45</v>
      </c>
      <c r="E5641" s="117">
        <v>0</v>
      </c>
    </row>
    <row r="5642" spans="1:5" x14ac:dyDescent="0.25">
      <c r="A5642" s="119" t="s">
        <v>6107</v>
      </c>
      <c r="B5642" s="119" t="s">
        <v>11534</v>
      </c>
      <c r="C5642" s="119" t="s">
        <v>301</v>
      </c>
      <c r="D5642" t="s">
        <v>45</v>
      </c>
      <c r="E5642" s="117">
        <v>1128.0999999999999</v>
      </c>
    </row>
    <row r="5643" spans="1:5" x14ac:dyDescent="0.25">
      <c r="A5643" s="119" t="s">
        <v>6108</v>
      </c>
      <c r="B5643" s="119" t="s">
        <v>11533</v>
      </c>
      <c r="C5643" s="119" t="s">
        <v>301</v>
      </c>
      <c r="D5643" t="s">
        <v>45</v>
      </c>
      <c r="E5643" s="117">
        <v>999999</v>
      </c>
    </row>
    <row r="5644" spans="1:5" x14ac:dyDescent="0.25">
      <c r="A5644" s="119" t="s">
        <v>6109</v>
      </c>
      <c r="B5644" s="119" t="s">
        <v>11535</v>
      </c>
      <c r="C5644" s="119" t="s">
        <v>301</v>
      </c>
      <c r="D5644" t="s">
        <v>45</v>
      </c>
      <c r="E5644" s="117">
        <v>3199</v>
      </c>
    </row>
    <row r="5645" spans="1:5" x14ac:dyDescent="0.25">
      <c r="A5645" s="119" t="s">
        <v>6110</v>
      </c>
      <c r="B5645" s="119" t="s">
        <v>6111</v>
      </c>
      <c r="C5645" s="119" t="s">
        <v>301</v>
      </c>
      <c r="D5645" t="s">
        <v>45</v>
      </c>
      <c r="E5645" s="117">
        <v>999999</v>
      </c>
    </row>
    <row r="5646" spans="1:5" x14ac:dyDescent="0.25">
      <c r="A5646" s="119" t="s">
        <v>6573</v>
      </c>
      <c r="B5646" s="119" t="s">
        <v>11536</v>
      </c>
      <c r="C5646" s="119" t="s">
        <v>301</v>
      </c>
      <c r="D5646" t="s">
        <v>6760</v>
      </c>
      <c r="E5646" s="117">
        <v>450</v>
      </c>
    </row>
    <row r="5647" spans="1:5" x14ac:dyDescent="0.25">
      <c r="A5647" s="119" t="s">
        <v>6827</v>
      </c>
      <c r="B5647" s="119" t="s">
        <v>4757</v>
      </c>
      <c r="C5647" s="119" t="s">
        <v>301</v>
      </c>
      <c r="D5647" t="s">
        <v>45</v>
      </c>
      <c r="E5647" s="117">
        <v>9999</v>
      </c>
    </row>
    <row r="5648" spans="1:5" x14ac:dyDescent="0.25">
      <c r="A5648" s="119" t="s">
        <v>6112</v>
      </c>
      <c r="B5648" s="119" t="s">
        <v>6113</v>
      </c>
      <c r="C5648" s="119" t="s">
        <v>301</v>
      </c>
      <c r="D5648" t="s">
        <v>45</v>
      </c>
      <c r="E5648" s="117">
        <v>999999</v>
      </c>
    </row>
    <row r="5649" spans="1:5" x14ac:dyDescent="0.25">
      <c r="A5649" s="119" t="s">
        <v>8181</v>
      </c>
      <c r="B5649" s="119" t="s">
        <v>11537</v>
      </c>
      <c r="C5649" s="119" t="s">
        <v>301</v>
      </c>
      <c r="D5649" t="s">
        <v>6759</v>
      </c>
      <c r="E5649" s="117">
        <v>1600</v>
      </c>
    </row>
    <row r="5650" spans="1:5" x14ac:dyDescent="0.25">
      <c r="A5650" s="119" t="s">
        <v>7852</v>
      </c>
      <c r="B5650" s="119" t="s">
        <v>4757</v>
      </c>
      <c r="C5650" s="119" t="s">
        <v>301</v>
      </c>
      <c r="D5650" t="s">
        <v>6759</v>
      </c>
      <c r="E5650" s="117">
        <v>9999</v>
      </c>
    </row>
    <row r="5651" spans="1:5" x14ac:dyDescent="0.25">
      <c r="A5651" s="119" t="s">
        <v>6114</v>
      </c>
      <c r="B5651" s="119" t="s">
        <v>11538</v>
      </c>
      <c r="C5651" s="119" t="s">
        <v>301</v>
      </c>
      <c r="D5651" t="s">
        <v>45</v>
      </c>
      <c r="E5651" s="117">
        <v>3200</v>
      </c>
    </row>
    <row r="5652" spans="1:5" x14ac:dyDescent="0.25">
      <c r="A5652" s="119" t="s">
        <v>6115</v>
      </c>
      <c r="B5652" s="119" t="s">
        <v>6111</v>
      </c>
      <c r="C5652" s="119" t="s">
        <v>301</v>
      </c>
      <c r="D5652" t="s">
        <v>6759</v>
      </c>
      <c r="E5652" s="117">
        <v>9999</v>
      </c>
    </row>
    <row r="5653" spans="1:5" x14ac:dyDescent="0.25">
      <c r="A5653" s="119" t="s">
        <v>8196</v>
      </c>
      <c r="B5653" s="119" t="s">
        <v>6111</v>
      </c>
      <c r="C5653" s="119" t="s">
        <v>301</v>
      </c>
      <c r="D5653" t="s">
        <v>6759</v>
      </c>
      <c r="E5653" s="117">
        <v>2100</v>
      </c>
    </row>
    <row r="5654" spans="1:5" x14ac:dyDescent="0.25">
      <c r="A5654" s="119" t="s">
        <v>8182</v>
      </c>
      <c r="B5654" s="119" t="s">
        <v>6111</v>
      </c>
      <c r="C5654" s="119" t="s">
        <v>301</v>
      </c>
      <c r="D5654" t="s">
        <v>6759</v>
      </c>
      <c r="E5654" s="117">
        <v>9999</v>
      </c>
    </row>
    <row r="5655" spans="1:5" x14ac:dyDescent="0.25">
      <c r="A5655" s="119" t="s">
        <v>8183</v>
      </c>
      <c r="B5655" s="119" t="s">
        <v>11998</v>
      </c>
      <c r="C5655" s="119" t="s">
        <v>301</v>
      </c>
      <c r="D5655" t="s">
        <v>49</v>
      </c>
      <c r="E5655" s="117">
        <v>1100</v>
      </c>
    </row>
    <row r="5656" spans="1:5" x14ac:dyDescent="0.25">
      <c r="A5656" s="119" t="s">
        <v>7853</v>
      </c>
      <c r="B5656" s="119" t="s">
        <v>7854</v>
      </c>
      <c r="C5656" s="119" t="s">
        <v>301</v>
      </c>
      <c r="D5656" t="s">
        <v>45</v>
      </c>
      <c r="E5656" s="117">
        <v>9999</v>
      </c>
    </row>
    <row r="5657" spans="1:5" x14ac:dyDescent="0.25">
      <c r="A5657" s="119" t="s">
        <v>6116</v>
      </c>
      <c r="B5657" s="119" t="s">
        <v>6117</v>
      </c>
      <c r="C5657" s="119" t="s">
        <v>301</v>
      </c>
      <c r="D5657" t="s">
        <v>45</v>
      </c>
      <c r="E5657" s="117">
        <v>0</v>
      </c>
    </row>
    <row r="5658" spans="1:5" x14ac:dyDescent="0.25">
      <c r="A5658" s="119" t="s">
        <v>6118</v>
      </c>
      <c r="B5658" s="119" t="s">
        <v>6119</v>
      </c>
      <c r="C5658" s="119" t="s">
        <v>301</v>
      </c>
      <c r="D5658" t="s">
        <v>45</v>
      </c>
      <c r="E5658" s="117">
        <v>324.45</v>
      </c>
    </row>
    <row r="5659" spans="1:5" x14ac:dyDescent="0.25">
      <c r="A5659" s="119" t="s">
        <v>6120</v>
      </c>
      <c r="B5659" s="119" t="s">
        <v>11539</v>
      </c>
      <c r="C5659" s="119" t="s">
        <v>301</v>
      </c>
      <c r="D5659" t="s">
        <v>45</v>
      </c>
      <c r="E5659" s="117">
        <v>0</v>
      </c>
    </row>
    <row r="5660" spans="1:5" x14ac:dyDescent="0.25">
      <c r="A5660" s="119" t="s">
        <v>6121</v>
      </c>
      <c r="B5660" s="119" t="s">
        <v>11540</v>
      </c>
      <c r="C5660" s="119" t="s">
        <v>301</v>
      </c>
      <c r="D5660" t="s">
        <v>6760</v>
      </c>
      <c r="E5660" s="117">
        <v>383.42</v>
      </c>
    </row>
    <row r="5661" spans="1:5" x14ac:dyDescent="0.25">
      <c r="A5661" s="119" t="s">
        <v>6856</v>
      </c>
      <c r="B5661" s="119" t="s">
        <v>11541</v>
      </c>
      <c r="C5661" s="119" t="s">
        <v>66</v>
      </c>
      <c r="D5661" t="s">
        <v>6759</v>
      </c>
      <c r="E5661" s="117">
        <v>380</v>
      </c>
    </row>
    <row r="5662" spans="1:5" x14ac:dyDescent="0.25">
      <c r="A5662" s="119" t="s">
        <v>6857</v>
      </c>
      <c r="B5662" s="119" t="s">
        <v>6858</v>
      </c>
      <c r="C5662" s="119" t="s">
        <v>66</v>
      </c>
      <c r="D5662" t="s">
        <v>6759</v>
      </c>
      <c r="E5662" s="117">
        <v>9999</v>
      </c>
    </row>
    <row r="5663" spans="1:5" x14ac:dyDescent="0.25">
      <c r="A5663" s="119" t="s">
        <v>6122</v>
      </c>
      <c r="B5663" s="119" t="s">
        <v>11542</v>
      </c>
      <c r="C5663" s="119" t="s">
        <v>301</v>
      </c>
      <c r="D5663" t="s">
        <v>45</v>
      </c>
      <c r="E5663" s="117">
        <v>3264.45</v>
      </c>
    </row>
    <row r="5664" spans="1:5" x14ac:dyDescent="0.25">
      <c r="A5664" s="119" t="s">
        <v>6123</v>
      </c>
      <c r="B5664" s="119" t="s">
        <v>11543</v>
      </c>
      <c r="C5664" s="119" t="s">
        <v>301</v>
      </c>
      <c r="D5664" t="s">
        <v>49</v>
      </c>
      <c r="E5664" s="117">
        <v>1857.45</v>
      </c>
    </row>
    <row r="5665" spans="1:5" x14ac:dyDescent="0.25">
      <c r="A5665" s="119" t="s">
        <v>6124</v>
      </c>
      <c r="B5665" s="119" t="s">
        <v>11544</v>
      </c>
      <c r="C5665" s="119" t="s">
        <v>301</v>
      </c>
      <c r="D5665" t="s">
        <v>45</v>
      </c>
      <c r="E5665" s="117">
        <v>1857.45</v>
      </c>
    </row>
    <row r="5666" spans="1:5" x14ac:dyDescent="0.25">
      <c r="A5666" s="119" t="s">
        <v>6125</v>
      </c>
      <c r="B5666" s="119" t="s">
        <v>11545</v>
      </c>
      <c r="C5666" s="119" t="s">
        <v>301</v>
      </c>
      <c r="D5666" t="s">
        <v>6760</v>
      </c>
      <c r="E5666" s="117">
        <v>2299</v>
      </c>
    </row>
    <row r="5667" spans="1:5" x14ac:dyDescent="0.25">
      <c r="A5667" s="119" t="s">
        <v>6126</v>
      </c>
      <c r="B5667" s="119" t="s">
        <v>4776</v>
      </c>
      <c r="C5667" s="119" t="s">
        <v>301</v>
      </c>
      <c r="D5667" t="s">
        <v>45</v>
      </c>
      <c r="E5667" s="117">
        <v>0</v>
      </c>
    </row>
    <row r="5668" spans="1:5" x14ac:dyDescent="0.25">
      <c r="A5668" s="119" t="s">
        <v>6127</v>
      </c>
      <c r="B5668" s="119" t="s">
        <v>11546</v>
      </c>
      <c r="C5668" s="119" t="s">
        <v>301</v>
      </c>
      <c r="D5668" t="s">
        <v>6759</v>
      </c>
      <c r="E5668" s="117">
        <v>2200</v>
      </c>
    </row>
    <row r="5669" spans="1:5" x14ac:dyDescent="0.25">
      <c r="A5669" s="119" t="s">
        <v>6128</v>
      </c>
      <c r="B5669" s="119" t="s">
        <v>6129</v>
      </c>
      <c r="C5669" s="119" t="s">
        <v>301</v>
      </c>
      <c r="D5669" t="s">
        <v>6759</v>
      </c>
      <c r="E5669" s="117">
        <v>9999</v>
      </c>
    </row>
    <row r="5670" spans="1:5" x14ac:dyDescent="0.25">
      <c r="A5670" s="119" t="s">
        <v>7855</v>
      </c>
      <c r="B5670" s="119" t="s">
        <v>11547</v>
      </c>
      <c r="C5670" s="119" t="s">
        <v>301</v>
      </c>
      <c r="D5670" t="s">
        <v>6760</v>
      </c>
      <c r="E5670" s="117">
        <v>1200</v>
      </c>
    </row>
    <row r="5671" spans="1:5" x14ac:dyDescent="0.25">
      <c r="A5671" s="119" t="s">
        <v>6318</v>
      </c>
      <c r="B5671" s="119" t="s">
        <v>11548</v>
      </c>
      <c r="C5671" s="119" t="s">
        <v>301</v>
      </c>
      <c r="D5671" t="s">
        <v>51</v>
      </c>
      <c r="E5671" s="117">
        <v>1200</v>
      </c>
    </row>
    <row r="5672" spans="1:5" x14ac:dyDescent="0.25">
      <c r="A5672" s="119" t="s">
        <v>6130</v>
      </c>
      <c r="B5672" s="119" t="s">
        <v>6131</v>
      </c>
      <c r="C5672" s="119" t="s">
        <v>301</v>
      </c>
      <c r="D5672" t="s">
        <v>6759</v>
      </c>
      <c r="E5672" s="117">
        <v>9999</v>
      </c>
    </row>
    <row r="5673" spans="1:5" x14ac:dyDescent="0.25">
      <c r="A5673" s="119" t="s">
        <v>6900</v>
      </c>
      <c r="B5673" s="119" t="s">
        <v>11549</v>
      </c>
      <c r="C5673" s="119" t="s">
        <v>301</v>
      </c>
      <c r="D5673" t="s">
        <v>6759</v>
      </c>
      <c r="E5673" s="117">
        <v>2800</v>
      </c>
    </row>
    <row r="5674" spans="1:5" x14ac:dyDescent="0.25">
      <c r="A5674" s="119" t="s">
        <v>6837</v>
      </c>
      <c r="B5674" s="119" t="s">
        <v>4765</v>
      </c>
      <c r="C5674" s="119" t="s">
        <v>301</v>
      </c>
      <c r="D5674" t="s">
        <v>45</v>
      </c>
      <c r="E5674" s="117">
        <v>9999</v>
      </c>
    </row>
    <row r="5675" spans="1:5" x14ac:dyDescent="0.25">
      <c r="A5675" s="119" t="s">
        <v>7856</v>
      </c>
      <c r="B5675" s="119" t="s">
        <v>11550</v>
      </c>
      <c r="C5675" s="119" t="s">
        <v>301</v>
      </c>
      <c r="D5675" t="s">
        <v>49</v>
      </c>
      <c r="E5675" s="117">
        <v>1350</v>
      </c>
    </row>
    <row r="5676" spans="1:5" x14ac:dyDescent="0.25">
      <c r="A5676" s="119" t="s">
        <v>7857</v>
      </c>
      <c r="B5676" s="119" t="s">
        <v>4765</v>
      </c>
      <c r="C5676" s="119" t="s">
        <v>301</v>
      </c>
      <c r="D5676" t="s">
        <v>6759</v>
      </c>
      <c r="E5676" s="117">
        <v>9999</v>
      </c>
    </row>
    <row r="5677" spans="1:5" x14ac:dyDescent="0.25">
      <c r="A5677" s="119" t="s">
        <v>11921</v>
      </c>
      <c r="B5677" s="119" t="s">
        <v>4765</v>
      </c>
      <c r="C5677" s="119" t="s">
        <v>301</v>
      </c>
      <c r="D5677" t="s">
        <v>45</v>
      </c>
      <c r="E5677" s="117">
        <v>9999</v>
      </c>
    </row>
    <row r="5678" spans="1:5" x14ac:dyDescent="0.25">
      <c r="A5678" s="116" t="s">
        <v>8270</v>
      </c>
      <c r="B5678" s="119" t="s">
        <v>4765</v>
      </c>
      <c r="C5678" s="116" t="s">
        <v>301</v>
      </c>
      <c r="D5678" t="s">
        <v>45</v>
      </c>
      <c r="E5678" s="117">
        <v>9999</v>
      </c>
    </row>
    <row r="5679" spans="1:5" x14ac:dyDescent="0.25">
      <c r="A5679" s="116" t="s">
        <v>8184</v>
      </c>
      <c r="B5679" s="119" t="s">
        <v>12220</v>
      </c>
      <c r="C5679" s="116" t="s">
        <v>301</v>
      </c>
      <c r="D5679" t="s">
        <v>6759</v>
      </c>
      <c r="E5679" s="117">
        <v>2800</v>
      </c>
    </row>
    <row r="5680" spans="1:5" x14ac:dyDescent="0.25">
      <c r="A5680" s="116" t="s">
        <v>8185</v>
      </c>
      <c r="B5680" s="119" t="s">
        <v>4765</v>
      </c>
      <c r="C5680" s="116" t="s">
        <v>301</v>
      </c>
      <c r="D5680" t="s">
        <v>45</v>
      </c>
      <c r="E5680" s="117">
        <v>9999</v>
      </c>
    </row>
    <row r="5681" spans="1:5" x14ac:dyDescent="0.25">
      <c r="A5681" s="116" t="s">
        <v>12221</v>
      </c>
      <c r="B5681" s="119" t="s">
        <v>12222</v>
      </c>
      <c r="C5681" s="116" t="s">
        <v>301</v>
      </c>
      <c r="D5681" t="s">
        <v>45</v>
      </c>
      <c r="E5681" s="117">
        <v>9999</v>
      </c>
    </row>
    <row r="5682" spans="1:5" x14ac:dyDescent="0.25">
      <c r="A5682" s="116" t="s">
        <v>6132</v>
      </c>
      <c r="B5682" s="119" t="s">
        <v>11551</v>
      </c>
      <c r="C5682" s="116" t="s">
        <v>301</v>
      </c>
      <c r="D5682" t="s">
        <v>45</v>
      </c>
      <c r="E5682" s="117">
        <v>0</v>
      </c>
    </row>
    <row r="5683" spans="1:5" x14ac:dyDescent="0.25">
      <c r="A5683" s="116" t="s">
        <v>6133</v>
      </c>
      <c r="B5683" s="119" t="s">
        <v>6525</v>
      </c>
      <c r="C5683" s="116" t="s">
        <v>301</v>
      </c>
      <c r="D5683" t="s">
        <v>45</v>
      </c>
      <c r="E5683" s="117">
        <v>0</v>
      </c>
    </row>
    <row r="5684" spans="1:5" x14ac:dyDescent="0.25">
      <c r="A5684" s="116" t="s">
        <v>6134</v>
      </c>
      <c r="B5684" s="119" t="s">
        <v>11552</v>
      </c>
      <c r="C5684" s="116" t="s">
        <v>301</v>
      </c>
      <c r="D5684" t="s">
        <v>51</v>
      </c>
      <c r="E5684" s="117">
        <v>1111.95</v>
      </c>
    </row>
    <row r="5685" spans="1:5" x14ac:dyDescent="0.25">
      <c r="A5685" s="116" t="s">
        <v>6135</v>
      </c>
      <c r="B5685" s="119" t="s">
        <v>11553</v>
      </c>
      <c r="C5685" s="116" t="s">
        <v>301</v>
      </c>
      <c r="D5685" t="s">
        <v>6759</v>
      </c>
      <c r="E5685" s="117">
        <v>1279.95</v>
      </c>
    </row>
    <row r="5686" spans="1:5" x14ac:dyDescent="0.25">
      <c r="A5686" s="116" t="s">
        <v>8186</v>
      </c>
      <c r="B5686" s="119" t="s">
        <v>11999</v>
      </c>
      <c r="C5686" s="116" t="s">
        <v>301</v>
      </c>
      <c r="D5686" t="s">
        <v>6759</v>
      </c>
      <c r="E5686" s="117">
        <v>2200</v>
      </c>
    </row>
    <row r="5687" spans="1:5" x14ac:dyDescent="0.25">
      <c r="A5687" s="116" t="s">
        <v>8188</v>
      </c>
      <c r="B5687" s="119" t="s">
        <v>8187</v>
      </c>
      <c r="C5687" s="116" t="s">
        <v>301</v>
      </c>
      <c r="D5687" t="s">
        <v>45</v>
      </c>
      <c r="E5687" s="117">
        <v>9999</v>
      </c>
    </row>
    <row r="5688" spans="1:5" x14ac:dyDescent="0.25">
      <c r="A5688" s="116" t="s">
        <v>6136</v>
      </c>
      <c r="B5688" s="119" t="s">
        <v>6137</v>
      </c>
      <c r="C5688" s="116" t="s">
        <v>301</v>
      </c>
      <c r="D5688" t="s">
        <v>45</v>
      </c>
      <c r="E5688" s="117">
        <v>0</v>
      </c>
    </row>
    <row r="5689" spans="1:5" x14ac:dyDescent="0.25">
      <c r="A5689" s="116" t="s">
        <v>6138</v>
      </c>
      <c r="B5689" s="119" t="s">
        <v>6139</v>
      </c>
      <c r="C5689" s="116" t="s">
        <v>301</v>
      </c>
      <c r="D5689" t="s">
        <v>45</v>
      </c>
      <c r="E5689" s="117">
        <v>0</v>
      </c>
    </row>
    <row r="5690" spans="1:5" x14ac:dyDescent="0.25">
      <c r="A5690" s="116" t="s">
        <v>6571</v>
      </c>
      <c r="B5690" s="119" t="s">
        <v>11554</v>
      </c>
      <c r="C5690" s="116" t="s">
        <v>301</v>
      </c>
      <c r="D5690" t="s">
        <v>45</v>
      </c>
      <c r="E5690" s="117">
        <v>1800</v>
      </c>
    </row>
    <row r="5691" spans="1:5" x14ac:dyDescent="0.25">
      <c r="A5691" s="116" t="s">
        <v>6140</v>
      </c>
      <c r="B5691" s="119" t="s">
        <v>11555</v>
      </c>
      <c r="C5691" s="116" t="s">
        <v>301</v>
      </c>
      <c r="D5691" t="s">
        <v>6759</v>
      </c>
      <c r="E5691" s="117">
        <v>1800</v>
      </c>
    </row>
    <row r="5692" spans="1:5" x14ac:dyDescent="0.25">
      <c r="A5692" s="116" t="s">
        <v>8189</v>
      </c>
      <c r="B5692" s="119" t="s">
        <v>11556</v>
      </c>
      <c r="C5692" s="116" t="s">
        <v>301</v>
      </c>
      <c r="D5692" t="s">
        <v>6759</v>
      </c>
      <c r="E5692" s="117">
        <v>680</v>
      </c>
    </row>
    <row r="5693" spans="1:5" x14ac:dyDescent="0.25">
      <c r="A5693" s="116" t="s">
        <v>7858</v>
      </c>
      <c r="B5693" s="119" t="s">
        <v>7859</v>
      </c>
      <c r="C5693" s="116" t="s">
        <v>301</v>
      </c>
      <c r="D5693" t="s">
        <v>45</v>
      </c>
      <c r="E5693" s="117">
        <v>0</v>
      </c>
    </row>
    <row r="5694" spans="1:5" x14ac:dyDescent="0.25">
      <c r="A5694" s="116" t="s">
        <v>6141</v>
      </c>
      <c r="B5694" s="119" t="s">
        <v>11557</v>
      </c>
      <c r="C5694" s="116" t="s">
        <v>301</v>
      </c>
      <c r="D5694" t="s">
        <v>45</v>
      </c>
      <c r="E5694" s="117">
        <v>397.95</v>
      </c>
    </row>
    <row r="5695" spans="1:5" x14ac:dyDescent="0.25">
      <c r="A5695" s="116" t="s">
        <v>6142</v>
      </c>
      <c r="B5695" s="119" t="s">
        <v>11558</v>
      </c>
      <c r="C5695" s="116" t="s">
        <v>301</v>
      </c>
      <c r="D5695" t="s">
        <v>45</v>
      </c>
      <c r="E5695" s="117">
        <v>0</v>
      </c>
    </row>
    <row r="5696" spans="1:5" x14ac:dyDescent="0.25">
      <c r="A5696" s="116" t="s">
        <v>6143</v>
      </c>
      <c r="B5696" s="119" t="s">
        <v>11559</v>
      </c>
      <c r="C5696" s="116" t="s">
        <v>301</v>
      </c>
      <c r="D5696" t="s">
        <v>45</v>
      </c>
      <c r="E5696" s="117">
        <v>1189.3800000000001</v>
      </c>
    </row>
    <row r="5697" spans="1:5" x14ac:dyDescent="0.25">
      <c r="A5697" s="116" t="s">
        <v>6144</v>
      </c>
      <c r="B5697" s="119" t="s">
        <v>11560</v>
      </c>
      <c r="C5697" s="116" t="s">
        <v>301</v>
      </c>
      <c r="D5697" t="s">
        <v>45</v>
      </c>
      <c r="E5697" s="117">
        <v>555.45000000000005</v>
      </c>
    </row>
    <row r="5698" spans="1:5" x14ac:dyDescent="0.25">
      <c r="A5698" s="116" t="s">
        <v>6145</v>
      </c>
      <c r="B5698" s="119" t="s">
        <v>11561</v>
      </c>
      <c r="C5698" s="116" t="s">
        <v>301</v>
      </c>
      <c r="D5698" t="s">
        <v>45</v>
      </c>
      <c r="E5698" s="117">
        <v>0</v>
      </c>
    </row>
    <row r="5699" spans="1:5" x14ac:dyDescent="0.25">
      <c r="A5699" s="116" t="s">
        <v>6146</v>
      </c>
      <c r="B5699" s="119" t="s">
        <v>11562</v>
      </c>
      <c r="C5699" s="116" t="s">
        <v>301</v>
      </c>
      <c r="D5699" t="s">
        <v>6759</v>
      </c>
      <c r="E5699" s="117">
        <v>2253.5500000000002</v>
      </c>
    </row>
    <row r="5700" spans="1:5" x14ac:dyDescent="0.25">
      <c r="A5700" s="116" t="s">
        <v>6147</v>
      </c>
      <c r="B5700" s="119" t="s">
        <v>11563</v>
      </c>
      <c r="C5700" s="116" t="s">
        <v>301</v>
      </c>
      <c r="D5700" t="s">
        <v>45</v>
      </c>
      <c r="E5700" s="117">
        <v>3714.18</v>
      </c>
    </row>
    <row r="5701" spans="1:5" x14ac:dyDescent="0.25">
      <c r="A5701" s="116" t="s">
        <v>6148</v>
      </c>
      <c r="B5701" s="119" t="s">
        <v>11564</v>
      </c>
      <c r="C5701" s="116" t="s">
        <v>301</v>
      </c>
      <c r="D5701" t="s">
        <v>45</v>
      </c>
      <c r="E5701" s="117">
        <v>393.94</v>
      </c>
    </row>
    <row r="5702" spans="1:5" x14ac:dyDescent="0.25">
      <c r="A5702" s="116" t="s">
        <v>6149</v>
      </c>
      <c r="B5702" s="119" t="s">
        <v>6150</v>
      </c>
      <c r="C5702" s="116" t="s">
        <v>301</v>
      </c>
      <c r="D5702" t="s">
        <v>45</v>
      </c>
      <c r="E5702" s="117">
        <v>393.94</v>
      </c>
    </row>
    <row r="5703" spans="1:5" x14ac:dyDescent="0.25">
      <c r="A5703" s="116" t="s">
        <v>6151</v>
      </c>
      <c r="B5703" s="119" t="s">
        <v>11565</v>
      </c>
      <c r="C5703" s="116" t="s">
        <v>301</v>
      </c>
      <c r="D5703" t="s">
        <v>45</v>
      </c>
      <c r="E5703" s="117">
        <v>406.63</v>
      </c>
    </row>
    <row r="5704" spans="1:5" x14ac:dyDescent="0.25">
      <c r="A5704" s="116" t="s">
        <v>6152</v>
      </c>
      <c r="B5704" s="119" t="s">
        <v>11566</v>
      </c>
      <c r="C5704" s="116" t="s">
        <v>301</v>
      </c>
      <c r="D5704" t="s">
        <v>45</v>
      </c>
      <c r="E5704" s="117">
        <v>0</v>
      </c>
    </row>
    <row r="5705" spans="1:5" x14ac:dyDescent="0.25">
      <c r="A5705" s="116" t="s">
        <v>6153</v>
      </c>
      <c r="B5705" s="119" t="s">
        <v>11567</v>
      </c>
      <c r="C5705" s="116" t="s">
        <v>301</v>
      </c>
      <c r="D5705" t="s">
        <v>6759</v>
      </c>
      <c r="E5705" s="117">
        <v>2200</v>
      </c>
    </row>
    <row r="5706" spans="1:5" x14ac:dyDescent="0.25">
      <c r="A5706" s="116" t="s">
        <v>6279</v>
      </c>
      <c r="B5706" s="119" t="s">
        <v>4808</v>
      </c>
      <c r="C5706" s="116" t="s">
        <v>301</v>
      </c>
      <c r="D5706" t="s">
        <v>45</v>
      </c>
      <c r="E5706" s="117">
        <v>9999</v>
      </c>
    </row>
    <row r="5707" spans="1:5" x14ac:dyDescent="0.25">
      <c r="A5707" s="116" t="s">
        <v>6154</v>
      </c>
      <c r="B5707" s="119" t="s">
        <v>11568</v>
      </c>
      <c r="C5707" s="116" t="s">
        <v>301</v>
      </c>
      <c r="D5707" t="s">
        <v>45</v>
      </c>
      <c r="E5707" s="117">
        <v>3799</v>
      </c>
    </row>
    <row r="5708" spans="1:5" x14ac:dyDescent="0.25">
      <c r="A5708" s="116" t="s">
        <v>6155</v>
      </c>
      <c r="B5708" s="119" t="s">
        <v>4813</v>
      </c>
      <c r="C5708" s="116" t="s">
        <v>301</v>
      </c>
      <c r="D5708" t="s">
        <v>45</v>
      </c>
      <c r="E5708" s="117">
        <v>999999</v>
      </c>
    </row>
    <row r="5709" spans="1:5" x14ac:dyDescent="0.25">
      <c r="A5709" s="116" t="s">
        <v>6156</v>
      </c>
      <c r="B5709" s="119" t="s">
        <v>11569</v>
      </c>
      <c r="C5709" s="116" t="s">
        <v>301</v>
      </c>
      <c r="D5709" t="s">
        <v>6759</v>
      </c>
      <c r="E5709" s="117">
        <v>1804.95</v>
      </c>
    </row>
    <row r="5710" spans="1:5" x14ac:dyDescent="0.25">
      <c r="A5710" s="116" t="s">
        <v>6157</v>
      </c>
      <c r="B5710" s="119" t="s">
        <v>11570</v>
      </c>
      <c r="C5710" s="116" t="s">
        <v>301</v>
      </c>
      <c r="D5710" t="s">
        <v>45</v>
      </c>
      <c r="E5710" s="117">
        <v>0</v>
      </c>
    </row>
    <row r="5711" spans="1:5" x14ac:dyDescent="0.25">
      <c r="A5711" s="116" t="s">
        <v>6158</v>
      </c>
      <c r="B5711" s="119" t="s">
        <v>11571</v>
      </c>
      <c r="C5711" s="116" t="s">
        <v>301</v>
      </c>
      <c r="D5711" t="s">
        <v>45</v>
      </c>
      <c r="E5711" s="117">
        <v>3358.95</v>
      </c>
    </row>
    <row r="5712" spans="1:5" x14ac:dyDescent="0.25">
      <c r="A5712" s="116" t="s">
        <v>6159</v>
      </c>
      <c r="B5712" s="119" t="s">
        <v>11572</v>
      </c>
      <c r="C5712" s="116" t="s">
        <v>301</v>
      </c>
      <c r="D5712" t="s">
        <v>6759</v>
      </c>
      <c r="E5712" s="117">
        <v>2077.9499999999998</v>
      </c>
    </row>
    <row r="5713" spans="1:5" x14ac:dyDescent="0.25">
      <c r="A5713" s="116" t="s">
        <v>6160</v>
      </c>
      <c r="B5713" s="119" t="s">
        <v>4839</v>
      </c>
      <c r="C5713" s="116" t="s">
        <v>301</v>
      </c>
      <c r="D5713" t="s">
        <v>45</v>
      </c>
      <c r="E5713" s="117">
        <v>0</v>
      </c>
    </row>
    <row r="5714" spans="1:5" x14ac:dyDescent="0.25">
      <c r="A5714" s="116" t="s">
        <v>6161</v>
      </c>
      <c r="B5714" s="119" t="s">
        <v>11573</v>
      </c>
      <c r="C5714" s="116" t="s">
        <v>301</v>
      </c>
      <c r="D5714" t="s">
        <v>49</v>
      </c>
      <c r="E5714" s="117">
        <v>4093.95</v>
      </c>
    </row>
    <row r="5715" spans="1:5" x14ac:dyDescent="0.25">
      <c r="A5715" s="116" t="s">
        <v>6162</v>
      </c>
      <c r="B5715" s="119" t="s">
        <v>4839</v>
      </c>
      <c r="C5715" s="116" t="s">
        <v>301</v>
      </c>
      <c r="D5715" t="s">
        <v>45</v>
      </c>
      <c r="E5715" s="117">
        <v>0</v>
      </c>
    </row>
    <row r="5716" spans="1:5" x14ac:dyDescent="0.25">
      <c r="A5716" s="116" t="s">
        <v>6163</v>
      </c>
      <c r="B5716" s="119" t="s">
        <v>11574</v>
      </c>
      <c r="C5716" s="116" t="s">
        <v>301</v>
      </c>
      <c r="D5716" t="s">
        <v>6759</v>
      </c>
      <c r="E5716" s="117">
        <v>2699</v>
      </c>
    </row>
    <row r="5717" spans="1:5" x14ac:dyDescent="0.25">
      <c r="A5717" s="116" t="s">
        <v>6164</v>
      </c>
      <c r="B5717" s="119" t="s">
        <v>4839</v>
      </c>
      <c r="C5717" s="116" t="s">
        <v>301</v>
      </c>
      <c r="D5717" t="s">
        <v>6759</v>
      </c>
      <c r="E5717" s="117">
        <v>1</v>
      </c>
    </row>
    <row r="5718" spans="1:5" x14ac:dyDescent="0.25">
      <c r="A5718" s="116" t="s">
        <v>6165</v>
      </c>
      <c r="B5718" s="119" t="s">
        <v>11575</v>
      </c>
      <c r="C5718" s="116" t="s">
        <v>301</v>
      </c>
      <c r="D5718" t="s">
        <v>49</v>
      </c>
      <c r="E5718" s="117">
        <v>2099</v>
      </c>
    </row>
    <row r="5719" spans="1:5" x14ac:dyDescent="0.25">
      <c r="A5719" s="116" t="s">
        <v>6166</v>
      </c>
      <c r="B5719" s="119" t="s">
        <v>4839</v>
      </c>
      <c r="C5719" s="116" t="s">
        <v>301</v>
      </c>
      <c r="D5719" t="s">
        <v>6759</v>
      </c>
      <c r="E5719" s="117">
        <v>1</v>
      </c>
    </row>
    <row r="5720" spans="1:5" x14ac:dyDescent="0.25">
      <c r="A5720" s="116" t="s">
        <v>6167</v>
      </c>
      <c r="B5720" s="119" t="s">
        <v>11576</v>
      </c>
      <c r="C5720" s="116" t="s">
        <v>301</v>
      </c>
      <c r="D5720" t="s">
        <v>45</v>
      </c>
      <c r="E5720" s="117">
        <v>927.65</v>
      </c>
    </row>
    <row r="5721" spans="1:5" x14ac:dyDescent="0.25">
      <c r="A5721" s="116" t="s">
        <v>6168</v>
      </c>
      <c r="B5721" s="119" t="s">
        <v>11577</v>
      </c>
      <c r="C5721" s="116" t="s">
        <v>301</v>
      </c>
      <c r="D5721" t="s">
        <v>45</v>
      </c>
      <c r="E5721" s="117">
        <v>618.45000000000005</v>
      </c>
    </row>
    <row r="5722" spans="1:5" x14ac:dyDescent="0.25">
      <c r="A5722" s="116" t="s">
        <v>6169</v>
      </c>
      <c r="B5722" s="119" t="s">
        <v>11566</v>
      </c>
      <c r="C5722" s="116" t="s">
        <v>301</v>
      </c>
      <c r="D5722" t="s">
        <v>45</v>
      </c>
      <c r="E5722" s="117">
        <v>0</v>
      </c>
    </row>
    <row r="5723" spans="1:5" x14ac:dyDescent="0.25">
      <c r="A5723" s="116" t="s">
        <v>6170</v>
      </c>
      <c r="B5723" s="119" t="s">
        <v>11578</v>
      </c>
      <c r="C5723" s="116" t="s">
        <v>301</v>
      </c>
      <c r="D5723" t="s">
        <v>6759</v>
      </c>
      <c r="E5723" s="117">
        <v>2388.98</v>
      </c>
    </row>
    <row r="5724" spans="1:5" x14ac:dyDescent="0.25">
      <c r="A5724" s="116" t="s">
        <v>6171</v>
      </c>
      <c r="B5724" s="119" t="s">
        <v>4839</v>
      </c>
      <c r="C5724" s="116" t="s">
        <v>301</v>
      </c>
      <c r="D5724" t="s">
        <v>45</v>
      </c>
      <c r="E5724" s="117">
        <v>0</v>
      </c>
    </row>
    <row r="5725" spans="1:5" x14ac:dyDescent="0.25">
      <c r="A5725" s="116" t="s">
        <v>6172</v>
      </c>
      <c r="B5725" s="119" t="s">
        <v>6526</v>
      </c>
      <c r="C5725" s="116" t="s">
        <v>66</v>
      </c>
      <c r="D5725" t="s">
        <v>49</v>
      </c>
      <c r="E5725" s="117">
        <v>202.35</v>
      </c>
    </row>
    <row r="5726" spans="1:5" x14ac:dyDescent="0.25">
      <c r="A5726" s="116" t="s">
        <v>6173</v>
      </c>
      <c r="B5726" s="119" t="s">
        <v>6527</v>
      </c>
      <c r="C5726" s="116" t="s">
        <v>66</v>
      </c>
      <c r="D5726" t="s">
        <v>6759</v>
      </c>
      <c r="E5726" s="117">
        <v>309.86</v>
      </c>
    </row>
    <row r="5727" spans="1:5" x14ac:dyDescent="0.25">
      <c r="A5727" s="116" t="s">
        <v>6174</v>
      </c>
      <c r="B5727" s="119" t="s">
        <v>6528</v>
      </c>
      <c r="C5727" s="116" t="s">
        <v>66</v>
      </c>
      <c r="D5727" t="s">
        <v>49</v>
      </c>
      <c r="E5727" s="117">
        <v>348.18</v>
      </c>
    </row>
    <row r="5728" spans="1:5" x14ac:dyDescent="0.25">
      <c r="A5728" s="116" t="s">
        <v>6175</v>
      </c>
      <c r="B5728" s="119" t="s">
        <v>6529</v>
      </c>
      <c r="C5728" s="116" t="s">
        <v>66</v>
      </c>
      <c r="D5728" t="s">
        <v>45</v>
      </c>
      <c r="E5728" s="117">
        <v>539.5</v>
      </c>
    </row>
    <row r="5729" spans="1:5" x14ac:dyDescent="0.25">
      <c r="A5729" s="116" t="s">
        <v>6176</v>
      </c>
      <c r="B5729" s="119" t="s">
        <v>6530</v>
      </c>
      <c r="C5729" s="116" t="s">
        <v>66</v>
      </c>
      <c r="D5729" t="s">
        <v>49</v>
      </c>
      <c r="E5729" s="117">
        <v>270.39</v>
      </c>
    </row>
    <row r="5730" spans="1:5" x14ac:dyDescent="0.25">
      <c r="A5730" s="116" t="s">
        <v>6177</v>
      </c>
      <c r="B5730" s="119" t="s">
        <v>6531</v>
      </c>
      <c r="C5730" s="116" t="s">
        <v>66</v>
      </c>
      <c r="D5730" t="s">
        <v>49</v>
      </c>
      <c r="E5730" s="117">
        <v>393.79</v>
      </c>
    </row>
    <row r="5731" spans="1:5" x14ac:dyDescent="0.25">
      <c r="A5731" s="116" t="s">
        <v>6178</v>
      </c>
      <c r="B5731" s="119" t="s">
        <v>6532</v>
      </c>
      <c r="C5731" s="116" t="s">
        <v>66</v>
      </c>
      <c r="D5731" t="s">
        <v>45</v>
      </c>
      <c r="E5731" s="117">
        <v>0</v>
      </c>
    </row>
    <row r="5732" spans="1:5" x14ac:dyDescent="0.25">
      <c r="A5732" s="116" t="s">
        <v>6179</v>
      </c>
      <c r="B5732" s="119" t="s">
        <v>6533</v>
      </c>
      <c r="C5732" s="116" t="s">
        <v>66</v>
      </c>
      <c r="D5732" t="s">
        <v>45</v>
      </c>
      <c r="E5732" s="117">
        <v>0</v>
      </c>
    </row>
    <row r="5733" spans="1:5" x14ac:dyDescent="0.25">
      <c r="A5733" s="116" t="s">
        <v>6180</v>
      </c>
      <c r="B5733" s="119" t="s">
        <v>6181</v>
      </c>
      <c r="C5733" s="116" t="s">
        <v>66</v>
      </c>
      <c r="D5733" t="s">
        <v>45</v>
      </c>
      <c r="E5733" s="117">
        <v>0</v>
      </c>
    </row>
    <row r="5734" spans="1:5" x14ac:dyDescent="0.25">
      <c r="A5734" s="116" t="s">
        <v>6182</v>
      </c>
      <c r="B5734" s="119" t="s">
        <v>6534</v>
      </c>
      <c r="C5734" s="116" t="s">
        <v>66</v>
      </c>
      <c r="D5734" t="s">
        <v>45</v>
      </c>
      <c r="E5734" s="117">
        <v>0</v>
      </c>
    </row>
    <row r="5735" spans="1:5" x14ac:dyDescent="0.25">
      <c r="A5735" s="116" t="s">
        <v>6183</v>
      </c>
      <c r="B5735" s="119" t="s">
        <v>6184</v>
      </c>
      <c r="C5735" s="116" t="s">
        <v>66</v>
      </c>
      <c r="D5735" t="s">
        <v>45</v>
      </c>
      <c r="E5735" s="117">
        <v>0</v>
      </c>
    </row>
    <row r="5736" spans="1:5" x14ac:dyDescent="0.25">
      <c r="A5736" s="116" t="s">
        <v>6185</v>
      </c>
      <c r="B5736" s="119" t="s">
        <v>6535</v>
      </c>
      <c r="C5736" s="116" t="s">
        <v>66</v>
      </c>
      <c r="D5736" t="s">
        <v>45</v>
      </c>
      <c r="E5736" s="117">
        <v>328.85</v>
      </c>
    </row>
    <row r="5737" spans="1:5" x14ac:dyDescent="0.25">
      <c r="A5737" s="116" t="s">
        <v>6186</v>
      </c>
      <c r="B5737" s="119" t="s">
        <v>6536</v>
      </c>
      <c r="C5737" s="116" t="s">
        <v>66</v>
      </c>
      <c r="D5737" t="s">
        <v>49</v>
      </c>
      <c r="E5737" s="117">
        <v>462.33</v>
      </c>
    </row>
    <row r="5738" spans="1:5" x14ac:dyDescent="0.25">
      <c r="A5738" s="116" t="s">
        <v>6187</v>
      </c>
      <c r="B5738" s="119" t="s">
        <v>6537</v>
      </c>
      <c r="C5738" s="116" t="s">
        <v>66</v>
      </c>
      <c r="D5738" t="s">
        <v>49</v>
      </c>
      <c r="E5738" s="117">
        <v>297.39999999999998</v>
      </c>
    </row>
    <row r="5739" spans="1:5" x14ac:dyDescent="0.25">
      <c r="A5739" s="116" t="s">
        <v>6188</v>
      </c>
      <c r="B5739" s="119" t="s">
        <v>6538</v>
      </c>
      <c r="C5739" s="116" t="s">
        <v>66</v>
      </c>
      <c r="D5739" t="s">
        <v>49</v>
      </c>
      <c r="E5739" s="117">
        <v>304.83</v>
      </c>
    </row>
    <row r="5740" spans="1:5" x14ac:dyDescent="0.25">
      <c r="A5740" s="116" t="s">
        <v>6189</v>
      </c>
      <c r="B5740" s="119" t="s">
        <v>6539</v>
      </c>
      <c r="C5740" s="116" t="s">
        <v>66</v>
      </c>
      <c r="D5740" t="s">
        <v>6759</v>
      </c>
      <c r="E5740" s="117">
        <v>430.58</v>
      </c>
    </row>
    <row r="5741" spans="1:5" x14ac:dyDescent="0.25">
      <c r="A5741" s="116" t="s">
        <v>6190</v>
      </c>
      <c r="B5741" s="119" t="s">
        <v>6540</v>
      </c>
      <c r="C5741" s="116" t="s">
        <v>66</v>
      </c>
      <c r="D5741" t="s">
        <v>49</v>
      </c>
      <c r="E5741" s="117">
        <v>329.49</v>
      </c>
    </row>
    <row r="5742" spans="1:5" x14ac:dyDescent="0.25">
      <c r="A5742" s="116" t="s">
        <v>6191</v>
      </c>
      <c r="B5742" s="119" t="s">
        <v>6541</v>
      </c>
      <c r="C5742" s="116" t="s">
        <v>66</v>
      </c>
      <c r="D5742" t="s">
        <v>49</v>
      </c>
      <c r="E5742" s="117">
        <v>506.59</v>
      </c>
    </row>
    <row r="5743" spans="1:5" x14ac:dyDescent="0.25">
      <c r="A5743" s="116" t="s">
        <v>6192</v>
      </c>
      <c r="B5743" s="119" t="s">
        <v>6542</v>
      </c>
      <c r="C5743" s="116" t="s">
        <v>66</v>
      </c>
      <c r="D5743" t="s">
        <v>45</v>
      </c>
      <c r="E5743" s="117">
        <v>0</v>
      </c>
    </row>
    <row r="5744" spans="1:5" x14ac:dyDescent="0.25">
      <c r="A5744" s="116" t="s">
        <v>6193</v>
      </c>
      <c r="B5744" s="119" t="s">
        <v>6543</v>
      </c>
      <c r="C5744" s="116" t="s">
        <v>66</v>
      </c>
      <c r="D5744" t="s">
        <v>45</v>
      </c>
      <c r="E5744" s="117">
        <v>0</v>
      </c>
    </row>
    <row r="5745" spans="1:5" x14ac:dyDescent="0.25">
      <c r="A5745" s="116" t="s">
        <v>6194</v>
      </c>
      <c r="B5745" s="119" t="s">
        <v>6544</v>
      </c>
      <c r="C5745" s="116" t="s">
        <v>66</v>
      </c>
      <c r="D5745" t="s">
        <v>49</v>
      </c>
      <c r="E5745" s="117">
        <v>179.08</v>
      </c>
    </row>
    <row r="5746" spans="1:5" x14ac:dyDescent="0.25">
      <c r="A5746" s="116" t="s">
        <v>6195</v>
      </c>
      <c r="B5746" s="119" t="s">
        <v>6545</v>
      </c>
      <c r="C5746" s="116" t="s">
        <v>66</v>
      </c>
      <c r="D5746" t="s">
        <v>49</v>
      </c>
      <c r="E5746" s="117">
        <v>136.02000000000001</v>
      </c>
    </row>
    <row r="5747" spans="1:5" x14ac:dyDescent="0.25">
      <c r="A5747" s="116" t="s">
        <v>6196</v>
      </c>
      <c r="B5747" s="119" t="s">
        <v>6546</v>
      </c>
      <c r="C5747" s="116" t="s">
        <v>66</v>
      </c>
      <c r="D5747" t="s">
        <v>49</v>
      </c>
      <c r="E5747" s="117">
        <v>151.66999999999999</v>
      </c>
    </row>
    <row r="5748" spans="1:5" x14ac:dyDescent="0.25">
      <c r="A5748" s="116" t="s">
        <v>6197</v>
      </c>
      <c r="B5748" s="119" t="s">
        <v>6547</v>
      </c>
      <c r="C5748" s="116" t="s">
        <v>66</v>
      </c>
      <c r="D5748" t="s">
        <v>49</v>
      </c>
      <c r="E5748" s="117">
        <v>171.9</v>
      </c>
    </row>
    <row r="5749" spans="1:5" x14ac:dyDescent="0.25">
      <c r="A5749" s="116" t="s">
        <v>6198</v>
      </c>
      <c r="B5749" s="119" t="s">
        <v>6548</v>
      </c>
      <c r="C5749" s="116" t="s">
        <v>66</v>
      </c>
      <c r="D5749" t="s">
        <v>45</v>
      </c>
      <c r="E5749" s="117">
        <v>0</v>
      </c>
    </row>
    <row r="5750" spans="1:5" x14ac:dyDescent="0.25">
      <c r="A5750" s="116" t="s">
        <v>6199</v>
      </c>
      <c r="B5750" s="119" t="s">
        <v>6549</v>
      </c>
      <c r="C5750" s="116" t="s">
        <v>66</v>
      </c>
      <c r="D5750" t="s">
        <v>49</v>
      </c>
      <c r="E5750" s="117">
        <v>528.61</v>
      </c>
    </row>
    <row r="5751" spans="1:5" x14ac:dyDescent="0.25">
      <c r="A5751" s="116" t="s">
        <v>6200</v>
      </c>
      <c r="B5751" s="119" t="s">
        <v>6550</v>
      </c>
      <c r="C5751" s="116" t="s">
        <v>66</v>
      </c>
      <c r="D5751" t="s">
        <v>45</v>
      </c>
      <c r="E5751" s="117">
        <v>0</v>
      </c>
    </row>
    <row r="5752" spans="1:5" x14ac:dyDescent="0.25">
      <c r="A5752" s="116" t="s">
        <v>6201</v>
      </c>
      <c r="B5752" s="119" t="s">
        <v>6551</v>
      </c>
      <c r="C5752" s="116" t="s">
        <v>66</v>
      </c>
      <c r="D5752" t="s">
        <v>6760</v>
      </c>
      <c r="E5752" s="117">
        <v>214.81</v>
      </c>
    </row>
    <row r="5753" spans="1:5" x14ac:dyDescent="0.25">
      <c r="A5753" s="116" t="s">
        <v>6202</v>
      </c>
      <c r="B5753" s="119" t="s">
        <v>6552</v>
      </c>
      <c r="C5753" s="116" t="s">
        <v>66</v>
      </c>
      <c r="D5753" t="s">
        <v>45</v>
      </c>
      <c r="E5753" s="117">
        <v>0</v>
      </c>
    </row>
    <row r="5754" spans="1:5" x14ac:dyDescent="0.25">
      <c r="A5754" s="116" t="s">
        <v>6203</v>
      </c>
      <c r="B5754" s="119" t="s">
        <v>6553</v>
      </c>
      <c r="C5754" s="116" t="s">
        <v>66</v>
      </c>
      <c r="D5754" t="s">
        <v>45</v>
      </c>
      <c r="E5754" s="117">
        <v>111.34</v>
      </c>
    </row>
    <row r="5755" spans="1:5" x14ac:dyDescent="0.25">
      <c r="A5755" s="116" t="s">
        <v>6204</v>
      </c>
      <c r="B5755" s="119" t="s">
        <v>6554</v>
      </c>
      <c r="C5755" s="116" t="s">
        <v>66</v>
      </c>
      <c r="D5755" t="s">
        <v>49</v>
      </c>
      <c r="E5755" s="117">
        <v>161</v>
      </c>
    </row>
    <row r="5756" spans="1:5" x14ac:dyDescent="0.25">
      <c r="A5756" s="116" t="s">
        <v>6205</v>
      </c>
      <c r="B5756" s="119" t="s">
        <v>6555</v>
      </c>
      <c r="C5756" s="116" t="s">
        <v>66</v>
      </c>
      <c r="D5756" t="s">
        <v>6759</v>
      </c>
      <c r="E5756" s="117">
        <v>243.69</v>
      </c>
    </row>
    <row r="5757" spans="1:5" x14ac:dyDescent="0.25">
      <c r="A5757" s="116" t="s">
        <v>6206</v>
      </c>
      <c r="B5757" s="119" t="s">
        <v>6556</v>
      </c>
      <c r="C5757" s="116" t="s">
        <v>66</v>
      </c>
      <c r="D5757" t="s">
        <v>49</v>
      </c>
      <c r="E5757" s="117">
        <v>115.72</v>
      </c>
    </row>
    <row r="5758" spans="1:5" x14ac:dyDescent="0.25">
      <c r="A5758" s="116" t="s">
        <v>6207</v>
      </c>
      <c r="B5758" s="119" t="s">
        <v>11579</v>
      </c>
      <c r="C5758" s="116" t="s">
        <v>301</v>
      </c>
      <c r="D5758" t="s">
        <v>6759</v>
      </c>
      <c r="E5758" s="117">
        <v>2670</v>
      </c>
    </row>
    <row r="5759" spans="1:5" x14ac:dyDescent="0.25">
      <c r="A5759" s="116" t="s">
        <v>6208</v>
      </c>
      <c r="B5759" s="119" t="s">
        <v>6209</v>
      </c>
      <c r="C5759" s="116" t="s">
        <v>301</v>
      </c>
      <c r="D5759" t="s">
        <v>45</v>
      </c>
      <c r="E5759" s="117">
        <v>9999999</v>
      </c>
    </row>
    <row r="5760" spans="1:5" x14ac:dyDescent="0.25">
      <c r="A5760" s="116" t="s">
        <v>6210</v>
      </c>
      <c r="B5760" s="119" t="s">
        <v>11580</v>
      </c>
      <c r="C5760" s="116" t="s">
        <v>301</v>
      </c>
      <c r="D5760" t="s">
        <v>6759</v>
      </c>
      <c r="E5760" s="117">
        <v>2580</v>
      </c>
    </row>
    <row r="5761" spans="1:5" x14ac:dyDescent="0.25">
      <c r="A5761" s="116" t="s">
        <v>6211</v>
      </c>
      <c r="B5761" s="119" t="s">
        <v>6209</v>
      </c>
      <c r="C5761" s="116" t="s">
        <v>301</v>
      </c>
      <c r="D5761" t="s">
        <v>45</v>
      </c>
      <c r="E5761" s="117">
        <v>9999999</v>
      </c>
    </row>
    <row r="5762" spans="1:5" x14ac:dyDescent="0.25">
      <c r="A5762" s="116" t="s">
        <v>6212</v>
      </c>
      <c r="B5762" s="119" t="s">
        <v>11581</v>
      </c>
      <c r="C5762" s="116" t="s">
        <v>301</v>
      </c>
      <c r="D5762" t="s">
        <v>45</v>
      </c>
      <c r="E5762" s="117">
        <v>0</v>
      </c>
    </row>
    <row r="5763" spans="1:5" x14ac:dyDescent="0.25">
      <c r="A5763" s="116" t="s">
        <v>6213</v>
      </c>
      <c r="B5763" s="119" t="s">
        <v>11582</v>
      </c>
      <c r="C5763" s="116" t="s">
        <v>301</v>
      </c>
      <c r="D5763" t="s">
        <v>45</v>
      </c>
      <c r="E5763" s="117">
        <v>1309.94</v>
      </c>
    </row>
    <row r="5764" spans="1:5" x14ac:dyDescent="0.25">
      <c r="A5764" s="116" t="s">
        <v>6214</v>
      </c>
      <c r="B5764" s="119" t="s">
        <v>11583</v>
      </c>
      <c r="C5764" s="116" t="s">
        <v>301</v>
      </c>
      <c r="D5764" t="s">
        <v>45</v>
      </c>
      <c r="E5764" s="117">
        <v>0</v>
      </c>
    </row>
    <row r="5765" spans="1:5" x14ac:dyDescent="0.25">
      <c r="A5765" s="116" t="s">
        <v>6215</v>
      </c>
      <c r="B5765" s="119" t="s">
        <v>11987</v>
      </c>
      <c r="C5765" s="116" t="s">
        <v>301</v>
      </c>
      <c r="D5765" t="s">
        <v>49</v>
      </c>
      <c r="E5765" s="117">
        <v>1911.19</v>
      </c>
    </row>
    <row r="5766" spans="1:5" x14ac:dyDescent="0.25">
      <c r="A5766" s="116" t="s">
        <v>6216</v>
      </c>
      <c r="B5766" s="119" t="s">
        <v>11584</v>
      </c>
      <c r="C5766" s="116" t="s">
        <v>301</v>
      </c>
      <c r="D5766" t="s">
        <v>6759</v>
      </c>
      <c r="E5766" s="117">
        <v>3800</v>
      </c>
    </row>
    <row r="5767" spans="1:5" x14ac:dyDescent="0.25">
      <c r="A5767" s="116" t="s">
        <v>6217</v>
      </c>
      <c r="B5767" s="119" t="s">
        <v>6218</v>
      </c>
      <c r="C5767" s="116" t="s">
        <v>301</v>
      </c>
      <c r="D5767" t="s">
        <v>45</v>
      </c>
      <c r="E5767" s="117">
        <v>99999</v>
      </c>
    </row>
    <row r="5768" spans="1:5" x14ac:dyDescent="0.25">
      <c r="A5768" s="116" t="s">
        <v>6219</v>
      </c>
      <c r="B5768" s="119" t="s">
        <v>11585</v>
      </c>
      <c r="C5768" s="116" t="s">
        <v>301</v>
      </c>
      <c r="D5768" t="s">
        <v>49</v>
      </c>
      <c r="E5768" s="117">
        <v>1449</v>
      </c>
    </row>
    <row r="5769" spans="1:5" x14ac:dyDescent="0.25">
      <c r="A5769" s="116" t="s">
        <v>6220</v>
      </c>
      <c r="B5769" s="119" t="s">
        <v>4870</v>
      </c>
      <c r="C5769" s="116" t="s">
        <v>301</v>
      </c>
      <c r="D5769" t="s">
        <v>45</v>
      </c>
      <c r="E5769" s="117">
        <v>0</v>
      </c>
    </row>
    <row r="5770" spans="1:5" x14ac:dyDescent="0.25">
      <c r="A5770" s="116" t="s">
        <v>6221</v>
      </c>
      <c r="B5770" s="119" t="s">
        <v>11586</v>
      </c>
      <c r="C5770" s="116" t="s">
        <v>301</v>
      </c>
      <c r="D5770" t="s">
        <v>6759</v>
      </c>
      <c r="E5770" s="117">
        <v>2200</v>
      </c>
    </row>
    <row r="5771" spans="1:5" x14ac:dyDescent="0.25">
      <c r="A5771" s="116" t="s">
        <v>6222</v>
      </c>
      <c r="B5771" s="119" t="s">
        <v>11587</v>
      </c>
      <c r="C5771" s="116" t="s">
        <v>301</v>
      </c>
      <c r="D5771" t="s">
        <v>49</v>
      </c>
      <c r="E5771" s="117">
        <v>2487.4499999999998</v>
      </c>
    </row>
    <row r="5772" spans="1:5" x14ac:dyDescent="0.25">
      <c r="A5772" s="116" t="s">
        <v>6223</v>
      </c>
      <c r="B5772" s="119" t="s">
        <v>11588</v>
      </c>
      <c r="C5772" s="116" t="s">
        <v>301</v>
      </c>
      <c r="D5772" t="s">
        <v>45</v>
      </c>
      <c r="E5772" s="117">
        <v>0</v>
      </c>
    </row>
    <row r="5773" spans="1:5" x14ac:dyDescent="0.25">
      <c r="A5773" s="116" t="s">
        <v>6224</v>
      </c>
      <c r="B5773" s="119" t="s">
        <v>11589</v>
      </c>
      <c r="C5773" s="116" t="s">
        <v>301</v>
      </c>
      <c r="D5773" t="s">
        <v>6759</v>
      </c>
      <c r="E5773" s="117">
        <v>3211.95</v>
      </c>
    </row>
    <row r="5774" spans="1:5" x14ac:dyDescent="0.25">
      <c r="A5774" s="116" t="s">
        <v>6225</v>
      </c>
      <c r="B5774" s="119" t="s">
        <v>11590</v>
      </c>
      <c r="C5774" s="116" t="s">
        <v>301</v>
      </c>
      <c r="D5774" t="s">
        <v>45</v>
      </c>
      <c r="E5774" s="117">
        <v>0</v>
      </c>
    </row>
    <row r="5775" spans="1:5" x14ac:dyDescent="0.25">
      <c r="A5775" s="116" t="s">
        <v>6226</v>
      </c>
      <c r="B5775" s="119" t="s">
        <v>11591</v>
      </c>
      <c r="C5775" s="116" t="s">
        <v>301</v>
      </c>
      <c r="D5775" t="s">
        <v>49</v>
      </c>
      <c r="E5775" s="117">
        <v>5600</v>
      </c>
    </row>
    <row r="5776" spans="1:5" x14ac:dyDescent="0.25">
      <c r="A5776" s="116" t="s">
        <v>6227</v>
      </c>
      <c r="B5776" s="119" t="s">
        <v>6228</v>
      </c>
      <c r="C5776" s="116" t="s">
        <v>301</v>
      </c>
      <c r="D5776" t="s">
        <v>6759</v>
      </c>
      <c r="E5776" s="117">
        <v>999999</v>
      </c>
    </row>
    <row r="5777" spans="1:5" x14ac:dyDescent="0.25">
      <c r="A5777" s="116" t="s">
        <v>6229</v>
      </c>
      <c r="B5777" s="119" t="s">
        <v>11592</v>
      </c>
      <c r="C5777" s="116" t="s">
        <v>301</v>
      </c>
      <c r="D5777" t="s">
        <v>45</v>
      </c>
      <c r="E5777" s="117">
        <v>1993.95</v>
      </c>
    </row>
    <row r="5778" spans="1:5" x14ac:dyDescent="0.25">
      <c r="A5778" s="116" t="s">
        <v>6230</v>
      </c>
      <c r="B5778" s="119" t="s">
        <v>6231</v>
      </c>
      <c r="C5778" s="116" t="s">
        <v>301</v>
      </c>
      <c r="D5778" t="s">
        <v>45</v>
      </c>
      <c r="E5778" s="117">
        <v>999999999</v>
      </c>
    </row>
    <row r="5779" spans="1:5" x14ac:dyDescent="0.25">
      <c r="A5779" s="116" t="s">
        <v>6232</v>
      </c>
      <c r="B5779" s="119" t="s">
        <v>11593</v>
      </c>
      <c r="C5779" s="116" t="s">
        <v>301</v>
      </c>
      <c r="D5779" t="s">
        <v>6759</v>
      </c>
      <c r="E5779" s="117">
        <v>1999</v>
      </c>
    </row>
    <row r="5780" spans="1:5" x14ac:dyDescent="0.25">
      <c r="A5780" s="116" t="s">
        <v>6233</v>
      </c>
      <c r="B5780" s="119" t="s">
        <v>6231</v>
      </c>
      <c r="C5780" s="116" t="s">
        <v>301</v>
      </c>
      <c r="D5780" t="s">
        <v>45</v>
      </c>
      <c r="E5780" s="117">
        <v>999999</v>
      </c>
    </row>
    <row r="5781" spans="1:5" x14ac:dyDescent="0.25">
      <c r="A5781" s="116" t="s">
        <v>6234</v>
      </c>
      <c r="B5781" s="119" t="s">
        <v>11594</v>
      </c>
      <c r="C5781" s="116" t="s">
        <v>301</v>
      </c>
      <c r="D5781" t="s">
        <v>49</v>
      </c>
      <c r="E5781" s="117">
        <v>2800</v>
      </c>
    </row>
    <row r="5782" spans="1:5" x14ac:dyDescent="0.25">
      <c r="A5782" s="116" t="s">
        <v>6235</v>
      </c>
      <c r="B5782" s="119" t="s">
        <v>4886</v>
      </c>
      <c r="C5782" s="116" t="s">
        <v>301</v>
      </c>
      <c r="D5782" t="s">
        <v>6759</v>
      </c>
      <c r="E5782" s="117">
        <v>999999</v>
      </c>
    </row>
    <row r="5783" spans="1:5" x14ac:dyDescent="0.25">
      <c r="A5783" s="116" t="s">
        <v>6236</v>
      </c>
      <c r="B5783" s="119" t="s">
        <v>11595</v>
      </c>
      <c r="C5783" s="116" t="s">
        <v>301</v>
      </c>
      <c r="D5783" t="s">
        <v>45</v>
      </c>
      <c r="E5783" s="117">
        <v>2000</v>
      </c>
    </row>
    <row r="5784" spans="1:5" x14ac:dyDescent="0.25">
      <c r="A5784" s="116" t="s">
        <v>6237</v>
      </c>
      <c r="B5784" s="119" t="s">
        <v>4886</v>
      </c>
      <c r="C5784" s="116" t="s">
        <v>301</v>
      </c>
      <c r="D5784" t="s">
        <v>45</v>
      </c>
      <c r="E5784" s="117">
        <v>999999</v>
      </c>
    </row>
    <row r="5785" spans="1:5" x14ac:dyDescent="0.25">
      <c r="A5785" s="116" t="s">
        <v>6238</v>
      </c>
      <c r="B5785" s="119" t="s">
        <v>11596</v>
      </c>
      <c r="C5785" s="116" t="s">
        <v>301</v>
      </c>
      <c r="D5785" t="s">
        <v>6759</v>
      </c>
      <c r="E5785" s="117">
        <v>2000</v>
      </c>
    </row>
    <row r="5786" spans="1:5" x14ac:dyDescent="0.25">
      <c r="A5786" s="116" t="s">
        <v>6239</v>
      </c>
      <c r="B5786" s="119" t="s">
        <v>4886</v>
      </c>
      <c r="C5786" s="116" t="s">
        <v>301</v>
      </c>
      <c r="D5786" t="s">
        <v>6759</v>
      </c>
      <c r="E5786" s="117">
        <v>999999</v>
      </c>
    </row>
    <row r="5787" spans="1:5" x14ac:dyDescent="0.25">
      <c r="A5787" s="116" t="s">
        <v>6840</v>
      </c>
      <c r="B5787" s="119" t="s">
        <v>11597</v>
      </c>
      <c r="C5787" s="116" t="s">
        <v>301</v>
      </c>
      <c r="D5787" t="s">
        <v>49</v>
      </c>
      <c r="E5787" s="117">
        <v>1350</v>
      </c>
    </row>
    <row r="5788" spans="1:5" x14ac:dyDescent="0.25">
      <c r="A5788" s="116" t="s">
        <v>6838</v>
      </c>
      <c r="B5788" s="119" t="s">
        <v>4886</v>
      </c>
      <c r="C5788" s="116" t="s">
        <v>301</v>
      </c>
      <c r="D5788" t="s">
        <v>45</v>
      </c>
      <c r="E5788" s="117">
        <v>999999</v>
      </c>
    </row>
    <row r="5789" spans="1:5" x14ac:dyDescent="0.25">
      <c r="A5789" s="116" t="s">
        <v>11621</v>
      </c>
      <c r="B5789" s="119" t="s">
        <v>4890</v>
      </c>
      <c r="C5789" s="116" t="s">
        <v>301</v>
      </c>
      <c r="D5789" t="s">
        <v>45</v>
      </c>
      <c r="E5789" s="117">
        <v>9999</v>
      </c>
    </row>
    <row r="5790" spans="1:5" x14ac:dyDescent="0.25">
      <c r="A5790" s="116" t="s">
        <v>11622</v>
      </c>
      <c r="B5790" s="119" t="s">
        <v>4890</v>
      </c>
      <c r="C5790" s="116" t="s">
        <v>301</v>
      </c>
      <c r="D5790" t="s">
        <v>45</v>
      </c>
      <c r="E5790" s="117">
        <v>999999</v>
      </c>
    </row>
    <row r="5791" spans="1:5" x14ac:dyDescent="0.25">
      <c r="A5791" s="116" t="s">
        <v>11995</v>
      </c>
      <c r="B5791" s="119" t="s">
        <v>11748</v>
      </c>
      <c r="C5791" s="116" t="s">
        <v>301</v>
      </c>
      <c r="D5791" t="s">
        <v>45</v>
      </c>
      <c r="E5791" s="117">
        <v>999999</v>
      </c>
    </row>
    <row r="5792" spans="1:5" x14ac:dyDescent="0.25">
      <c r="A5792" s="116" t="s">
        <v>11747</v>
      </c>
      <c r="B5792" s="119" t="s">
        <v>11748</v>
      </c>
      <c r="C5792" s="116" t="s">
        <v>301</v>
      </c>
      <c r="D5792" t="s">
        <v>45</v>
      </c>
      <c r="E5792" s="117">
        <v>999999</v>
      </c>
    </row>
    <row r="5793" spans="1:5" x14ac:dyDescent="0.25">
      <c r="A5793" s="116" t="s">
        <v>6240</v>
      </c>
      <c r="B5793" s="119" t="s">
        <v>11598</v>
      </c>
      <c r="C5793" s="116" t="s">
        <v>301</v>
      </c>
      <c r="D5793" t="s">
        <v>49</v>
      </c>
      <c r="E5793" s="117">
        <v>1785.66</v>
      </c>
    </row>
    <row r="5794" spans="1:5" x14ac:dyDescent="0.25">
      <c r="A5794" s="116" t="s">
        <v>6241</v>
      </c>
      <c r="B5794" s="119" t="s">
        <v>11599</v>
      </c>
      <c r="C5794" s="116" t="s">
        <v>301</v>
      </c>
      <c r="D5794" t="s">
        <v>45</v>
      </c>
      <c r="E5794" s="117">
        <v>3140.93</v>
      </c>
    </row>
    <row r="5795" spans="1:5" x14ac:dyDescent="0.25">
      <c r="A5795" s="116" t="s">
        <v>6319</v>
      </c>
      <c r="B5795" s="119" t="s">
        <v>11600</v>
      </c>
      <c r="C5795" s="116" t="s">
        <v>301</v>
      </c>
      <c r="D5795" t="s">
        <v>45</v>
      </c>
      <c r="E5795" s="117">
        <v>1850</v>
      </c>
    </row>
    <row r="5796" spans="1:5" x14ac:dyDescent="0.25">
      <c r="A5796" s="116" t="s">
        <v>6242</v>
      </c>
      <c r="B5796" s="119" t="s">
        <v>11601</v>
      </c>
      <c r="C5796" s="116" t="s">
        <v>301</v>
      </c>
      <c r="D5796" t="s">
        <v>45</v>
      </c>
      <c r="E5796" s="117">
        <v>2040.94</v>
      </c>
    </row>
    <row r="5797" spans="1:5" x14ac:dyDescent="0.25">
      <c r="A5797" s="116" t="s">
        <v>6320</v>
      </c>
      <c r="B5797" s="119" t="s">
        <v>11602</v>
      </c>
      <c r="C5797" s="116" t="s">
        <v>301</v>
      </c>
      <c r="D5797" t="s">
        <v>49</v>
      </c>
      <c r="E5797" s="117">
        <v>2200</v>
      </c>
    </row>
    <row r="5798" spans="1:5" x14ac:dyDescent="0.25">
      <c r="A5798" s="116" t="s">
        <v>6243</v>
      </c>
      <c r="B5798" s="119" t="s">
        <v>11603</v>
      </c>
      <c r="C5798" s="116" t="s">
        <v>301</v>
      </c>
      <c r="D5798" t="s">
        <v>45</v>
      </c>
      <c r="E5798" s="117">
        <v>2296.21</v>
      </c>
    </row>
    <row r="5799" spans="1:5" x14ac:dyDescent="0.25">
      <c r="A5799" s="116" t="s">
        <v>6244</v>
      </c>
      <c r="B5799" s="119" t="s">
        <v>11604</v>
      </c>
      <c r="C5799" s="116" t="s">
        <v>301</v>
      </c>
      <c r="D5799" t="s">
        <v>49</v>
      </c>
      <c r="E5799" s="117">
        <v>3521.64</v>
      </c>
    </row>
    <row r="5800" spans="1:5" x14ac:dyDescent="0.25">
      <c r="A5800" s="116" t="s">
        <v>6245</v>
      </c>
      <c r="B5800" s="119" t="s">
        <v>11605</v>
      </c>
      <c r="C5800" s="116" t="s">
        <v>301</v>
      </c>
      <c r="D5800" t="s">
        <v>45</v>
      </c>
      <c r="E5800" s="117">
        <v>3385.67</v>
      </c>
    </row>
    <row r="5801" spans="1:5" x14ac:dyDescent="0.25">
      <c r="A5801" s="116" t="s">
        <v>8190</v>
      </c>
      <c r="B5801" s="119" t="s">
        <v>8191</v>
      </c>
      <c r="C5801" s="116" t="s">
        <v>301</v>
      </c>
      <c r="D5801" t="s">
        <v>6759</v>
      </c>
      <c r="E5801" s="117">
        <v>1078.5899999999999</v>
      </c>
    </row>
    <row r="5802" spans="1:5" x14ac:dyDescent="0.25">
      <c r="A5802" s="116" t="s">
        <v>8192</v>
      </c>
      <c r="B5802" s="119" t="s">
        <v>8191</v>
      </c>
      <c r="C5802" s="116" t="s">
        <v>301</v>
      </c>
      <c r="D5802" t="s">
        <v>6759</v>
      </c>
      <c r="E5802" s="117">
        <v>9999</v>
      </c>
    </row>
    <row r="5803" spans="1:5" x14ac:dyDescent="0.25">
      <c r="A5803" s="116" t="s">
        <v>6246</v>
      </c>
      <c r="B5803" s="119" t="s">
        <v>11606</v>
      </c>
      <c r="C5803" s="116" t="s">
        <v>301</v>
      </c>
      <c r="D5803" t="s">
        <v>49</v>
      </c>
      <c r="E5803" s="117">
        <v>886.11</v>
      </c>
    </row>
    <row r="5804" spans="1:5" x14ac:dyDescent="0.25">
      <c r="A5804" s="116" t="s">
        <v>6247</v>
      </c>
      <c r="B5804" s="119" t="s">
        <v>6248</v>
      </c>
      <c r="C5804" s="116" t="s">
        <v>301</v>
      </c>
      <c r="D5804" t="s">
        <v>45</v>
      </c>
      <c r="E5804" s="117">
        <v>999999</v>
      </c>
    </row>
    <row r="5805" spans="1:5" x14ac:dyDescent="0.25">
      <c r="A5805" s="116" t="s">
        <v>6249</v>
      </c>
      <c r="B5805" s="119" t="s">
        <v>6250</v>
      </c>
      <c r="C5805" s="116" t="s">
        <v>301</v>
      </c>
      <c r="D5805" t="s">
        <v>45</v>
      </c>
      <c r="E5805" s="117">
        <v>0</v>
      </c>
    </row>
    <row r="5806" spans="1:5" x14ac:dyDescent="0.25">
      <c r="A5806" s="116" t="s">
        <v>6251</v>
      </c>
      <c r="B5806" s="119" t="s">
        <v>6250</v>
      </c>
      <c r="C5806" s="116" t="s">
        <v>301</v>
      </c>
      <c r="D5806" t="s">
        <v>45</v>
      </c>
      <c r="E5806" s="117">
        <v>13360</v>
      </c>
    </row>
    <row r="5807" spans="1:5" x14ac:dyDescent="0.25">
      <c r="A5807" s="116" t="s">
        <v>6252</v>
      </c>
      <c r="B5807" s="119" t="s">
        <v>11607</v>
      </c>
      <c r="C5807" s="116" t="s">
        <v>301</v>
      </c>
      <c r="D5807" t="s">
        <v>6760</v>
      </c>
      <c r="E5807" s="117">
        <v>1478.48</v>
      </c>
    </row>
    <row r="5808" spans="1:5" x14ac:dyDescent="0.25">
      <c r="A5808" s="116" t="s">
        <v>6253</v>
      </c>
      <c r="B5808" s="119" t="s">
        <v>11608</v>
      </c>
      <c r="C5808" s="116" t="s">
        <v>301</v>
      </c>
      <c r="D5808" t="s">
        <v>6759</v>
      </c>
      <c r="E5808" s="117">
        <v>8000</v>
      </c>
    </row>
    <row r="5809" spans="1:5" x14ac:dyDescent="0.25">
      <c r="A5809" s="116" t="s">
        <v>6254</v>
      </c>
      <c r="B5809" s="119" t="s">
        <v>6255</v>
      </c>
      <c r="C5809" s="116" t="s">
        <v>301</v>
      </c>
      <c r="D5809" t="s">
        <v>45</v>
      </c>
      <c r="E5809" s="117">
        <v>9999</v>
      </c>
    </row>
    <row r="5810" spans="1:5" x14ac:dyDescent="0.25">
      <c r="A5810" s="116" t="s">
        <v>6256</v>
      </c>
      <c r="B5810" s="119" t="s">
        <v>6257</v>
      </c>
      <c r="C5810" s="116" t="s">
        <v>66</v>
      </c>
      <c r="D5810" t="s">
        <v>45</v>
      </c>
      <c r="E5810" s="117">
        <v>355.97</v>
      </c>
    </row>
    <row r="5811" spans="1:5" x14ac:dyDescent="0.25">
      <c r="A5811" s="116" t="s">
        <v>6258</v>
      </c>
      <c r="B5811" s="119" t="s">
        <v>11609</v>
      </c>
      <c r="C5811" s="116" t="s">
        <v>301</v>
      </c>
      <c r="D5811" t="s">
        <v>45</v>
      </c>
      <c r="E5811" s="117">
        <v>1004.39</v>
      </c>
    </row>
    <row r="5812" spans="1:5" x14ac:dyDescent="0.25">
      <c r="A5812" s="116" t="s">
        <v>6259</v>
      </c>
      <c r="B5812" s="119" t="s">
        <v>11610</v>
      </c>
      <c r="C5812" s="116" t="s">
        <v>301</v>
      </c>
      <c r="D5812" t="s">
        <v>45</v>
      </c>
      <c r="E5812" s="117">
        <v>590.4</v>
      </c>
    </row>
    <row r="5813" spans="1:5" x14ac:dyDescent="0.25">
      <c r="A5813" s="116" t="s">
        <v>6260</v>
      </c>
      <c r="B5813" s="119" t="s">
        <v>4912</v>
      </c>
      <c r="C5813" s="116" t="s">
        <v>301</v>
      </c>
      <c r="D5813" t="s">
        <v>45</v>
      </c>
      <c r="E5813" s="117">
        <v>0</v>
      </c>
    </row>
    <row r="5814" spans="1:5" x14ac:dyDescent="0.25">
      <c r="A5814" s="116" t="s">
        <v>6261</v>
      </c>
      <c r="B5814" s="119" t="s">
        <v>11611</v>
      </c>
      <c r="C5814" s="116" t="s">
        <v>301</v>
      </c>
      <c r="D5814" t="s">
        <v>6759</v>
      </c>
      <c r="E5814" s="117">
        <v>8072.07</v>
      </c>
    </row>
    <row r="5815" spans="1:5" x14ac:dyDescent="0.25">
      <c r="A5815" s="116" t="s">
        <v>6262</v>
      </c>
      <c r="B5815" s="119" t="s">
        <v>4915</v>
      </c>
      <c r="C5815" s="116" t="s">
        <v>301</v>
      </c>
      <c r="D5815" t="s">
        <v>6759</v>
      </c>
      <c r="E5815" s="117">
        <v>999999</v>
      </c>
    </row>
    <row r="5816" spans="1:5" x14ac:dyDescent="0.25">
      <c r="A5816" s="116" t="s">
        <v>6614</v>
      </c>
      <c r="B5816" s="119" t="s">
        <v>11612</v>
      </c>
      <c r="C5816" s="116" t="s">
        <v>66</v>
      </c>
      <c r="D5816" t="s">
        <v>6759</v>
      </c>
      <c r="E5816" s="117">
        <v>120</v>
      </c>
    </row>
    <row r="5817" spans="1:5" x14ac:dyDescent="0.25">
      <c r="A5817" s="116" t="s">
        <v>6615</v>
      </c>
      <c r="B5817" s="119" t="s">
        <v>11613</v>
      </c>
      <c r="C5817" s="116" t="s">
        <v>66</v>
      </c>
      <c r="D5817" t="s">
        <v>6759</v>
      </c>
      <c r="E5817" s="117">
        <v>140</v>
      </c>
    </row>
    <row r="5818" spans="1:5" x14ac:dyDescent="0.25">
      <c r="A5818" s="116" t="s">
        <v>6263</v>
      </c>
      <c r="B5818" s="119" t="s">
        <v>6264</v>
      </c>
      <c r="C5818" s="116" t="s">
        <v>66</v>
      </c>
      <c r="D5818" t="s">
        <v>49</v>
      </c>
      <c r="E5818" s="117">
        <v>73.5</v>
      </c>
    </row>
    <row r="5819" spans="1:5" x14ac:dyDescent="0.25">
      <c r="A5819" s="116" t="s">
        <v>6841</v>
      </c>
      <c r="B5819" s="119" t="s">
        <v>6842</v>
      </c>
      <c r="C5819" s="116" t="s">
        <v>66</v>
      </c>
      <c r="D5819" t="s">
        <v>6760</v>
      </c>
      <c r="E5819" s="117">
        <v>46</v>
      </c>
    </row>
    <row r="5820" spans="1:5" x14ac:dyDescent="0.25">
      <c r="A5820" s="116" t="s">
        <v>6843</v>
      </c>
      <c r="B5820" s="119" t="s">
        <v>6844</v>
      </c>
      <c r="C5820" s="116" t="s">
        <v>66</v>
      </c>
      <c r="D5820" t="s">
        <v>49</v>
      </c>
      <c r="E5820" s="117">
        <v>46</v>
      </c>
    </row>
    <row r="5821" spans="1:5" x14ac:dyDescent="0.25">
      <c r="A5821" s="116" t="s">
        <v>6330</v>
      </c>
      <c r="B5821" s="119" t="s">
        <v>6331</v>
      </c>
      <c r="C5821" s="116" t="s">
        <v>66</v>
      </c>
      <c r="D5821" t="s">
        <v>49</v>
      </c>
      <c r="E5821" s="117">
        <v>73.5</v>
      </c>
    </row>
    <row r="5822" spans="1:5" x14ac:dyDescent="0.25">
      <c r="A5822" s="116" t="s">
        <v>8193</v>
      </c>
      <c r="B5822" s="119" t="s">
        <v>8194</v>
      </c>
      <c r="C5822" s="116" t="s">
        <v>66</v>
      </c>
      <c r="D5822" t="s">
        <v>6759</v>
      </c>
      <c r="E5822" s="117">
        <v>92.93</v>
      </c>
    </row>
    <row r="5823" spans="1:5" x14ac:dyDescent="0.25">
      <c r="A5823" s="116" t="s">
        <v>12015</v>
      </c>
      <c r="B5823" s="119" t="s">
        <v>12016</v>
      </c>
      <c r="C5823" s="116" t="s">
        <v>66</v>
      </c>
      <c r="D5823" t="s">
        <v>45</v>
      </c>
      <c r="E5823" s="117">
        <v>0</v>
      </c>
    </row>
    <row r="5824" spans="1:5" x14ac:dyDescent="0.25">
      <c r="A5824" s="116" t="s">
        <v>12017</v>
      </c>
      <c r="B5824" s="119" t="s">
        <v>12018</v>
      </c>
      <c r="C5824" s="116" t="s">
        <v>66</v>
      </c>
      <c r="D5824" t="s">
        <v>45</v>
      </c>
      <c r="E5824" s="117">
        <v>0</v>
      </c>
    </row>
    <row r="5825" spans="1:5" x14ac:dyDescent="0.25">
      <c r="A5825" s="116" t="s">
        <v>6265</v>
      </c>
      <c r="B5825" s="119" t="s">
        <v>6266</v>
      </c>
      <c r="C5825" s="116" t="s">
        <v>66</v>
      </c>
      <c r="D5825" t="s">
        <v>6759</v>
      </c>
      <c r="E5825" s="117">
        <v>999999</v>
      </c>
    </row>
    <row r="5826" spans="1:5" x14ac:dyDescent="0.25">
      <c r="A5826" s="116" t="s">
        <v>6358</v>
      </c>
      <c r="B5826" s="119" t="s">
        <v>7860</v>
      </c>
      <c r="C5826" s="116" t="s">
        <v>66</v>
      </c>
      <c r="D5826" t="s">
        <v>6759</v>
      </c>
      <c r="E5826" s="117">
        <v>1267.28</v>
      </c>
    </row>
    <row r="5827" spans="1:5" x14ac:dyDescent="0.25">
      <c r="A5827" s="116" t="s">
        <v>6359</v>
      </c>
      <c r="B5827" s="119" t="s">
        <v>7861</v>
      </c>
      <c r="C5827" s="116" t="s">
        <v>66</v>
      </c>
      <c r="D5827" t="s">
        <v>6759</v>
      </c>
      <c r="E5827" s="117">
        <v>1267.28</v>
      </c>
    </row>
    <row r="5828" spans="1:5" x14ac:dyDescent="0.25">
      <c r="A5828" s="116" t="s">
        <v>6360</v>
      </c>
      <c r="B5828" s="119" t="s">
        <v>7862</v>
      </c>
      <c r="C5828" s="116" t="s">
        <v>66</v>
      </c>
      <c r="D5828" t="s">
        <v>6759</v>
      </c>
      <c r="E5828" s="117">
        <v>1267.28</v>
      </c>
    </row>
    <row r="5829" spans="1:5" x14ac:dyDescent="0.25">
      <c r="A5829" s="116" t="s">
        <v>6361</v>
      </c>
      <c r="B5829" s="119" t="s">
        <v>7863</v>
      </c>
      <c r="C5829" s="116" t="s">
        <v>66</v>
      </c>
      <c r="D5829" t="s">
        <v>6759</v>
      </c>
      <c r="E5829" s="117">
        <v>1267.28</v>
      </c>
    </row>
    <row r="5830" spans="1:5" x14ac:dyDescent="0.25">
      <c r="A5830" s="116" t="s">
        <v>6362</v>
      </c>
      <c r="B5830" s="119" t="s">
        <v>7864</v>
      </c>
      <c r="C5830" s="116" t="s">
        <v>66</v>
      </c>
      <c r="D5830" t="s">
        <v>6759</v>
      </c>
      <c r="E5830" s="117">
        <v>1267.28</v>
      </c>
    </row>
    <row r="5831" spans="1:5" x14ac:dyDescent="0.25">
      <c r="A5831" s="116" t="s">
        <v>6363</v>
      </c>
      <c r="B5831" s="119" t="s">
        <v>7865</v>
      </c>
      <c r="C5831" s="116" t="s">
        <v>66</v>
      </c>
      <c r="D5831" t="s">
        <v>6759</v>
      </c>
      <c r="E5831" s="117">
        <v>1267.28</v>
      </c>
    </row>
    <row r="5832" spans="1:5" x14ac:dyDescent="0.25">
      <c r="A5832" s="116" t="s">
        <v>6364</v>
      </c>
      <c r="B5832" s="119" t="s">
        <v>7866</v>
      </c>
      <c r="C5832" s="116" t="s">
        <v>66</v>
      </c>
      <c r="D5832" t="s">
        <v>6759</v>
      </c>
      <c r="E5832" s="117">
        <v>1267.28</v>
      </c>
    </row>
    <row r="5833" spans="1:5" x14ac:dyDescent="0.25">
      <c r="A5833" s="116" t="s">
        <v>6365</v>
      </c>
      <c r="B5833" s="119" t="s">
        <v>7867</v>
      </c>
      <c r="C5833" s="116" t="s">
        <v>66</v>
      </c>
      <c r="D5833" t="s">
        <v>6759</v>
      </c>
      <c r="E5833" s="117">
        <v>1267.28</v>
      </c>
    </row>
    <row r="5834" spans="1:5" x14ac:dyDescent="0.25">
      <c r="A5834" s="116" t="s">
        <v>6366</v>
      </c>
      <c r="B5834" s="119" t="s">
        <v>7868</v>
      </c>
      <c r="C5834" s="116" t="s">
        <v>66</v>
      </c>
      <c r="D5834" t="s">
        <v>6759</v>
      </c>
      <c r="E5834" s="117">
        <v>1267.28</v>
      </c>
    </row>
    <row r="5835" spans="1:5" x14ac:dyDescent="0.25">
      <c r="A5835" s="116" t="s">
        <v>6367</v>
      </c>
      <c r="B5835" s="119" t="s">
        <v>7869</v>
      </c>
      <c r="C5835" s="116" t="s">
        <v>66</v>
      </c>
      <c r="D5835" t="s">
        <v>6759</v>
      </c>
      <c r="E5835" s="117">
        <v>1267.28</v>
      </c>
    </row>
    <row r="5836" spans="1:5" x14ac:dyDescent="0.25">
      <c r="A5836" s="116" t="s">
        <v>6368</v>
      </c>
      <c r="B5836" s="119" t="s">
        <v>7870</v>
      </c>
      <c r="C5836" s="116" t="s">
        <v>66</v>
      </c>
      <c r="D5836" t="s">
        <v>6759</v>
      </c>
      <c r="E5836" s="117">
        <v>1267.28</v>
      </c>
    </row>
    <row r="5837" spans="1:5" x14ac:dyDescent="0.25">
      <c r="A5837" s="116" t="s">
        <v>6369</v>
      </c>
      <c r="B5837" s="119" t="s">
        <v>7871</v>
      </c>
      <c r="C5837" s="116" t="s">
        <v>66</v>
      </c>
      <c r="D5837" t="s">
        <v>6759</v>
      </c>
      <c r="E5837" s="117">
        <v>1267.28</v>
      </c>
    </row>
    <row r="5838" spans="1:5" x14ac:dyDescent="0.25">
      <c r="A5838" s="116" t="s">
        <v>6370</v>
      </c>
      <c r="B5838" s="119" t="s">
        <v>7872</v>
      </c>
      <c r="C5838" s="116" t="s">
        <v>66</v>
      </c>
      <c r="D5838" t="s">
        <v>6759</v>
      </c>
      <c r="E5838" s="117">
        <v>1267.28</v>
      </c>
    </row>
    <row r="5839" spans="1:5" x14ac:dyDescent="0.25">
      <c r="A5839" s="116" t="s">
        <v>12027</v>
      </c>
      <c r="B5839" s="119" t="s">
        <v>12028</v>
      </c>
      <c r="C5839" s="116" t="s">
        <v>6846</v>
      </c>
      <c r="D5839"/>
      <c r="E5839" s="117">
        <v>2202.5423728813562</v>
      </c>
    </row>
    <row r="5840" spans="1:5" x14ac:dyDescent="0.25">
      <c r="A5840" s="116" t="s">
        <v>12029</v>
      </c>
      <c r="B5840" s="119" t="s">
        <v>12030</v>
      </c>
      <c r="C5840" s="116" t="s">
        <v>6846</v>
      </c>
      <c r="D5840"/>
      <c r="E5840" s="117">
        <v>2456.7796610169494</v>
      </c>
    </row>
    <row r="5841" spans="1:5" x14ac:dyDescent="0.25">
      <c r="A5841" s="116" t="s">
        <v>12031</v>
      </c>
      <c r="B5841" s="119" t="s">
        <v>12032</v>
      </c>
      <c r="C5841" s="116" t="s">
        <v>6846</v>
      </c>
      <c r="D5841"/>
      <c r="E5841" s="117">
        <v>5083.8983050847464</v>
      </c>
    </row>
    <row r="5842" spans="1:5" x14ac:dyDescent="0.25">
      <c r="A5842" s="116" t="s">
        <v>12033</v>
      </c>
      <c r="B5842" s="119" t="s">
        <v>12034</v>
      </c>
      <c r="C5842" s="116" t="s">
        <v>6846</v>
      </c>
      <c r="D5842"/>
      <c r="E5842" s="117">
        <v>5507.6271186440681</v>
      </c>
    </row>
    <row r="5843" spans="1:5" x14ac:dyDescent="0.25">
      <c r="A5843" s="116" t="s">
        <v>12035</v>
      </c>
      <c r="B5843" s="119" t="s">
        <v>12036</v>
      </c>
      <c r="C5843" s="116" t="s">
        <v>6846</v>
      </c>
      <c r="D5843"/>
      <c r="E5843" s="117">
        <v>2202.5423728813562</v>
      </c>
    </row>
    <row r="5844" spans="1:5" x14ac:dyDescent="0.25">
      <c r="A5844" s="116" t="s">
        <v>12037</v>
      </c>
      <c r="B5844" s="119" t="s">
        <v>12038</v>
      </c>
      <c r="C5844" s="116" t="s">
        <v>6846</v>
      </c>
      <c r="D5844"/>
      <c r="E5844" s="117">
        <v>2456.7796610169494</v>
      </c>
    </row>
    <row r="5845" spans="1:5" x14ac:dyDescent="0.25">
      <c r="A5845" s="116" t="s">
        <v>12039</v>
      </c>
      <c r="B5845" s="119" t="s">
        <v>12040</v>
      </c>
      <c r="C5845" s="116" t="s">
        <v>6846</v>
      </c>
      <c r="D5845"/>
      <c r="E5845" s="117">
        <v>2287.2881355932204</v>
      </c>
    </row>
    <row r="5846" spans="1:5" x14ac:dyDescent="0.25">
      <c r="A5846" s="116" t="s">
        <v>12041</v>
      </c>
      <c r="B5846" s="119" t="s">
        <v>12042</v>
      </c>
      <c r="C5846" s="116" t="s">
        <v>6846</v>
      </c>
      <c r="D5846"/>
      <c r="E5846" s="117">
        <v>2372.0338983050847</v>
      </c>
    </row>
    <row r="5847" spans="1:5" x14ac:dyDescent="0.25">
      <c r="A5847" s="116" t="s">
        <v>12043</v>
      </c>
      <c r="B5847" s="119" t="s">
        <v>12044</v>
      </c>
      <c r="C5847" s="116" t="s">
        <v>6846</v>
      </c>
      <c r="D5847"/>
      <c r="E5847" s="117">
        <v>2626.2711864406783</v>
      </c>
    </row>
    <row r="5848" spans="1:5" x14ac:dyDescent="0.25">
      <c r="A5848" s="116" t="s">
        <v>12045</v>
      </c>
      <c r="B5848" s="119" t="s">
        <v>12046</v>
      </c>
      <c r="C5848" s="116" t="s">
        <v>6846</v>
      </c>
      <c r="D5848"/>
      <c r="E5848" s="117">
        <v>2795.7627118644064</v>
      </c>
    </row>
    <row r="5849" spans="1:5" x14ac:dyDescent="0.25">
      <c r="A5849" s="116" t="s">
        <v>12047</v>
      </c>
      <c r="B5849" s="119" t="s">
        <v>12048</v>
      </c>
      <c r="C5849" s="116" t="s">
        <v>6846</v>
      </c>
      <c r="D5849"/>
      <c r="E5849" s="117">
        <v>3050</v>
      </c>
    </row>
    <row r="5850" spans="1:5" x14ac:dyDescent="0.25">
      <c r="A5850" s="116" t="s">
        <v>12049</v>
      </c>
      <c r="B5850" s="119" t="s">
        <v>12050</v>
      </c>
      <c r="C5850" s="116" t="s">
        <v>6846</v>
      </c>
      <c r="D5850"/>
      <c r="E5850" s="117">
        <v>4236.4406779661022</v>
      </c>
    </row>
    <row r="5851" spans="1:5" x14ac:dyDescent="0.25">
      <c r="A5851" s="116" t="s">
        <v>12051</v>
      </c>
      <c r="B5851" s="119" t="s">
        <v>12052</v>
      </c>
      <c r="C5851" s="116" t="s">
        <v>6846</v>
      </c>
      <c r="D5851"/>
      <c r="E5851" s="117">
        <v>3812.71186440678</v>
      </c>
    </row>
    <row r="5852" spans="1:5" x14ac:dyDescent="0.25">
      <c r="A5852" s="116" t="s">
        <v>12053</v>
      </c>
      <c r="B5852" s="119" t="s">
        <v>12054</v>
      </c>
      <c r="C5852" s="116" t="s">
        <v>6846</v>
      </c>
      <c r="D5852"/>
      <c r="E5852" s="117">
        <v>1778.8135593220341</v>
      </c>
    </row>
    <row r="5853" spans="1:5" x14ac:dyDescent="0.25">
      <c r="A5853" s="116" t="s">
        <v>12055</v>
      </c>
      <c r="B5853" s="119" t="s">
        <v>12056</v>
      </c>
      <c r="C5853" s="116" t="s">
        <v>6846</v>
      </c>
      <c r="D5853"/>
      <c r="E5853" s="117">
        <v>1778.8135593220341</v>
      </c>
    </row>
    <row r="5854" spans="1:5" x14ac:dyDescent="0.25">
      <c r="A5854" s="116" t="s">
        <v>12057</v>
      </c>
      <c r="B5854" s="119" t="s">
        <v>12058</v>
      </c>
      <c r="C5854" s="116" t="s">
        <v>6846</v>
      </c>
      <c r="D5854"/>
      <c r="E5854" s="117">
        <v>1694.0677966101696</v>
      </c>
    </row>
    <row r="5855" spans="1:5" x14ac:dyDescent="0.25">
      <c r="A5855" s="116" t="s">
        <v>12059</v>
      </c>
      <c r="B5855" s="119" t="s">
        <v>12060</v>
      </c>
      <c r="C5855" s="116" t="s">
        <v>6846</v>
      </c>
      <c r="D5855"/>
      <c r="E5855" s="117">
        <v>1694.0677966101696</v>
      </c>
    </row>
    <row r="5856" spans="1:5" x14ac:dyDescent="0.25">
      <c r="A5856" s="116" t="s">
        <v>12061</v>
      </c>
      <c r="B5856" s="119" t="s">
        <v>12062</v>
      </c>
      <c r="C5856" s="116" t="s">
        <v>6846</v>
      </c>
      <c r="D5856"/>
      <c r="E5856" s="117">
        <v>2372.0338983050847</v>
      </c>
    </row>
    <row r="5857" spans="1:5" x14ac:dyDescent="0.25">
      <c r="A5857" s="116" t="s">
        <v>12063</v>
      </c>
      <c r="B5857" s="119" t="s">
        <v>12064</v>
      </c>
      <c r="C5857" s="116" t="s">
        <v>6846</v>
      </c>
      <c r="D5857"/>
      <c r="E5857" s="117">
        <v>2287.2881355932204</v>
      </c>
    </row>
    <row r="5858" spans="1:5" x14ac:dyDescent="0.25">
      <c r="A5858" s="116" t="s">
        <v>12065</v>
      </c>
      <c r="B5858" s="119" t="s">
        <v>12066</v>
      </c>
      <c r="C5858" s="116" t="s">
        <v>6846</v>
      </c>
      <c r="D5858"/>
      <c r="E5858" s="117">
        <v>1778.8135593220341</v>
      </c>
    </row>
    <row r="5859" spans="1:5" x14ac:dyDescent="0.25">
      <c r="A5859" s="116" t="s">
        <v>12067</v>
      </c>
      <c r="B5859" s="119" t="s">
        <v>12068</v>
      </c>
      <c r="C5859" s="116" t="s">
        <v>6846</v>
      </c>
      <c r="D5859"/>
      <c r="E5859" s="117">
        <v>1694.0677966101696</v>
      </c>
    </row>
    <row r="5860" spans="1:5" x14ac:dyDescent="0.25">
      <c r="A5860" s="116" t="s">
        <v>12069</v>
      </c>
      <c r="B5860" s="119" t="s">
        <v>12070</v>
      </c>
      <c r="C5860" s="116" t="s">
        <v>6846</v>
      </c>
      <c r="D5860"/>
      <c r="E5860" s="117">
        <v>2117.7966101694915</v>
      </c>
    </row>
    <row r="5861" spans="1:5" x14ac:dyDescent="0.25">
      <c r="A5861" s="116" t="s">
        <v>12071</v>
      </c>
      <c r="B5861" s="119" t="s">
        <v>12072</v>
      </c>
      <c r="C5861" s="116" t="s">
        <v>6846</v>
      </c>
      <c r="D5861"/>
      <c r="E5861" s="117">
        <v>2202.5423728813562</v>
      </c>
    </row>
    <row r="5862" spans="1:5" x14ac:dyDescent="0.25">
      <c r="A5862" s="116" t="s">
        <v>12073</v>
      </c>
      <c r="B5862" s="119" t="s">
        <v>12074</v>
      </c>
      <c r="C5862" s="116" t="s">
        <v>6846</v>
      </c>
      <c r="D5862"/>
      <c r="E5862" s="117">
        <v>2372.0338983050847</v>
      </c>
    </row>
    <row r="5863" spans="1:5" x14ac:dyDescent="0.25">
      <c r="A5863" s="116" t="s">
        <v>12075</v>
      </c>
      <c r="B5863" s="119" t="s">
        <v>12076</v>
      </c>
      <c r="C5863" s="116" t="s">
        <v>6846</v>
      </c>
      <c r="D5863"/>
      <c r="E5863" s="117">
        <v>2583.898305084746</v>
      </c>
    </row>
    <row r="5864" spans="1:5" x14ac:dyDescent="0.25">
      <c r="A5864" s="116" t="s">
        <v>12077</v>
      </c>
      <c r="B5864" s="119" t="s">
        <v>12078</v>
      </c>
      <c r="C5864" s="116" t="s">
        <v>6846</v>
      </c>
      <c r="D5864"/>
      <c r="E5864" s="117">
        <v>2795.7627118644064</v>
      </c>
    </row>
    <row r="5865" spans="1:5" x14ac:dyDescent="0.25">
      <c r="A5865" s="116" t="s">
        <v>12079</v>
      </c>
      <c r="B5865" s="119" t="s">
        <v>12080</v>
      </c>
      <c r="C5865" s="116" t="s">
        <v>6846</v>
      </c>
      <c r="D5865"/>
      <c r="E5865" s="117">
        <v>2117.7966101694915</v>
      </c>
    </row>
    <row r="5866" spans="1:5" x14ac:dyDescent="0.25">
      <c r="A5866" s="116" t="s">
        <v>12081</v>
      </c>
      <c r="B5866" s="119" t="s">
        <v>12082</v>
      </c>
      <c r="C5866" s="116" t="s">
        <v>6846</v>
      </c>
      <c r="D5866"/>
      <c r="E5866" s="117">
        <v>2202.5423728813562</v>
      </c>
    </row>
    <row r="5867" spans="1:5" x14ac:dyDescent="0.25">
      <c r="A5867" s="116" t="s">
        <v>12083</v>
      </c>
      <c r="B5867" s="119" t="s">
        <v>12084</v>
      </c>
      <c r="C5867" s="116" t="s">
        <v>6846</v>
      </c>
      <c r="D5867"/>
      <c r="E5867" s="117">
        <v>2160.1694915254238</v>
      </c>
    </row>
    <row r="5868" spans="1:5" x14ac:dyDescent="0.25">
      <c r="A5868" s="116" t="s">
        <v>12085</v>
      </c>
      <c r="B5868" s="119" t="s">
        <v>12086</v>
      </c>
      <c r="C5868" s="116" t="s">
        <v>6846</v>
      </c>
      <c r="D5868"/>
      <c r="E5868" s="117">
        <v>2244.9152542372881</v>
      </c>
    </row>
    <row r="5869" spans="1:5" x14ac:dyDescent="0.25">
      <c r="A5869" s="116" t="s">
        <v>12087</v>
      </c>
      <c r="B5869" s="119" t="s">
        <v>12088</v>
      </c>
      <c r="C5869" s="116" t="s">
        <v>6846</v>
      </c>
      <c r="D5869"/>
      <c r="E5869" s="117">
        <v>2414.406779661017</v>
      </c>
    </row>
    <row r="5870" spans="1:5" x14ac:dyDescent="0.25">
      <c r="A5870" s="116" t="s">
        <v>12089</v>
      </c>
      <c r="B5870" s="119" t="s">
        <v>12090</v>
      </c>
      <c r="C5870" s="116" t="s">
        <v>6846</v>
      </c>
      <c r="D5870"/>
      <c r="E5870" s="117">
        <v>2456.7796610169494</v>
      </c>
    </row>
    <row r="5871" spans="1:5" x14ac:dyDescent="0.25">
      <c r="A5871" s="116" t="s">
        <v>12091</v>
      </c>
      <c r="B5871" s="119" t="s">
        <v>12092</v>
      </c>
      <c r="C5871" s="116" t="s">
        <v>6846</v>
      </c>
      <c r="D5871"/>
      <c r="E5871" s="117">
        <v>2541.5254237288136</v>
      </c>
    </row>
    <row r="5872" spans="1:5" x14ac:dyDescent="0.25">
      <c r="A5872" s="116" t="s">
        <v>12093</v>
      </c>
      <c r="B5872" s="119" t="s">
        <v>12094</v>
      </c>
      <c r="C5872" s="116" t="s">
        <v>6846</v>
      </c>
      <c r="D5872"/>
      <c r="E5872" s="117">
        <v>2711.0169491525426</v>
      </c>
    </row>
    <row r="5873" spans="1:5" x14ac:dyDescent="0.25">
      <c r="A5873" s="116" t="s">
        <v>12095</v>
      </c>
      <c r="B5873" s="119" t="s">
        <v>12096</v>
      </c>
      <c r="C5873" s="116" t="s">
        <v>6846</v>
      </c>
      <c r="D5873"/>
      <c r="E5873" s="117">
        <v>1694.0677966101696</v>
      </c>
    </row>
    <row r="5874" spans="1:5" x14ac:dyDescent="0.25">
      <c r="A5874" s="116" t="s">
        <v>12097</v>
      </c>
      <c r="B5874" s="119" t="s">
        <v>12098</v>
      </c>
      <c r="C5874" s="116" t="s">
        <v>6846</v>
      </c>
      <c r="D5874"/>
      <c r="E5874" s="117">
        <v>1948.3050847457628</v>
      </c>
    </row>
    <row r="5875" spans="1:5" x14ac:dyDescent="0.25">
      <c r="A5875" s="116" t="s">
        <v>12099</v>
      </c>
      <c r="B5875" s="119" t="s">
        <v>12100</v>
      </c>
      <c r="C5875" s="116" t="s">
        <v>6846</v>
      </c>
      <c r="D5875"/>
      <c r="E5875" s="117">
        <v>2033.0508474576272</v>
      </c>
    </row>
    <row r="5876" spans="1:5" x14ac:dyDescent="0.25">
      <c r="A5876" s="116" t="s">
        <v>12101</v>
      </c>
      <c r="B5876" s="119" t="s">
        <v>12102</v>
      </c>
      <c r="C5876" s="116" t="s">
        <v>6846</v>
      </c>
      <c r="D5876"/>
      <c r="E5876" s="117">
        <v>2160.1694915254238</v>
      </c>
    </row>
    <row r="5877" spans="1:5" x14ac:dyDescent="0.25">
      <c r="A5877" s="116" t="s">
        <v>12103</v>
      </c>
      <c r="B5877" s="119" t="s">
        <v>12104</v>
      </c>
      <c r="C5877" s="116" t="s">
        <v>6846</v>
      </c>
      <c r="D5877"/>
      <c r="E5877" s="117">
        <v>2541.5254237288136</v>
      </c>
    </row>
    <row r="5878" spans="1:5" x14ac:dyDescent="0.25">
      <c r="A5878" s="116" t="s">
        <v>12105</v>
      </c>
      <c r="B5878" s="119" t="s">
        <v>12106</v>
      </c>
      <c r="C5878" s="116" t="s">
        <v>6846</v>
      </c>
      <c r="D5878"/>
      <c r="E5878" s="117">
        <v>2880.5084745762715</v>
      </c>
    </row>
    <row r="5879" spans="1:5" x14ac:dyDescent="0.25">
      <c r="A5879" s="116" t="s">
        <v>12107</v>
      </c>
      <c r="B5879" s="119" t="s">
        <v>12108</v>
      </c>
      <c r="C5879" s="116" t="s">
        <v>6846</v>
      </c>
      <c r="D5879"/>
      <c r="E5879" s="117">
        <v>4405.9322033898306</v>
      </c>
    </row>
    <row r="5880" spans="1:5" x14ac:dyDescent="0.25">
      <c r="A5880" s="116" t="s">
        <v>12109</v>
      </c>
      <c r="B5880" s="119" t="s">
        <v>12110</v>
      </c>
      <c r="C5880" s="116" t="s">
        <v>6846</v>
      </c>
      <c r="D5880"/>
      <c r="E5880" s="117">
        <v>1948.3050847457628</v>
      </c>
    </row>
    <row r="5881" spans="1:5" x14ac:dyDescent="0.25">
      <c r="A5881" s="116" t="s">
        <v>12111</v>
      </c>
      <c r="B5881" s="119" t="s">
        <v>12112</v>
      </c>
      <c r="C5881" s="116" t="s">
        <v>6846</v>
      </c>
      <c r="D5881"/>
      <c r="E5881" s="117">
        <v>2202.5423728813562</v>
      </c>
    </row>
    <row r="5882" spans="1:5" x14ac:dyDescent="0.25">
      <c r="A5882" s="116" t="s">
        <v>12113</v>
      </c>
      <c r="B5882" s="119" t="s">
        <v>12114</v>
      </c>
      <c r="C5882" s="116" t="s">
        <v>6846</v>
      </c>
      <c r="D5882"/>
      <c r="E5882" s="117">
        <v>2965.2542372881358</v>
      </c>
    </row>
    <row r="5883" spans="1:5" x14ac:dyDescent="0.25">
      <c r="A5883" s="116" t="s">
        <v>12115</v>
      </c>
      <c r="B5883" s="119" t="s">
        <v>12116</v>
      </c>
      <c r="C5883" s="116" t="s">
        <v>6846</v>
      </c>
      <c r="D5883"/>
      <c r="E5883" s="117">
        <v>3219.4915254237289</v>
      </c>
    </row>
    <row r="5884" spans="1:5" x14ac:dyDescent="0.25">
      <c r="A5884" s="116" t="s">
        <v>12117</v>
      </c>
      <c r="B5884" s="119" t="s">
        <v>12118</v>
      </c>
      <c r="C5884" s="116" t="s">
        <v>6846</v>
      </c>
      <c r="D5884"/>
      <c r="E5884" s="117">
        <v>3812.71186440678</v>
      </c>
    </row>
    <row r="5885" spans="1:5" x14ac:dyDescent="0.25">
      <c r="A5885" s="116" t="s">
        <v>12119</v>
      </c>
      <c r="B5885" s="119" t="s">
        <v>12120</v>
      </c>
      <c r="C5885" s="116" t="s">
        <v>6846</v>
      </c>
      <c r="D5885"/>
      <c r="E5885" s="117">
        <v>4151.6949152542375</v>
      </c>
    </row>
    <row r="5886" spans="1:5" x14ac:dyDescent="0.25">
      <c r="A5886" s="116" t="s">
        <v>12121</v>
      </c>
      <c r="B5886" s="119" t="s">
        <v>12122</v>
      </c>
      <c r="C5886" s="116" t="s">
        <v>6846</v>
      </c>
      <c r="D5886"/>
      <c r="E5886" s="117">
        <v>3982.203389830509</v>
      </c>
    </row>
    <row r="5887" spans="1:5" x14ac:dyDescent="0.25">
      <c r="A5887" s="116" t="s">
        <v>12123</v>
      </c>
      <c r="B5887" s="119" t="s">
        <v>12124</v>
      </c>
      <c r="C5887" s="116" t="s">
        <v>6846</v>
      </c>
      <c r="D5887"/>
      <c r="E5887" s="117">
        <v>4236.4406779661022</v>
      </c>
    </row>
    <row r="5888" spans="1:5" x14ac:dyDescent="0.25">
      <c r="A5888" s="116" t="s">
        <v>12125</v>
      </c>
      <c r="B5888" s="119" t="s">
        <v>12126</v>
      </c>
      <c r="C5888" s="116" t="s">
        <v>6846</v>
      </c>
      <c r="D5888"/>
      <c r="E5888" s="117">
        <v>2202.5423728813562</v>
      </c>
    </row>
    <row r="5889" spans="1:5" x14ac:dyDescent="0.25">
      <c r="A5889" s="116" t="s">
        <v>12127</v>
      </c>
      <c r="B5889" s="119" t="s">
        <v>12128</v>
      </c>
      <c r="C5889" s="116" t="s">
        <v>6846</v>
      </c>
      <c r="D5889"/>
      <c r="E5889" s="117">
        <v>2456.7796610169494</v>
      </c>
    </row>
    <row r="5890" spans="1:5" x14ac:dyDescent="0.25">
      <c r="A5890" s="116" t="s">
        <v>12129</v>
      </c>
      <c r="B5890" s="119" t="s">
        <v>12130</v>
      </c>
      <c r="C5890" s="116" t="s">
        <v>6846</v>
      </c>
      <c r="D5890"/>
      <c r="E5890" s="117">
        <v>2287.2881355932204</v>
      </c>
    </row>
    <row r="5891" spans="1:5" x14ac:dyDescent="0.25">
      <c r="A5891" s="116" t="s">
        <v>12131</v>
      </c>
      <c r="B5891" s="119" t="s">
        <v>12132</v>
      </c>
      <c r="C5891" s="116" t="s">
        <v>6846</v>
      </c>
      <c r="D5891"/>
      <c r="E5891" s="117">
        <v>1863.5593220338985</v>
      </c>
    </row>
    <row r="5892" spans="1:5" x14ac:dyDescent="0.25">
      <c r="A5892" s="116" t="s">
        <v>12133</v>
      </c>
      <c r="B5892" s="119" t="s">
        <v>12134</v>
      </c>
      <c r="C5892" s="116" t="s">
        <v>6846</v>
      </c>
      <c r="D5892"/>
      <c r="E5892" s="117">
        <v>1609.3220338983051</v>
      </c>
    </row>
    <row r="5893" spans="1:5" x14ac:dyDescent="0.25">
      <c r="A5893" s="116" t="s">
        <v>12135</v>
      </c>
      <c r="B5893" s="119" t="s">
        <v>12136</v>
      </c>
      <c r="C5893" s="116" t="s">
        <v>6846</v>
      </c>
      <c r="D5893"/>
      <c r="E5893" s="117">
        <v>1694.0677966101696</v>
      </c>
    </row>
    <row r="5894" spans="1:5" x14ac:dyDescent="0.25">
      <c r="A5894" s="116" t="s">
        <v>12137</v>
      </c>
      <c r="B5894" s="119" t="s">
        <v>12138</v>
      </c>
      <c r="C5894" s="116" t="s">
        <v>6846</v>
      </c>
      <c r="D5894"/>
      <c r="E5894" s="117">
        <v>3727.9661016949153</v>
      </c>
    </row>
    <row r="5895" spans="1:5" x14ac:dyDescent="0.25">
      <c r="A5895" s="116" t="s">
        <v>12139</v>
      </c>
      <c r="B5895" s="119" t="s">
        <v>12140</v>
      </c>
      <c r="C5895" s="116" t="s">
        <v>6846</v>
      </c>
      <c r="D5895"/>
      <c r="E5895" s="117">
        <v>4066.9491525423732</v>
      </c>
    </row>
    <row r="5896" spans="1:5" x14ac:dyDescent="0.25">
      <c r="A5896" s="116" t="s">
        <v>7209</v>
      </c>
      <c r="B5896" s="119" t="s">
        <v>7210</v>
      </c>
      <c r="C5896" s="116" t="s">
        <v>6846</v>
      </c>
      <c r="D5896"/>
      <c r="E5896" s="117">
        <v>257.52741774675974</v>
      </c>
    </row>
    <row r="5897" spans="1:5" x14ac:dyDescent="0.25">
      <c r="A5897" s="116" t="s">
        <v>7212</v>
      </c>
      <c r="B5897" s="119" t="s">
        <v>7213</v>
      </c>
      <c r="C5897" s="116" t="s">
        <v>6846</v>
      </c>
      <c r="D5897"/>
      <c r="E5897" s="117">
        <v>278.46460618145562</v>
      </c>
    </row>
    <row r="5898" spans="1:5" x14ac:dyDescent="0.25">
      <c r="A5898" s="116" t="s">
        <v>7214</v>
      </c>
      <c r="B5898" s="119" t="s">
        <v>7215</v>
      </c>
      <c r="C5898" s="116" t="s">
        <v>6846</v>
      </c>
      <c r="D5898"/>
      <c r="E5898" s="117">
        <v>292.42273180458625</v>
      </c>
    </row>
    <row r="5899" spans="1:5" x14ac:dyDescent="0.25">
      <c r="A5899" s="116" t="s">
        <v>7220</v>
      </c>
      <c r="B5899" s="119" t="s">
        <v>7221</v>
      </c>
      <c r="C5899" s="116" t="s">
        <v>6846</v>
      </c>
      <c r="D5899"/>
      <c r="E5899" s="117">
        <v>90.029910269192428</v>
      </c>
    </row>
    <row r="5900" spans="1:5" x14ac:dyDescent="0.25">
      <c r="A5900" s="116" t="s">
        <v>11871</v>
      </c>
      <c r="B5900" s="119" t="s">
        <v>11872</v>
      </c>
      <c r="C5900" s="116" t="s">
        <v>6846</v>
      </c>
      <c r="D5900"/>
      <c r="E5900" s="117">
        <v>257.52741774675974</v>
      </c>
    </row>
    <row r="5901" spans="1:5" x14ac:dyDescent="0.25">
      <c r="A5901" s="116" t="s">
        <v>11873</v>
      </c>
      <c r="B5901" s="119" t="s">
        <v>11874</v>
      </c>
      <c r="C5901" s="116" t="s">
        <v>6846</v>
      </c>
      <c r="D5901"/>
      <c r="E5901" s="117">
        <v>278.46460618145562</v>
      </c>
    </row>
    <row r="5902" spans="1:5" x14ac:dyDescent="0.25">
      <c r="A5902" s="116" t="s">
        <v>11875</v>
      </c>
      <c r="B5902" s="119" t="s">
        <v>11876</v>
      </c>
      <c r="C5902" s="116" t="s">
        <v>6846</v>
      </c>
      <c r="D5902"/>
      <c r="E5902" s="117">
        <v>292.42273180458625</v>
      </c>
    </row>
    <row r="5903" spans="1:5" x14ac:dyDescent="0.25">
      <c r="A5903" s="116" t="s">
        <v>11877</v>
      </c>
      <c r="B5903" s="119" t="s">
        <v>11878</v>
      </c>
      <c r="C5903" s="116" t="s">
        <v>6846</v>
      </c>
      <c r="D5903"/>
      <c r="E5903" s="117">
        <v>327.31804586241276</v>
      </c>
    </row>
    <row r="5904" spans="1:5" x14ac:dyDescent="0.25">
      <c r="A5904" s="116" t="s">
        <v>11879</v>
      </c>
      <c r="B5904" s="119" t="s">
        <v>11880</v>
      </c>
      <c r="C5904" s="116" t="s">
        <v>6846</v>
      </c>
      <c r="D5904"/>
      <c r="E5904" s="117">
        <v>383.15054835493527</v>
      </c>
    </row>
    <row r="5905" spans="1:5" x14ac:dyDescent="0.25">
      <c r="A5905" s="116" t="s">
        <v>11881</v>
      </c>
      <c r="B5905" s="119" t="s">
        <v>11882</v>
      </c>
      <c r="C5905" s="116" t="s">
        <v>6846</v>
      </c>
      <c r="D5905"/>
      <c r="E5905" s="117">
        <v>90.029910269192428</v>
      </c>
    </row>
    <row r="5906" spans="1:5" x14ac:dyDescent="0.25">
      <c r="A5906" s="116" t="s">
        <v>7222</v>
      </c>
      <c r="B5906" s="119" t="s">
        <v>7223</v>
      </c>
      <c r="C5906" s="116" t="s">
        <v>6846</v>
      </c>
      <c r="D5906"/>
      <c r="E5906" s="117">
        <v>348.25523429710864</v>
      </c>
    </row>
    <row r="5907" spans="1:5" x14ac:dyDescent="0.25">
      <c r="A5907" s="116" t="s">
        <v>7224</v>
      </c>
      <c r="B5907" s="119" t="s">
        <v>7225</v>
      </c>
      <c r="C5907" s="116" t="s">
        <v>6846</v>
      </c>
      <c r="D5907"/>
      <c r="E5907" s="117">
        <v>348.25523429710864</v>
      </c>
    </row>
    <row r="5908" spans="1:5" x14ac:dyDescent="0.25">
      <c r="A5908" s="116" t="s">
        <v>7226</v>
      </c>
      <c r="B5908" s="119" t="s">
        <v>7227</v>
      </c>
      <c r="C5908" s="116" t="s">
        <v>6846</v>
      </c>
      <c r="D5908"/>
      <c r="E5908" s="117">
        <v>1185.7427716849452</v>
      </c>
    </row>
    <row r="5909" spans="1:5" x14ac:dyDescent="0.25">
      <c r="A5909" s="116" t="s">
        <v>7228</v>
      </c>
      <c r="B5909" s="119" t="s">
        <v>7229</v>
      </c>
      <c r="C5909" s="116" t="s">
        <v>6846</v>
      </c>
      <c r="D5909"/>
      <c r="E5909" s="117">
        <v>278.46460618145562</v>
      </c>
    </row>
    <row r="5910" spans="1:5" x14ac:dyDescent="0.25">
      <c r="A5910" s="116" t="s">
        <v>7230</v>
      </c>
      <c r="B5910" s="119" t="s">
        <v>7231</v>
      </c>
      <c r="C5910" s="116" t="s">
        <v>6846</v>
      </c>
      <c r="D5910"/>
      <c r="E5910" s="117">
        <v>278.46460618145562</v>
      </c>
    </row>
    <row r="5911" spans="1:5" x14ac:dyDescent="0.25">
      <c r="A5911" s="116" t="s">
        <v>7232</v>
      </c>
      <c r="B5911" s="119" t="s">
        <v>7233</v>
      </c>
      <c r="C5911" s="116" t="s">
        <v>6846</v>
      </c>
      <c r="D5911"/>
      <c r="E5911" s="117">
        <v>383.15054835493527</v>
      </c>
    </row>
    <row r="5912" spans="1:5" x14ac:dyDescent="0.25">
      <c r="A5912" s="116" t="s">
        <v>7234</v>
      </c>
      <c r="B5912" s="119" t="s">
        <v>7235</v>
      </c>
      <c r="C5912" s="116" t="s">
        <v>6846</v>
      </c>
      <c r="D5912"/>
      <c r="E5912" s="117">
        <v>452.94117647058823</v>
      </c>
    </row>
    <row r="5913" spans="1:5" x14ac:dyDescent="0.25">
      <c r="A5913" s="116" t="s">
        <v>7236</v>
      </c>
      <c r="B5913" s="119" t="s">
        <v>7237</v>
      </c>
      <c r="C5913" s="116" t="s">
        <v>6846</v>
      </c>
      <c r="D5913"/>
      <c r="E5913" s="117">
        <v>452.94117647058823</v>
      </c>
    </row>
    <row r="5914" spans="1:5" x14ac:dyDescent="0.25">
      <c r="A5914" s="116" t="s">
        <v>7238</v>
      </c>
      <c r="B5914" s="119" t="s">
        <v>7239</v>
      </c>
      <c r="C5914" s="116" t="s">
        <v>6846</v>
      </c>
      <c r="D5914"/>
      <c r="E5914" s="117">
        <v>208.6739780658026</v>
      </c>
    </row>
    <row r="5915" spans="1:5" x14ac:dyDescent="0.25">
      <c r="A5915" s="116" t="s">
        <v>7240</v>
      </c>
      <c r="B5915" s="119" t="s">
        <v>7241</v>
      </c>
      <c r="C5915" s="116" t="s">
        <v>6846</v>
      </c>
      <c r="D5915"/>
      <c r="E5915" s="117">
        <v>418.04586241276172</v>
      </c>
    </row>
    <row r="5916" spans="1:5" x14ac:dyDescent="0.25">
      <c r="A5916" s="116" t="s">
        <v>7242</v>
      </c>
      <c r="B5916" s="119" t="s">
        <v>7243</v>
      </c>
      <c r="C5916" s="116" t="s">
        <v>6846</v>
      </c>
      <c r="D5916"/>
      <c r="E5916" s="117">
        <v>627.4177467597209</v>
      </c>
    </row>
    <row r="5917" spans="1:5" x14ac:dyDescent="0.25">
      <c r="A5917" s="116" t="s">
        <v>7244</v>
      </c>
      <c r="B5917" s="119" t="s">
        <v>7245</v>
      </c>
      <c r="C5917" s="116" t="s">
        <v>6846</v>
      </c>
      <c r="D5917"/>
      <c r="E5917" s="117">
        <v>418.04586241276172</v>
      </c>
    </row>
    <row r="5918" spans="1:5" x14ac:dyDescent="0.25">
      <c r="A5918" s="116" t="s">
        <v>7246</v>
      </c>
      <c r="B5918" s="119" t="s">
        <v>7247</v>
      </c>
      <c r="C5918" s="116" t="s">
        <v>6846</v>
      </c>
      <c r="D5918"/>
      <c r="E5918" s="117">
        <v>348.25523429710864</v>
      </c>
    </row>
    <row r="5919" spans="1:5" x14ac:dyDescent="0.25">
      <c r="A5919" s="116" t="s">
        <v>7248</v>
      </c>
      <c r="B5919" s="119" t="s">
        <v>7249</v>
      </c>
      <c r="C5919" s="116" t="s">
        <v>6846</v>
      </c>
      <c r="D5919"/>
      <c r="E5919" s="117">
        <v>627.4177467597209</v>
      </c>
    </row>
    <row r="5920" spans="1:5" x14ac:dyDescent="0.25">
      <c r="A5920" s="116" t="s">
        <v>7250</v>
      </c>
      <c r="B5920" s="119" t="s">
        <v>7251</v>
      </c>
      <c r="C5920" s="116" t="s">
        <v>6846</v>
      </c>
      <c r="D5920"/>
      <c r="E5920" s="117">
        <v>418.04586241276172</v>
      </c>
    </row>
    <row r="5921" spans="1:5" x14ac:dyDescent="0.25">
      <c r="A5921" s="116" t="s">
        <v>7252</v>
      </c>
      <c r="B5921" s="119" t="s">
        <v>7253</v>
      </c>
      <c r="C5921" s="116" t="s">
        <v>6846</v>
      </c>
      <c r="D5921"/>
      <c r="E5921" s="117">
        <v>487.8364905284148</v>
      </c>
    </row>
    <row r="5922" spans="1:5" x14ac:dyDescent="0.25">
      <c r="A5922" s="116" t="s">
        <v>7254</v>
      </c>
      <c r="B5922" s="119" t="s">
        <v>7255</v>
      </c>
      <c r="C5922" s="116" t="s">
        <v>6846</v>
      </c>
      <c r="D5922"/>
      <c r="E5922" s="117">
        <v>557.62711864406776</v>
      </c>
    </row>
    <row r="5923" spans="1:5" x14ac:dyDescent="0.25">
      <c r="A5923" s="116" t="s">
        <v>7256</v>
      </c>
      <c r="B5923" s="119" t="s">
        <v>7257</v>
      </c>
      <c r="C5923" s="116" t="s">
        <v>6846</v>
      </c>
      <c r="D5923"/>
      <c r="E5923" s="117">
        <v>627.4177467597209</v>
      </c>
    </row>
    <row r="5924" spans="1:5" x14ac:dyDescent="0.25">
      <c r="A5924" s="116" t="s">
        <v>7258</v>
      </c>
      <c r="B5924" s="119" t="s">
        <v>7259</v>
      </c>
      <c r="C5924" s="116" t="s">
        <v>6846</v>
      </c>
      <c r="D5924"/>
      <c r="E5924" s="117">
        <v>697.20837487537381</v>
      </c>
    </row>
    <row r="5925" spans="1:5" x14ac:dyDescent="0.25">
      <c r="A5925" s="116" t="s">
        <v>7260</v>
      </c>
      <c r="B5925" s="119" t="s">
        <v>7261</v>
      </c>
      <c r="C5925" s="116" t="s">
        <v>6846</v>
      </c>
      <c r="D5925"/>
      <c r="E5925" s="117">
        <v>1081.0568295114656</v>
      </c>
    </row>
    <row r="5926" spans="1:5" x14ac:dyDescent="0.25">
      <c r="A5926" s="116" t="s">
        <v>7262</v>
      </c>
      <c r="B5926" s="119" t="s">
        <v>7263</v>
      </c>
      <c r="C5926" s="116" t="s">
        <v>6846</v>
      </c>
      <c r="D5926"/>
      <c r="E5926" s="117">
        <v>1081.0568295114656</v>
      </c>
    </row>
    <row r="5927" spans="1:5" x14ac:dyDescent="0.25">
      <c r="A5927" s="116" t="s">
        <v>7264</v>
      </c>
      <c r="B5927" s="119" t="s">
        <v>7265</v>
      </c>
      <c r="C5927" s="116" t="s">
        <v>6846</v>
      </c>
      <c r="D5927"/>
      <c r="E5927" s="117">
        <v>697.20837487537381</v>
      </c>
    </row>
    <row r="5928" spans="1:5" x14ac:dyDescent="0.25">
      <c r="A5928" s="116" t="s">
        <v>7266</v>
      </c>
      <c r="B5928" s="119" t="s">
        <v>7267</v>
      </c>
      <c r="C5928" s="116" t="s">
        <v>6846</v>
      </c>
      <c r="D5928"/>
      <c r="E5928" s="117">
        <v>522.73180458624131</v>
      </c>
    </row>
    <row r="5929" spans="1:5" x14ac:dyDescent="0.25">
      <c r="A5929" s="116" t="s">
        <v>7268</v>
      </c>
      <c r="B5929" s="119" t="s">
        <v>7269</v>
      </c>
      <c r="C5929" s="116" t="s">
        <v>6846</v>
      </c>
      <c r="D5929"/>
      <c r="E5929" s="117">
        <v>208.6739780658026</v>
      </c>
    </row>
    <row r="5930" spans="1:5" x14ac:dyDescent="0.25">
      <c r="A5930" s="116" t="s">
        <v>6903</v>
      </c>
      <c r="B5930" s="119" t="s">
        <v>6904</v>
      </c>
      <c r="C5930" s="116" t="s">
        <v>6846</v>
      </c>
      <c r="D5930"/>
      <c r="E5930" s="117">
        <v>1185.5932203389832</v>
      </c>
    </row>
    <row r="5931" spans="1:5" x14ac:dyDescent="0.25">
      <c r="A5931" s="116" t="s">
        <v>6906</v>
      </c>
      <c r="B5931" s="119" t="s">
        <v>6907</v>
      </c>
      <c r="C5931" s="116" t="s">
        <v>6846</v>
      </c>
      <c r="D5931"/>
      <c r="E5931" s="117">
        <v>1312.7118644067798</v>
      </c>
    </row>
    <row r="5932" spans="1:5" x14ac:dyDescent="0.25">
      <c r="A5932" s="116" t="s">
        <v>6908</v>
      </c>
      <c r="B5932" s="119" t="s">
        <v>6909</v>
      </c>
      <c r="C5932" s="116" t="s">
        <v>6846</v>
      </c>
      <c r="D5932"/>
      <c r="E5932" s="117">
        <v>888.98305084745778</v>
      </c>
    </row>
    <row r="5933" spans="1:5" x14ac:dyDescent="0.25">
      <c r="A5933" s="116" t="s">
        <v>6910</v>
      </c>
      <c r="B5933" s="119" t="s">
        <v>6911</v>
      </c>
      <c r="C5933" s="116" t="s">
        <v>6846</v>
      </c>
      <c r="D5933"/>
      <c r="E5933" s="117">
        <v>846.61016949152543</v>
      </c>
    </row>
    <row r="5934" spans="1:5" x14ac:dyDescent="0.25">
      <c r="A5934" s="116" t="s">
        <v>6912</v>
      </c>
      <c r="B5934" s="119" t="s">
        <v>6913</v>
      </c>
      <c r="C5934" s="116" t="s">
        <v>6846</v>
      </c>
      <c r="D5934"/>
      <c r="E5934" s="117">
        <v>973.72881355932213</v>
      </c>
    </row>
    <row r="5935" spans="1:5" x14ac:dyDescent="0.25">
      <c r="A5935" s="116" t="s">
        <v>11883</v>
      </c>
      <c r="B5935" s="119" t="s">
        <v>11884</v>
      </c>
      <c r="C5935" s="116" t="s">
        <v>6846</v>
      </c>
      <c r="D5935"/>
      <c r="E5935" s="117">
        <v>1312.7118644067798</v>
      </c>
    </row>
    <row r="5936" spans="1:5" x14ac:dyDescent="0.25">
      <c r="A5936" s="116" t="s">
        <v>6918</v>
      </c>
      <c r="B5936" s="119" t="s">
        <v>6919</v>
      </c>
      <c r="C5936" s="116" t="s">
        <v>6846</v>
      </c>
      <c r="D5936"/>
      <c r="E5936" s="117">
        <v>1143.2203389830509</v>
      </c>
    </row>
    <row r="5937" spans="1:5" x14ac:dyDescent="0.25">
      <c r="A5937" s="116" t="s">
        <v>6920</v>
      </c>
      <c r="B5937" s="119" t="s">
        <v>6921</v>
      </c>
      <c r="C5937" s="116" t="s">
        <v>6846</v>
      </c>
      <c r="D5937"/>
      <c r="E5937" s="117">
        <v>1270.3389830508472</v>
      </c>
    </row>
    <row r="5938" spans="1:5" x14ac:dyDescent="0.25">
      <c r="A5938" s="116" t="s">
        <v>11885</v>
      </c>
      <c r="B5938" s="119" t="s">
        <v>11886</v>
      </c>
      <c r="C5938" s="116" t="s">
        <v>6846</v>
      </c>
      <c r="D5938"/>
      <c r="E5938" s="117">
        <v>846.61016949152543</v>
      </c>
    </row>
    <row r="5939" spans="1:5" x14ac:dyDescent="0.25">
      <c r="A5939" s="116" t="s">
        <v>11887</v>
      </c>
      <c r="B5939" s="119" t="s">
        <v>11888</v>
      </c>
      <c r="C5939" s="116" t="s">
        <v>6846</v>
      </c>
      <c r="D5939"/>
      <c r="E5939" s="117">
        <v>1016.1016949152543</v>
      </c>
    </row>
    <row r="5940" spans="1:5" x14ac:dyDescent="0.25">
      <c r="A5940" s="116" t="s">
        <v>6926</v>
      </c>
      <c r="B5940" s="119" t="s">
        <v>6927</v>
      </c>
      <c r="C5940" s="116" t="s">
        <v>6846</v>
      </c>
      <c r="D5940"/>
      <c r="E5940" s="117">
        <v>829.66101694915255</v>
      </c>
    </row>
    <row r="5941" spans="1:5" x14ac:dyDescent="0.25">
      <c r="A5941" s="116" t="s">
        <v>6928</v>
      </c>
      <c r="B5941" s="119" t="s">
        <v>6929</v>
      </c>
      <c r="C5941" s="116" t="s">
        <v>6846</v>
      </c>
      <c r="D5941"/>
      <c r="E5941" s="117">
        <v>1016.1016949152543</v>
      </c>
    </row>
    <row r="5942" spans="1:5" x14ac:dyDescent="0.25">
      <c r="A5942" s="116" t="s">
        <v>6930</v>
      </c>
      <c r="B5942" s="119" t="s">
        <v>6931</v>
      </c>
      <c r="C5942" s="116" t="s">
        <v>6846</v>
      </c>
      <c r="D5942"/>
      <c r="E5942" s="117">
        <v>1439.8305084745766</v>
      </c>
    </row>
    <row r="5943" spans="1:5" x14ac:dyDescent="0.25">
      <c r="A5943" s="116" t="s">
        <v>6932</v>
      </c>
      <c r="B5943" s="119" t="s">
        <v>6933</v>
      </c>
      <c r="C5943" s="116" t="s">
        <v>6846</v>
      </c>
      <c r="D5943"/>
      <c r="E5943" s="117">
        <v>1566.949152542373</v>
      </c>
    </row>
    <row r="5944" spans="1:5" x14ac:dyDescent="0.25">
      <c r="A5944" s="116" t="s">
        <v>6934</v>
      </c>
      <c r="B5944" s="119" t="s">
        <v>6935</v>
      </c>
      <c r="C5944" s="116" t="s">
        <v>6846</v>
      </c>
      <c r="D5944"/>
      <c r="E5944" s="117">
        <v>804.2372881355933</v>
      </c>
    </row>
    <row r="5945" spans="1:5" x14ac:dyDescent="0.25">
      <c r="A5945" s="116" t="s">
        <v>6936</v>
      </c>
      <c r="B5945" s="119" t="s">
        <v>6937</v>
      </c>
      <c r="C5945" s="116" t="s">
        <v>6846</v>
      </c>
      <c r="D5945"/>
      <c r="E5945" s="117">
        <v>956.77966101694926</v>
      </c>
    </row>
    <row r="5946" spans="1:5" x14ac:dyDescent="0.25">
      <c r="A5946" s="116" t="s">
        <v>6938</v>
      </c>
      <c r="B5946" s="119" t="s">
        <v>6939</v>
      </c>
      <c r="C5946" s="116" t="s">
        <v>6846</v>
      </c>
      <c r="D5946"/>
      <c r="E5946" s="117">
        <v>914.40677966101703</v>
      </c>
    </row>
    <row r="5947" spans="1:5" x14ac:dyDescent="0.25">
      <c r="A5947" s="116" t="s">
        <v>6940</v>
      </c>
      <c r="B5947" s="119" t="s">
        <v>6941</v>
      </c>
      <c r="C5947" s="116" t="s">
        <v>6846</v>
      </c>
      <c r="D5947"/>
      <c r="E5947" s="117">
        <v>1058.4745762711866</v>
      </c>
    </row>
    <row r="5948" spans="1:5" x14ac:dyDescent="0.25">
      <c r="A5948" s="116" t="s">
        <v>6942</v>
      </c>
      <c r="B5948" s="119" t="s">
        <v>6943</v>
      </c>
      <c r="C5948" s="116" t="s">
        <v>6846</v>
      </c>
      <c r="D5948"/>
      <c r="E5948" s="117">
        <v>1990.6779661016951</v>
      </c>
    </row>
    <row r="5949" spans="1:5" x14ac:dyDescent="0.25">
      <c r="A5949" s="116" t="s">
        <v>6944</v>
      </c>
      <c r="B5949" s="119" t="s">
        <v>6945</v>
      </c>
      <c r="C5949" s="116" t="s">
        <v>6846</v>
      </c>
      <c r="D5949"/>
      <c r="E5949" s="117">
        <v>2075.4237288135596</v>
      </c>
    </row>
    <row r="5950" spans="1:5" x14ac:dyDescent="0.25">
      <c r="A5950" s="116" t="s">
        <v>6946</v>
      </c>
      <c r="B5950" s="119" t="s">
        <v>6947</v>
      </c>
      <c r="C5950" s="116" t="s">
        <v>6846</v>
      </c>
      <c r="D5950"/>
      <c r="E5950" s="117">
        <v>846.61016949152543</v>
      </c>
    </row>
    <row r="5951" spans="1:5" x14ac:dyDescent="0.25">
      <c r="A5951" s="116" t="s">
        <v>6948</v>
      </c>
      <c r="B5951" s="119" t="s">
        <v>6949</v>
      </c>
      <c r="C5951" s="116" t="s">
        <v>6846</v>
      </c>
      <c r="D5951"/>
      <c r="E5951" s="117">
        <v>973.72881355932213</v>
      </c>
    </row>
    <row r="5952" spans="1:5" x14ac:dyDescent="0.25">
      <c r="A5952" s="116" t="s">
        <v>6950</v>
      </c>
      <c r="B5952" s="119" t="s">
        <v>6951</v>
      </c>
      <c r="C5952" s="116" t="s">
        <v>6846</v>
      </c>
      <c r="D5952"/>
      <c r="E5952" s="117">
        <v>1227.9661016949153</v>
      </c>
    </row>
    <row r="5953" spans="1:5" x14ac:dyDescent="0.25">
      <c r="A5953" s="116" t="s">
        <v>6952</v>
      </c>
      <c r="B5953" s="119" t="s">
        <v>6953</v>
      </c>
      <c r="C5953" s="116" t="s">
        <v>6846</v>
      </c>
      <c r="D5953"/>
      <c r="E5953" s="117">
        <v>1355.0847457627119</v>
      </c>
    </row>
    <row r="5954" spans="1:5" x14ac:dyDescent="0.25">
      <c r="A5954" s="116" t="s">
        <v>6954</v>
      </c>
      <c r="B5954" s="119" t="s">
        <v>6955</v>
      </c>
      <c r="C5954" s="116" t="s">
        <v>6846</v>
      </c>
      <c r="D5954"/>
      <c r="E5954" s="117">
        <v>931.3559322033899</v>
      </c>
    </row>
    <row r="5955" spans="1:5" x14ac:dyDescent="0.25">
      <c r="A5955" s="116" t="s">
        <v>6956</v>
      </c>
      <c r="B5955" s="119" t="s">
        <v>6957</v>
      </c>
      <c r="C5955" s="116" t="s">
        <v>6846</v>
      </c>
      <c r="D5955"/>
      <c r="E5955" s="117">
        <v>1058.4745762711866</v>
      </c>
    </row>
    <row r="5956" spans="1:5" x14ac:dyDescent="0.25">
      <c r="A5956" s="116" t="s">
        <v>6958</v>
      </c>
      <c r="B5956" s="119" t="s">
        <v>6959</v>
      </c>
      <c r="C5956" s="116" t="s">
        <v>6846</v>
      </c>
      <c r="D5956"/>
      <c r="E5956" s="117">
        <v>1058.4745762711866</v>
      </c>
    </row>
    <row r="5957" spans="1:5" x14ac:dyDescent="0.25">
      <c r="A5957" s="116" t="s">
        <v>6960</v>
      </c>
      <c r="B5957" s="119" t="s">
        <v>6961</v>
      </c>
      <c r="C5957" s="116" t="s">
        <v>6846</v>
      </c>
      <c r="D5957"/>
      <c r="E5957" s="117">
        <v>1185.5932203389832</v>
      </c>
    </row>
    <row r="5958" spans="1:5" x14ac:dyDescent="0.25">
      <c r="A5958" s="116" t="s">
        <v>6962</v>
      </c>
      <c r="B5958" s="119" t="s">
        <v>6963</v>
      </c>
      <c r="C5958" s="116" t="s">
        <v>6846</v>
      </c>
      <c r="D5958"/>
      <c r="E5958" s="117">
        <v>592.37288135593224</v>
      </c>
    </row>
    <row r="5959" spans="1:5" x14ac:dyDescent="0.25">
      <c r="A5959" s="116" t="s">
        <v>6964</v>
      </c>
      <c r="B5959" s="119" t="s">
        <v>6965</v>
      </c>
      <c r="C5959" s="116" t="s">
        <v>6846</v>
      </c>
      <c r="D5959"/>
      <c r="E5959" s="117">
        <v>719.49152542372883</v>
      </c>
    </row>
    <row r="5960" spans="1:5" x14ac:dyDescent="0.25">
      <c r="A5960" s="116" t="s">
        <v>11889</v>
      </c>
      <c r="B5960" s="119" t="s">
        <v>11890</v>
      </c>
      <c r="C5960" s="116" t="s">
        <v>6846</v>
      </c>
      <c r="D5960"/>
      <c r="E5960" s="117">
        <v>846.61016949152543</v>
      </c>
    </row>
    <row r="5961" spans="1:5" x14ac:dyDescent="0.25">
      <c r="A5961" s="116" t="s">
        <v>6966</v>
      </c>
      <c r="B5961" s="119" t="s">
        <v>6967</v>
      </c>
      <c r="C5961" s="116" t="s">
        <v>6846</v>
      </c>
      <c r="D5961"/>
      <c r="E5961" s="117">
        <v>2372.0338983050847</v>
      </c>
    </row>
    <row r="5962" spans="1:5" x14ac:dyDescent="0.25">
      <c r="A5962" s="116" t="s">
        <v>6968</v>
      </c>
      <c r="B5962" s="119" t="s">
        <v>6969</v>
      </c>
      <c r="C5962" s="116" t="s">
        <v>6846</v>
      </c>
      <c r="D5962"/>
      <c r="E5962" s="117">
        <v>2541.5254237288136</v>
      </c>
    </row>
    <row r="5963" spans="1:5" x14ac:dyDescent="0.25">
      <c r="A5963" s="116" t="s">
        <v>6974</v>
      </c>
      <c r="B5963" s="119" t="s">
        <v>6975</v>
      </c>
      <c r="C5963" s="116" t="s">
        <v>6846</v>
      </c>
      <c r="D5963"/>
      <c r="E5963" s="117">
        <v>761.86440677966107</v>
      </c>
    </row>
    <row r="5964" spans="1:5" x14ac:dyDescent="0.25">
      <c r="A5964" s="116" t="s">
        <v>6976</v>
      </c>
      <c r="B5964" s="119" t="s">
        <v>6977</v>
      </c>
      <c r="C5964" s="116" t="s">
        <v>6846</v>
      </c>
      <c r="D5964"/>
      <c r="E5964" s="117">
        <v>846.61016949152543</v>
      </c>
    </row>
    <row r="5965" spans="1:5" x14ac:dyDescent="0.25">
      <c r="A5965" s="116" t="s">
        <v>6978</v>
      </c>
      <c r="B5965" s="119" t="s">
        <v>6979</v>
      </c>
      <c r="C5965" s="116" t="s">
        <v>6846</v>
      </c>
      <c r="D5965"/>
      <c r="E5965" s="117">
        <v>2456.7796610169494</v>
      </c>
    </row>
    <row r="5966" spans="1:5" x14ac:dyDescent="0.25">
      <c r="A5966" s="116" t="s">
        <v>6980</v>
      </c>
      <c r="B5966" s="119" t="s">
        <v>6981</v>
      </c>
      <c r="C5966" s="116" t="s">
        <v>6846</v>
      </c>
      <c r="D5966"/>
      <c r="E5966" s="117">
        <v>2541.5254237288136</v>
      </c>
    </row>
    <row r="5967" spans="1:5" x14ac:dyDescent="0.25">
      <c r="A5967" s="116" t="s">
        <v>6982</v>
      </c>
      <c r="B5967" s="119" t="s">
        <v>6983</v>
      </c>
      <c r="C5967" s="116" t="s">
        <v>6846</v>
      </c>
      <c r="D5967"/>
      <c r="E5967" s="117">
        <v>5084.7457627118647</v>
      </c>
    </row>
    <row r="5968" spans="1:5" x14ac:dyDescent="0.25">
      <c r="A5968" s="116" t="s">
        <v>11891</v>
      </c>
      <c r="B5968" s="119" t="s">
        <v>6984</v>
      </c>
      <c r="C5968" s="116" t="s">
        <v>6846</v>
      </c>
      <c r="D5968"/>
      <c r="E5968" s="117">
        <v>5084.7457627118647</v>
      </c>
    </row>
    <row r="5969" spans="1:5" x14ac:dyDescent="0.25">
      <c r="A5969" s="116" t="s">
        <v>6985</v>
      </c>
      <c r="B5969" s="119" t="s">
        <v>6986</v>
      </c>
      <c r="C5969" s="116" t="s">
        <v>6846</v>
      </c>
      <c r="D5969"/>
      <c r="E5969" s="117">
        <v>5169.4915254237303</v>
      </c>
    </row>
    <row r="5970" spans="1:5" x14ac:dyDescent="0.25">
      <c r="A5970" s="116" t="s">
        <v>6987</v>
      </c>
      <c r="B5970" s="119" t="s">
        <v>6988</v>
      </c>
      <c r="C5970" s="116" t="s">
        <v>6846</v>
      </c>
      <c r="D5970"/>
      <c r="E5970" s="117">
        <v>5169.4915254237303</v>
      </c>
    </row>
    <row r="5971" spans="1:5" x14ac:dyDescent="0.25">
      <c r="A5971" s="116" t="s">
        <v>6989</v>
      </c>
      <c r="B5971" s="119" t="s">
        <v>6990</v>
      </c>
      <c r="C5971" s="116" t="s">
        <v>6846</v>
      </c>
      <c r="D5971"/>
      <c r="E5971" s="117">
        <v>20338.135593220341</v>
      </c>
    </row>
    <row r="5972" spans="1:5" x14ac:dyDescent="0.25">
      <c r="A5972" s="116" t="s">
        <v>6991</v>
      </c>
      <c r="B5972" s="119" t="s">
        <v>6992</v>
      </c>
      <c r="C5972" s="116" t="s">
        <v>6846</v>
      </c>
      <c r="D5972"/>
      <c r="E5972" s="117">
        <v>20422.881355932204</v>
      </c>
    </row>
    <row r="5973" spans="1:5" x14ac:dyDescent="0.25">
      <c r="A5973" s="116" t="s">
        <v>6993</v>
      </c>
      <c r="B5973" s="119" t="s">
        <v>6994</v>
      </c>
      <c r="C5973" s="116" t="s">
        <v>6846</v>
      </c>
      <c r="D5973"/>
      <c r="E5973" s="117">
        <v>20338.135593220341</v>
      </c>
    </row>
    <row r="5974" spans="1:5" x14ac:dyDescent="0.25">
      <c r="A5974" s="116" t="s">
        <v>6995</v>
      </c>
      <c r="B5974" s="119" t="s">
        <v>6996</v>
      </c>
      <c r="C5974" s="116" t="s">
        <v>6846</v>
      </c>
      <c r="D5974"/>
      <c r="E5974" s="117">
        <v>20422.881355932204</v>
      </c>
    </row>
    <row r="5975" spans="1:5" x14ac:dyDescent="0.25">
      <c r="A5975" s="116" t="s">
        <v>6997</v>
      </c>
      <c r="B5975" s="119" t="s">
        <v>6998</v>
      </c>
      <c r="C5975" s="116" t="s">
        <v>6846</v>
      </c>
      <c r="D5975"/>
      <c r="E5975" s="117">
        <v>18727.966101694918</v>
      </c>
    </row>
    <row r="5976" spans="1:5" x14ac:dyDescent="0.25">
      <c r="A5976" s="116" t="s">
        <v>6999</v>
      </c>
      <c r="B5976" s="119" t="s">
        <v>7000</v>
      </c>
      <c r="C5976" s="116" t="s">
        <v>6846</v>
      </c>
      <c r="D5976"/>
      <c r="E5976" s="117">
        <v>18812.711864406781</v>
      </c>
    </row>
    <row r="5977" spans="1:5" x14ac:dyDescent="0.25">
      <c r="A5977" s="119" t="s">
        <v>7001</v>
      </c>
      <c r="B5977" s="119" t="s">
        <v>7002</v>
      </c>
      <c r="C5977" s="121" t="s">
        <v>6846</v>
      </c>
      <c r="D5977"/>
      <c r="E5977" s="117">
        <v>18727.966101694918</v>
      </c>
    </row>
    <row r="5978" spans="1:5" x14ac:dyDescent="0.25">
      <c r="A5978" s="119" t="s">
        <v>7003</v>
      </c>
      <c r="B5978" s="119" t="s">
        <v>7004</v>
      </c>
      <c r="C5978" s="121" t="s">
        <v>6846</v>
      </c>
      <c r="D5978"/>
      <c r="E5978" s="117">
        <v>18812.711864406781</v>
      </c>
    </row>
    <row r="5979" spans="1:5" x14ac:dyDescent="0.25">
      <c r="A5979" s="119" t="s">
        <v>7005</v>
      </c>
      <c r="B5979" s="119" t="s">
        <v>7006</v>
      </c>
      <c r="C5979" s="121" t="s">
        <v>6846</v>
      </c>
      <c r="D5979"/>
      <c r="E5979" s="117">
        <v>18727.966101694918</v>
      </c>
    </row>
    <row r="5980" spans="1:5" x14ac:dyDescent="0.25">
      <c r="A5980" s="119" t="s">
        <v>7007</v>
      </c>
      <c r="B5980" s="119" t="s">
        <v>7008</v>
      </c>
      <c r="C5980" s="121" t="s">
        <v>6846</v>
      </c>
      <c r="D5980"/>
      <c r="E5980" s="117">
        <v>18812.711864406781</v>
      </c>
    </row>
    <row r="5981" spans="1:5" x14ac:dyDescent="0.25">
      <c r="A5981" s="119" t="s">
        <v>7009</v>
      </c>
      <c r="B5981" s="119" t="s">
        <v>7010</v>
      </c>
      <c r="C5981" s="121" t="s">
        <v>6846</v>
      </c>
      <c r="D5981"/>
      <c r="E5981" s="117">
        <v>1270.3389830508472</v>
      </c>
    </row>
    <row r="5982" spans="1:5" x14ac:dyDescent="0.25">
      <c r="A5982" s="119" t="s">
        <v>7011</v>
      </c>
      <c r="B5982" s="119" t="s">
        <v>7012</v>
      </c>
      <c r="C5982" s="121" t="s">
        <v>6846</v>
      </c>
      <c r="D5982"/>
      <c r="E5982" s="117">
        <v>1312.7118644067798</v>
      </c>
    </row>
    <row r="5983" spans="1:5" x14ac:dyDescent="0.25">
      <c r="A5983" s="119" t="s">
        <v>11892</v>
      </c>
      <c r="B5983" s="119" t="s">
        <v>11893</v>
      </c>
      <c r="C5983" s="121" t="s">
        <v>6846</v>
      </c>
      <c r="D5983"/>
      <c r="E5983" s="117">
        <v>5592.3728813559328</v>
      </c>
    </row>
    <row r="5984" spans="1:5" x14ac:dyDescent="0.25">
      <c r="A5984" s="119" t="s">
        <v>11894</v>
      </c>
      <c r="B5984" s="119" t="s">
        <v>11895</v>
      </c>
      <c r="C5984" s="121" t="s">
        <v>6846</v>
      </c>
      <c r="D5984"/>
      <c r="E5984" s="117">
        <v>6863.5593220338988</v>
      </c>
    </row>
    <row r="5985" spans="1:5" x14ac:dyDescent="0.25">
      <c r="A5985" s="119" t="s">
        <v>11896</v>
      </c>
      <c r="B5985" s="119" t="s">
        <v>11897</v>
      </c>
      <c r="C5985" s="121" t="s">
        <v>6846</v>
      </c>
      <c r="D5985"/>
      <c r="E5985" s="117">
        <v>8473.7288135593226</v>
      </c>
    </row>
    <row r="5986" spans="1:5" x14ac:dyDescent="0.25">
      <c r="A5986" s="119" t="s">
        <v>7013</v>
      </c>
      <c r="B5986" s="119" t="s">
        <v>7014</v>
      </c>
      <c r="C5986" s="121" t="s">
        <v>6846</v>
      </c>
      <c r="D5986"/>
      <c r="E5986" s="117">
        <v>338.13559322033899</v>
      </c>
    </row>
    <row r="5987" spans="1:5" x14ac:dyDescent="0.25">
      <c r="A5987" s="119" t="s">
        <v>7016</v>
      </c>
      <c r="B5987" s="119" t="s">
        <v>7017</v>
      </c>
      <c r="C5987" s="121" t="s">
        <v>6846</v>
      </c>
      <c r="D5987"/>
      <c r="E5987" s="117">
        <v>338.13559322033899</v>
      </c>
    </row>
    <row r="5988" spans="1:5" x14ac:dyDescent="0.25">
      <c r="A5988" s="119" t="s">
        <v>7018</v>
      </c>
      <c r="B5988" s="119" t="s">
        <v>7019</v>
      </c>
      <c r="C5988" s="121" t="s">
        <v>6846</v>
      </c>
      <c r="D5988"/>
      <c r="E5988" s="117">
        <v>338.13559322033899</v>
      </c>
    </row>
    <row r="5989" spans="1:5" x14ac:dyDescent="0.25">
      <c r="A5989" s="119" t="s">
        <v>11898</v>
      </c>
      <c r="B5989" s="119" t="s">
        <v>11899</v>
      </c>
      <c r="C5989" s="121" t="s">
        <v>6846</v>
      </c>
      <c r="D5989"/>
      <c r="E5989" s="117">
        <v>507.62711864406788</v>
      </c>
    </row>
    <row r="5990" spans="1:5" x14ac:dyDescent="0.25">
      <c r="A5990" s="119" t="s">
        <v>11868</v>
      </c>
      <c r="B5990" s="119" t="s">
        <v>11869</v>
      </c>
      <c r="C5990" s="121" t="s">
        <v>6846</v>
      </c>
      <c r="D5990"/>
      <c r="E5990" s="117">
        <v>507.62711864406788</v>
      </c>
    </row>
    <row r="5991" spans="1:5" x14ac:dyDescent="0.25">
      <c r="A5991" s="119" t="s">
        <v>7020</v>
      </c>
      <c r="B5991" s="119" t="s">
        <v>7021</v>
      </c>
      <c r="C5991" s="121" t="s">
        <v>6846</v>
      </c>
      <c r="D5991"/>
      <c r="E5991" s="117">
        <v>422.88135593220341</v>
      </c>
    </row>
    <row r="5992" spans="1:5" x14ac:dyDescent="0.25">
      <c r="A5992" s="119" t="s">
        <v>7022</v>
      </c>
      <c r="B5992" s="119" t="s">
        <v>7023</v>
      </c>
      <c r="C5992" s="121" t="s">
        <v>6846</v>
      </c>
      <c r="D5992"/>
      <c r="E5992" s="117">
        <v>507.62711864406788</v>
      </c>
    </row>
    <row r="5993" spans="1:5" x14ac:dyDescent="0.25">
      <c r="A5993" s="119" t="s">
        <v>7024</v>
      </c>
      <c r="B5993" s="119" t="s">
        <v>7025</v>
      </c>
      <c r="C5993" s="121" t="s">
        <v>6846</v>
      </c>
      <c r="D5993"/>
      <c r="E5993" s="117">
        <v>592.37288135593224</v>
      </c>
    </row>
    <row r="5994" spans="1:5" x14ac:dyDescent="0.25">
      <c r="A5994" s="119" t="s">
        <v>7026</v>
      </c>
      <c r="B5994" s="119" t="s">
        <v>7027</v>
      </c>
      <c r="C5994" s="121" t="s">
        <v>6846</v>
      </c>
      <c r="D5994"/>
      <c r="E5994" s="117">
        <v>634.74576271186447</v>
      </c>
    </row>
    <row r="5995" spans="1:5" x14ac:dyDescent="0.25">
      <c r="A5995" s="119" t="s">
        <v>7028</v>
      </c>
      <c r="B5995" s="119" t="s">
        <v>7029</v>
      </c>
      <c r="C5995" s="121" t="s">
        <v>6846</v>
      </c>
      <c r="D5995"/>
      <c r="E5995" s="117">
        <v>719.49152542372883</v>
      </c>
    </row>
    <row r="5996" spans="1:5" x14ac:dyDescent="0.25">
      <c r="A5996" s="119" t="s">
        <v>7030</v>
      </c>
      <c r="B5996" s="119" t="s">
        <v>7031</v>
      </c>
      <c r="C5996" s="121" t="s">
        <v>6846</v>
      </c>
      <c r="D5996"/>
      <c r="E5996" s="117">
        <v>634.74576271186447</v>
      </c>
    </row>
    <row r="5997" spans="1:5" x14ac:dyDescent="0.25">
      <c r="A5997" s="119" t="s">
        <v>7032</v>
      </c>
      <c r="B5997" s="119" t="s">
        <v>7033</v>
      </c>
      <c r="C5997" s="121" t="s">
        <v>6846</v>
      </c>
      <c r="D5997"/>
      <c r="E5997" s="117">
        <v>719.49152542372883</v>
      </c>
    </row>
    <row r="5998" spans="1:5" x14ac:dyDescent="0.25">
      <c r="A5998" s="119" t="s">
        <v>7034</v>
      </c>
      <c r="B5998" s="119" t="s">
        <v>7035</v>
      </c>
      <c r="C5998" s="121" t="s">
        <v>6846</v>
      </c>
      <c r="D5998"/>
      <c r="E5998" s="117">
        <v>677.11864406779659</v>
      </c>
    </row>
    <row r="5999" spans="1:5" x14ac:dyDescent="0.25">
      <c r="A5999" s="119" t="s">
        <v>7036</v>
      </c>
      <c r="B5999" s="119" t="s">
        <v>7037</v>
      </c>
      <c r="C5999" s="121" t="s">
        <v>6846</v>
      </c>
      <c r="D5999"/>
      <c r="E5999" s="117">
        <v>761.86440677966107</v>
      </c>
    </row>
    <row r="6000" spans="1:5" x14ac:dyDescent="0.25">
      <c r="A6000" s="119" t="s">
        <v>7038</v>
      </c>
      <c r="B6000" s="119" t="s">
        <v>7039</v>
      </c>
      <c r="C6000" s="121" t="s">
        <v>6846</v>
      </c>
      <c r="D6000"/>
      <c r="E6000" s="117">
        <v>677.11864406779659</v>
      </c>
    </row>
    <row r="6001" spans="1:5" x14ac:dyDescent="0.25">
      <c r="A6001" s="119" t="s">
        <v>7040</v>
      </c>
      <c r="B6001" s="119" t="s">
        <v>7041</v>
      </c>
      <c r="C6001" s="121" t="s">
        <v>6846</v>
      </c>
      <c r="D6001"/>
      <c r="E6001" s="117">
        <v>761.86440677966107</v>
      </c>
    </row>
    <row r="6002" spans="1:5" x14ac:dyDescent="0.25">
      <c r="A6002" s="119" t="s">
        <v>7042</v>
      </c>
      <c r="B6002" s="119" t="s">
        <v>7043</v>
      </c>
      <c r="C6002" s="121" t="s">
        <v>6846</v>
      </c>
      <c r="D6002"/>
      <c r="E6002" s="117">
        <v>1100.8474576271187</v>
      </c>
    </row>
    <row r="6003" spans="1:5" x14ac:dyDescent="0.25">
      <c r="A6003" s="119" t="s">
        <v>7044</v>
      </c>
      <c r="B6003" s="119" t="s">
        <v>7045</v>
      </c>
      <c r="C6003" s="121" t="s">
        <v>6846</v>
      </c>
      <c r="D6003"/>
      <c r="E6003" s="117">
        <v>1185.5932203389832</v>
      </c>
    </row>
    <row r="6004" spans="1:5" x14ac:dyDescent="0.25">
      <c r="A6004" s="119" t="s">
        <v>7046</v>
      </c>
      <c r="B6004" s="119" t="s">
        <v>7047</v>
      </c>
      <c r="C6004" s="121" t="s">
        <v>6846</v>
      </c>
      <c r="D6004"/>
      <c r="E6004" s="117">
        <v>1100.8474576271187</v>
      </c>
    </row>
    <row r="6005" spans="1:5" x14ac:dyDescent="0.25">
      <c r="A6005" s="119" t="s">
        <v>7048</v>
      </c>
      <c r="B6005" s="119" t="s">
        <v>7049</v>
      </c>
      <c r="C6005" s="121" t="s">
        <v>6846</v>
      </c>
      <c r="D6005"/>
      <c r="E6005" s="117">
        <v>1185.5932203389832</v>
      </c>
    </row>
    <row r="6006" spans="1:5" x14ac:dyDescent="0.25">
      <c r="A6006" s="119" t="s">
        <v>7050</v>
      </c>
      <c r="B6006" s="119" t="s">
        <v>7051</v>
      </c>
      <c r="C6006" s="121" t="s">
        <v>6846</v>
      </c>
      <c r="D6006"/>
      <c r="E6006" s="117">
        <v>1100.8474576271187</v>
      </c>
    </row>
    <row r="6007" spans="1:5" x14ac:dyDescent="0.25">
      <c r="A6007" s="119" t="s">
        <v>7052</v>
      </c>
      <c r="B6007" s="119" t="s">
        <v>7053</v>
      </c>
      <c r="C6007" s="121" t="s">
        <v>6846</v>
      </c>
      <c r="D6007"/>
      <c r="E6007" s="117">
        <v>1185.5932203389832</v>
      </c>
    </row>
    <row r="6008" spans="1:5" x14ac:dyDescent="0.25">
      <c r="A6008" s="119" t="s">
        <v>7054</v>
      </c>
      <c r="B6008" s="119" t="s">
        <v>7055</v>
      </c>
      <c r="C6008" s="121" t="s">
        <v>6846</v>
      </c>
      <c r="D6008"/>
      <c r="E6008" s="117">
        <v>1439.8305084745766</v>
      </c>
    </row>
    <row r="6009" spans="1:5" x14ac:dyDescent="0.25">
      <c r="A6009" s="119" t="s">
        <v>7056</v>
      </c>
      <c r="B6009" s="119" t="s">
        <v>7057</v>
      </c>
      <c r="C6009" s="121" t="s">
        <v>6846</v>
      </c>
      <c r="D6009"/>
      <c r="E6009" s="117">
        <v>1948.3050847457628</v>
      </c>
    </row>
    <row r="6010" spans="1:5" x14ac:dyDescent="0.25">
      <c r="A6010" s="119" t="s">
        <v>7058</v>
      </c>
      <c r="B6010" s="119" t="s">
        <v>7059</v>
      </c>
      <c r="C6010" s="121" t="s">
        <v>6846</v>
      </c>
      <c r="D6010"/>
      <c r="E6010" s="117">
        <v>2287.2881355932204</v>
      </c>
    </row>
    <row r="6011" spans="1:5" x14ac:dyDescent="0.25">
      <c r="A6011" s="119" t="s">
        <v>7060</v>
      </c>
      <c r="B6011" s="119" t="s">
        <v>7061</v>
      </c>
      <c r="C6011" s="121" t="s">
        <v>6846</v>
      </c>
      <c r="D6011"/>
      <c r="E6011" s="117">
        <v>1948.3050847457628</v>
      </c>
    </row>
    <row r="6012" spans="1:5" x14ac:dyDescent="0.25">
      <c r="A6012" s="119" t="s">
        <v>7062</v>
      </c>
      <c r="B6012" s="119" t="s">
        <v>7063</v>
      </c>
      <c r="C6012" s="121" t="s">
        <v>6846</v>
      </c>
      <c r="D6012"/>
      <c r="E6012" s="117">
        <v>2287.2881355932204</v>
      </c>
    </row>
    <row r="6013" spans="1:5" x14ac:dyDescent="0.25">
      <c r="A6013" s="119" t="s">
        <v>7064</v>
      </c>
      <c r="B6013" s="119" t="s">
        <v>7065</v>
      </c>
      <c r="C6013" s="121" t="s">
        <v>6846</v>
      </c>
      <c r="D6013"/>
      <c r="E6013" s="117">
        <v>2202.5423728813562</v>
      </c>
    </row>
    <row r="6014" spans="1:5" x14ac:dyDescent="0.25">
      <c r="A6014" s="119" t="s">
        <v>7066</v>
      </c>
      <c r="B6014" s="119" t="s">
        <v>7067</v>
      </c>
      <c r="C6014" s="121" t="s">
        <v>6846</v>
      </c>
      <c r="D6014"/>
      <c r="E6014" s="117">
        <v>2541.5254237288136</v>
      </c>
    </row>
    <row r="6015" spans="1:5" x14ac:dyDescent="0.25">
      <c r="A6015" s="119" t="s">
        <v>7068</v>
      </c>
      <c r="B6015" s="119" t="s">
        <v>7069</v>
      </c>
      <c r="C6015" s="121" t="s">
        <v>6846</v>
      </c>
      <c r="D6015"/>
      <c r="E6015" s="117">
        <v>2202.5423728813562</v>
      </c>
    </row>
    <row r="6016" spans="1:5" x14ac:dyDescent="0.25">
      <c r="A6016" s="119" t="s">
        <v>7070</v>
      </c>
      <c r="B6016" s="119" t="s">
        <v>7071</v>
      </c>
      <c r="C6016" s="121" t="s">
        <v>6846</v>
      </c>
      <c r="D6016"/>
      <c r="E6016" s="117">
        <v>2541.5254237288136</v>
      </c>
    </row>
    <row r="6017" spans="1:5" x14ac:dyDescent="0.25">
      <c r="A6017" s="119" t="s">
        <v>7072</v>
      </c>
      <c r="B6017" s="119" t="s">
        <v>7073</v>
      </c>
      <c r="C6017" s="121" t="s">
        <v>6846</v>
      </c>
      <c r="D6017"/>
      <c r="E6017" s="117">
        <v>2202.5423728813562</v>
      </c>
    </row>
    <row r="6018" spans="1:5" x14ac:dyDescent="0.25">
      <c r="A6018" s="119" t="s">
        <v>7074</v>
      </c>
      <c r="B6018" s="119" t="s">
        <v>7075</v>
      </c>
      <c r="C6018" s="121" t="s">
        <v>6846</v>
      </c>
      <c r="D6018"/>
      <c r="E6018" s="117">
        <v>592.37288135593224</v>
      </c>
    </row>
    <row r="6019" spans="1:5" x14ac:dyDescent="0.25">
      <c r="A6019" s="119" t="s">
        <v>7076</v>
      </c>
      <c r="B6019" s="119" t="s">
        <v>7077</v>
      </c>
      <c r="C6019" s="121" t="s">
        <v>6846</v>
      </c>
      <c r="D6019"/>
      <c r="E6019" s="117">
        <v>677.11864406779659</v>
      </c>
    </row>
    <row r="6020" spans="1:5" x14ac:dyDescent="0.25">
      <c r="A6020" s="119" t="s">
        <v>11900</v>
      </c>
      <c r="B6020" s="119" t="s">
        <v>11901</v>
      </c>
      <c r="C6020" s="121" t="s">
        <v>6846</v>
      </c>
      <c r="D6020"/>
      <c r="E6020" s="117">
        <v>1694.0677966101696</v>
      </c>
    </row>
    <row r="6021" spans="1:5" x14ac:dyDescent="0.25">
      <c r="A6021" s="119" t="s">
        <v>11902</v>
      </c>
      <c r="B6021" s="119" t="s">
        <v>11903</v>
      </c>
      <c r="C6021" s="121" t="s">
        <v>6846</v>
      </c>
      <c r="D6021"/>
      <c r="E6021" s="117">
        <v>2033.0508474576272</v>
      </c>
    </row>
    <row r="6022" spans="1:5" x14ac:dyDescent="0.25">
      <c r="A6022" s="119" t="s">
        <v>7078</v>
      </c>
      <c r="B6022" s="119" t="s">
        <v>7079</v>
      </c>
      <c r="C6022" s="121" t="s">
        <v>6846</v>
      </c>
      <c r="D6022"/>
      <c r="E6022" s="117">
        <v>761.86440677966107</v>
      </c>
    </row>
    <row r="6023" spans="1:5" x14ac:dyDescent="0.25">
      <c r="A6023" s="119" t="s">
        <v>7080</v>
      </c>
      <c r="B6023" s="119" t="s">
        <v>7081</v>
      </c>
      <c r="C6023" s="121" t="s">
        <v>6846</v>
      </c>
      <c r="D6023"/>
      <c r="E6023" s="117">
        <v>846.61016949152543</v>
      </c>
    </row>
    <row r="6024" spans="1:5" x14ac:dyDescent="0.25">
      <c r="A6024" s="119" t="s">
        <v>7082</v>
      </c>
      <c r="B6024" s="119" t="s">
        <v>7083</v>
      </c>
      <c r="C6024" s="121" t="s">
        <v>6846</v>
      </c>
      <c r="D6024"/>
      <c r="E6024" s="117">
        <v>931.3559322033899</v>
      </c>
    </row>
    <row r="6025" spans="1:5" x14ac:dyDescent="0.25">
      <c r="A6025" s="119" t="s">
        <v>7084</v>
      </c>
      <c r="B6025" s="119" t="s">
        <v>7085</v>
      </c>
      <c r="C6025" s="121" t="s">
        <v>6846</v>
      </c>
      <c r="D6025"/>
      <c r="E6025" s="117">
        <v>1016.1016949152543</v>
      </c>
    </row>
    <row r="6026" spans="1:5" x14ac:dyDescent="0.25">
      <c r="A6026" s="119" t="s">
        <v>7086</v>
      </c>
      <c r="B6026" s="119" t="s">
        <v>7087</v>
      </c>
      <c r="C6026" s="121" t="s">
        <v>6846</v>
      </c>
      <c r="D6026"/>
      <c r="E6026" s="117">
        <v>2541.5254237288136</v>
      </c>
    </row>
    <row r="6027" spans="1:5" x14ac:dyDescent="0.25">
      <c r="A6027" s="119" t="s">
        <v>7088</v>
      </c>
      <c r="B6027" s="119" t="s">
        <v>7089</v>
      </c>
      <c r="C6027" s="121" t="s">
        <v>6846</v>
      </c>
      <c r="D6027"/>
      <c r="E6027" s="117">
        <v>2880.5084745762715</v>
      </c>
    </row>
    <row r="6028" spans="1:5" x14ac:dyDescent="0.25">
      <c r="A6028" s="119" t="s">
        <v>7090</v>
      </c>
      <c r="B6028" s="119" t="s">
        <v>7091</v>
      </c>
      <c r="C6028" s="121" t="s">
        <v>6846</v>
      </c>
      <c r="D6028"/>
      <c r="E6028" s="117">
        <v>2880.5084745762715</v>
      </c>
    </row>
    <row r="6029" spans="1:5" x14ac:dyDescent="0.25">
      <c r="A6029" s="119" t="s">
        <v>7092</v>
      </c>
      <c r="B6029" s="119" t="s">
        <v>7093</v>
      </c>
      <c r="C6029" s="121" t="s">
        <v>6846</v>
      </c>
      <c r="D6029"/>
      <c r="E6029" s="117">
        <v>3134.7457627118652</v>
      </c>
    </row>
    <row r="6030" spans="1:5" x14ac:dyDescent="0.25">
      <c r="A6030" s="119" t="s">
        <v>7094</v>
      </c>
      <c r="B6030" s="119" t="s">
        <v>7095</v>
      </c>
      <c r="C6030" s="121" t="s">
        <v>6846</v>
      </c>
      <c r="D6030"/>
      <c r="E6030" s="117">
        <v>3134.7457627118652</v>
      </c>
    </row>
    <row r="6031" spans="1:5" x14ac:dyDescent="0.25">
      <c r="A6031" s="119" t="s">
        <v>7096</v>
      </c>
      <c r="B6031" s="119" t="s">
        <v>7097</v>
      </c>
      <c r="C6031" s="121" t="s">
        <v>6846</v>
      </c>
      <c r="D6031"/>
      <c r="E6031" s="117">
        <v>3388.9830508474579</v>
      </c>
    </row>
    <row r="6032" spans="1:5" x14ac:dyDescent="0.25">
      <c r="A6032" s="119" t="s">
        <v>7098</v>
      </c>
      <c r="B6032" s="119" t="s">
        <v>7099</v>
      </c>
      <c r="C6032" s="121" t="s">
        <v>6846</v>
      </c>
      <c r="D6032"/>
      <c r="E6032" s="117">
        <v>4405.9322033898306</v>
      </c>
    </row>
    <row r="6033" spans="1:5" x14ac:dyDescent="0.25">
      <c r="A6033" s="119" t="s">
        <v>7100</v>
      </c>
      <c r="B6033" s="119" t="s">
        <v>7101</v>
      </c>
      <c r="C6033" s="121" t="s">
        <v>6846</v>
      </c>
      <c r="D6033"/>
      <c r="E6033" s="117">
        <v>4744.9152542372885</v>
      </c>
    </row>
    <row r="6034" spans="1:5" x14ac:dyDescent="0.25">
      <c r="A6034" s="119" t="s">
        <v>7102</v>
      </c>
      <c r="B6034" s="119" t="s">
        <v>7103</v>
      </c>
      <c r="C6034" s="121" t="s">
        <v>6846</v>
      </c>
      <c r="D6034"/>
      <c r="E6034" s="117">
        <v>2541.5254237288136</v>
      </c>
    </row>
    <row r="6035" spans="1:5" x14ac:dyDescent="0.25">
      <c r="A6035" s="119" t="s">
        <v>7104</v>
      </c>
      <c r="B6035" s="119" t="s">
        <v>7105</v>
      </c>
      <c r="C6035" s="121" t="s">
        <v>6846</v>
      </c>
      <c r="D6035"/>
      <c r="E6035" s="117">
        <v>2711.0169491525426</v>
      </c>
    </row>
    <row r="6036" spans="1:5" x14ac:dyDescent="0.25">
      <c r="A6036" s="119" t="s">
        <v>7106</v>
      </c>
      <c r="B6036" s="119" t="s">
        <v>7107</v>
      </c>
      <c r="C6036" s="121" t="s">
        <v>6846</v>
      </c>
      <c r="D6036"/>
      <c r="E6036" s="117">
        <v>3050</v>
      </c>
    </row>
    <row r="6037" spans="1:5" x14ac:dyDescent="0.25">
      <c r="A6037" s="119" t="s">
        <v>7108</v>
      </c>
      <c r="B6037" s="119" t="s">
        <v>7109</v>
      </c>
      <c r="C6037" s="121" t="s">
        <v>6846</v>
      </c>
      <c r="D6037"/>
      <c r="E6037" s="117">
        <v>4236.4406779661022</v>
      </c>
    </row>
    <row r="6038" spans="1:5" x14ac:dyDescent="0.25">
      <c r="A6038" s="119" t="s">
        <v>7110</v>
      </c>
      <c r="B6038" s="119" t="s">
        <v>7111</v>
      </c>
      <c r="C6038" s="121" t="s">
        <v>6846</v>
      </c>
      <c r="D6038"/>
      <c r="E6038" s="117">
        <v>6778.8135593220341</v>
      </c>
    </row>
    <row r="6039" spans="1:5" x14ac:dyDescent="0.25">
      <c r="A6039" s="116" t="s">
        <v>7112</v>
      </c>
      <c r="B6039" s="119" t="s">
        <v>7113</v>
      </c>
      <c r="C6039" s="116" t="s">
        <v>6846</v>
      </c>
      <c r="D6039"/>
      <c r="E6039" s="117">
        <v>7202.5423728813566</v>
      </c>
    </row>
    <row r="6040" spans="1:5" x14ac:dyDescent="0.25">
      <c r="A6040" s="116" t="s">
        <v>7114</v>
      </c>
      <c r="B6040" s="119" t="s">
        <v>7115</v>
      </c>
      <c r="C6040" s="116" t="s">
        <v>6846</v>
      </c>
      <c r="D6040"/>
      <c r="E6040" s="117">
        <v>7626.2711864406783</v>
      </c>
    </row>
    <row r="6041" spans="1:5" x14ac:dyDescent="0.25">
      <c r="A6041" s="116" t="s">
        <v>7116</v>
      </c>
      <c r="B6041" s="119" t="s">
        <v>7117</v>
      </c>
      <c r="C6041" s="116" t="s">
        <v>6846</v>
      </c>
      <c r="D6041"/>
      <c r="E6041" s="117">
        <v>2541.5254237288136</v>
      </c>
    </row>
    <row r="6042" spans="1:5" x14ac:dyDescent="0.25">
      <c r="A6042" s="116" t="s">
        <v>7118</v>
      </c>
      <c r="B6042" s="119" t="s">
        <v>7119</v>
      </c>
      <c r="C6042" s="116" t="s">
        <v>6846</v>
      </c>
      <c r="D6042"/>
      <c r="E6042" s="117">
        <v>2795.7627118644064</v>
      </c>
    </row>
    <row r="6043" spans="1:5" x14ac:dyDescent="0.25">
      <c r="A6043" s="116" t="s">
        <v>12244</v>
      </c>
      <c r="B6043" s="119" t="s">
        <v>12245</v>
      </c>
      <c r="C6043" s="116" t="s">
        <v>6846</v>
      </c>
      <c r="D6043"/>
      <c r="E6043" s="117">
        <v>915.25423728813576</v>
      </c>
    </row>
    <row r="6044" spans="1:5" x14ac:dyDescent="0.25">
      <c r="A6044" s="116" t="s">
        <v>12141</v>
      </c>
      <c r="B6044" s="119" t="s">
        <v>12142</v>
      </c>
      <c r="C6044" s="116" t="s">
        <v>6846</v>
      </c>
      <c r="D6044"/>
      <c r="E6044" s="117">
        <v>915.25423728813576</v>
      </c>
    </row>
    <row r="6045" spans="1:5" x14ac:dyDescent="0.25">
      <c r="A6045" s="116" t="s">
        <v>12246</v>
      </c>
      <c r="B6045" s="119" t="s">
        <v>12247</v>
      </c>
      <c r="C6045" s="116" t="s">
        <v>6846</v>
      </c>
      <c r="D6045"/>
      <c r="E6045" s="117">
        <v>915.25423728813576</v>
      </c>
    </row>
    <row r="6046" spans="1:5" x14ac:dyDescent="0.25">
      <c r="A6046" s="116" t="s">
        <v>12248</v>
      </c>
      <c r="B6046" s="119" t="s">
        <v>12249</v>
      </c>
      <c r="C6046" s="116" t="s">
        <v>6846</v>
      </c>
      <c r="D6046"/>
      <c r="E6046" s="117">
        <v>915.25423728813576</v>
      </c>
    </row>
    <row r="6047" spans="1:5" x14ac:dyDescent="0.25">
      <c r="A6047" s="116" t="s">
        <v>12250</v>
      </c>
      <c r="B6047" s="119" t="s">
        <v>12251</v>
      </c>
      <c r="C6047" s="116" t="s">
        <v>6846</v>
      </c>
      <c r="D6047"/>
      <c r="E6047" s="117">
        <v>1059.3220338983051</v>
      </c>
    </row>
    <row r="6048" spans="1:5" x14ac:dyDescent="0.25">
      <c r="A6048" s="116" t="s">
        <v>12252</v>
      </c>
      <c r="B6048" s="119" t="s">
        <v>12253</v>
      </c>
      <c r="C6048" s="116" t="s">
        <v>6846</v>
      </c>
      <c r="D6048"/>
      <c r="E6048" s="117">
        <v>1059.3220338983051</v>
      </c>
    </row>
    <row r="6049" spans="1:5" x14ac:dyDescent="0.25">
      <c r="A6049" s="116" t="s">
        <v>12254</v>
      </c>
      <c r="B6049" s="119" t="s">
        <v>12255</v>
      </c>
      <c r="C6049" s="116" t="s">
        <v>6846</v>
      </c>
      <c r="D6049"/>
      <c r="E6049" s="117">
        <v>677.11864406779659</v>
      </c>
    </row>
    <row r="6050" spans="1:5" x14ac:dyDescent="0.25">
      <c r="A6050" s="116" t="s">
        <v>12256</v>
      </c>
      <c r="B6050" s="119" t="s">
        <v>12257</v>
      </c>
      <c r="C6050" s="116" t="s">
        <v>6846</v>
      </c>
      <c r="D6050"/>
      <c r="E6050" s="117">
        <v>592.37288135593224</v>
      </c>
    </row>
    <row r="6051" spans="1:5" x14ac:dyDescent="0.25">
      <c r="A6051" s="116" t="s">
        <v>12143</v>
      </c>
      <c r="B6051" s="119" t="s">
        <v>12144</v>
      </c>
      <c r="C6051" s="116" t="s">
        <v>6846</v>
      </c>
      <c r="D6051"/>
      <c r="E6051" s="117">
        <v>1439.8305084745766</v>
      </c>
    </row>
    <row r="6052" spans="1:5" x14ac:dyDescent="0.25">
      <c r="A6052" s="116" t="s">
        <v>12258</v>
      </c>
      <c r="B6052" s="119" t="s">
        <v>12259</v>
      </c>
      <c r="C6052" s="116" t="s">
        <v>6846</v>
      </c>
      <c r="D6052"/>
      <c r="E6052" s="117">
        <v>507.62711864406788</v>
      </c>
    </row>
    <row r="6053" spans="1:5" x14ac:dyDescent="0.25">
      <c r="A6053" s="116" t="s">
        <v>12260</v>
      </c>
      <c r="B6053" s="119" t="s">
        <v>12261</v>
      </c>
      <c r="C6053" s="116" t="s">
        <v>6846</v>
      </c>
      <c r="D6053"/>
      <c r="E6053" s="117">
        <v>940.67796610169501</v>
      </c>
    </row>
    <row r="6054" spans="1:5" x14ac:dyDescent="0.25">
      <c r="A6054" s="116" t="s">
        <v>12262</v>
      </c>
      <c r="B6054" s="119" t="s">
        <v>12263</v>
      </c>
      <c r="C6054" s="116" t="s">
        <v>6846</v>
      </c>
      <c r="D6054"/>
      <c r="E6054" s="117">
        <v>956.77966101694926</v>
      </c>
    </row>
    <row r="6055" spans="1:5" x14ac:dyDescent="0.25">
      <c r="A6055" s="116" t="s">
        <v>12264</v>
      </c>
      <c r="B6055" s="119" t="s">
        <v>12265</v>
      </c>
      <c r="C6055" s="116" t="s">
        <v>6846</v>
      </c>
      <c r="D6055"/>
      <c r="E6055" s="117">
        <v>2033.0508474576272</v>
      </c>
    </row>
    <row r="6056" spans="1:5" x14ac:dyDescent="0.25">
      <c r="A6056" s="116" t="s">
        <v>12266</v>
      </c>
      <c r="B6056" s="119" t="s">
        <v>12267</v>
      </c>
      <c r="C6056" s="116" t="s">
        <v>6846</v>
      </c>
      <c r="D6056"/>
      <c r="E6056" s="117">
        <v>617.7966101694916</v>
      </c>
    </row>
    <row r="6057" spans="1:5" x14ac:dyDescent="0.25">
      <c r="A6057" s="116" t="s">
        <v>12268</v>
      </c>
      <c r="B6057" s="119" t="s">
        <v>12269</v>
      </c>
      <c r="C6057" s="116" t="s">
        <v>6846</v>
      </c>
      <c r="D6057"/>
      <c r="E6057" s="117">
        <v>1016.1016949152543</v>
      </c>
    </row>
    <row r="6058" spans="1:5" x14ac:dyDescent="0.25">
      <c r="A6058" s="116" t="s">
        <v>12270</v>
      </c>
      <c r="B6058" s="119" t="s">
        <v>12145</v>
      </c>
      <c r="C6058" s="116" t="s">
        <v>6846</v>
      </c>
      <c r="D6058"/>
      <c r="E6058" s="117">
        <v>719.49152542372883</v>
      </c>
    </row>
    <row r="6059" spans="1:5" x14ac:dyDescent="0.25">
      <c r="A6059" s="116" t="s">
        <v>12146</v>
      </c>
      <c r="B6059" s="119" t="s">
        <v>12147</v>
      </c>
      <c r="C6059" s="116" t="s">
        <v>6846</v>
      </c>
      <c r="D6059"/>
      <c r="E6059" s="117">
        <v>846.61016949152543</v>
      </c>
    </row>
    <row r="6060" spans="1:5" x14ac:dyDescent="0.25">
      <c r="A6060" s="116" t="s">
        <v>11929</v>
      </c>
      <c r="B6060" s="119" t="s">
        <v>11930</v>
      </c>
      <c r="C6060" s="116" t="s">
        <v>6846</v>
      </c>
      <c r="D6060"/>
      <c r="E6060" s="117">
        <v>932.20338983050851</v>
      </c>
    </row>
    <row r="6061" spans="1:5" x14ac:dyDescent="0.25">
      <c r="A6061" s="116" t="s">
        <v>7910</v>
      </c>
      <c r="B6061" s="119" t="s">
        <v>7911</v>
      </c>
      <c r="C6061" s="116" t="s">
        <v>6846</v>
      </c>
      <c r="D6061"/>
      <c r="E6061" s="117">
        <v>448.30508474576271</v>
      </c>
    </row>
    <row r="6062" spans="1:5" x14ac:dyDescent="0.25">
      <c r="A6062" s="116" t="s">
        <v>12271</v>
      </c>
      <c r="B6062" s="116" t="s">
        <v>12272</v>
      </c>
      <c r="C6062" s="116" t="s">
        <v>6846</v>
      </c>
      <c r="D6062"/>
      <c r="E6062" s="117">
        <v>846.61016949152543</v>
      </c>
    </row>
    <row r="6063" spans="1:5" x14ac:dyDescent="0.25">
      <c r="A6063" s="116" t="s">
        <v>12273</v>
      </c>
      <c r="B6063" s="116" t="s">
        <v>12274</v>
      </c>
      <c r="C6063" s="116" t="s">
        <v>6846</v>
      </c>
      <c r="D6063"/>
      <c r="E6063" s="117">
        <v>346.61016949152543</v>
      </c>
    </row>
    <row r="6064" spans="1:5" x14ac:dyDescent="0.25">
      <c r="A6064" s="116" t="s">
        <v>12275</v>
      </c>
      <c r="B6064" s="116" t="s">
        <v>12276</v>
      </c>
      <c r="C6064" s="116" t="s">
        <v>6846</v>
      </c>
      <c r="D6064"/>
      <c r="E6064" s="117">
        <v>948.30508474576277</v>
      </c>
    </row>
    <row r="6065" spans="1:5" x14ac:dyDescent="0.25">
      <c r="A6065" s="116" t="s">
        <v>12148</v>
      </c>
      <c r="B6065" s="116" t="s">
        <v>12149</v>
      </c>
      <c r="C6065" s="116" t="s">
        <v>6846</v>
      </c>
      <c r="D6065"/>
      <c r="E6065" s="117">
        <v>321.18644067796612</v>
      </c>
    </row>
    <row r="6066" spans="1:5" x14ac:dyDescent="0.25">
      <c r="A6066" s="116" t="s">
        <v>12277</v>
      </c>
      <c r="B6066" s="116" t="s">
        <v>12278</v>
      </c>
      <c r="C6066" s="116" t="s">
        <v>6846</v>
      </c>
      <c r="D6066"/>
      <c r="E6066" s="117">
        <v>2117.7966101694915</v>
      </c>
    </row>
    <row r="6067" spans="1:5" x14ac:dyDescent="0.25">
      <c r="A6067" s="116" t="s">
        <v>12279</v>
      </c>
      <c r="B6067" s="116" t="s">
        <v>12280</v>
      </c>
      <c r="C6067" s="116" t="s">
        <v>6846</v>
      </c>
      <c r="D6067"/>
      <c r="E6067" s="117">
        <v>2329.6610169491528</v>
      </c>
    </row>
    <row r="6068" spans="1:5" x14ac:dyDescent="0.25">
      <c r="A6068" s="116" t="s">
        <v>12150</v>
      </c>
      <c r="B6068" s="116" t="s">
        <v>12151</v>
      </c>
      <c r="C6068" s="116" t="s">
        <v>6846</v>
      </c>
      <c r="D6068"/>
      <c r="E6068" s="117">
        <v>1482.2033898305085</v>
      </c>
    </row>
    <row r="6069" spans="1:5" x14ac:dyDescent="0.25">
      <c r="A6069" s="116" t="s">
        <v>12281</v>
      </c>
      <c r="B6069" s="116" t="s">
        <v>12282</v>
      </c>
      <c r="C6069" s="116" t="s">
        <v>6846</v>
      </c>
      <c r="D6069"/>
      <c r="E6069" s="117">
        <v>3388.9830508474579</v>
      </c>
    </row>
    <row r="6070" spans="1:5" x14ac:dyDescent="0.25">
      <c r="A6070" s="116" t="s">
        <v>12283</v>
      </c>
      <c r="B6070" s="116" t="s">
        <v>12284</v>
      </c>
      <c r="C6070" s="116" t="s">
        <v>6846</v>
      </c>
      <c r="D6070"/>
      <c r="E6070" s="117">
        <v>3388.9830508474579</v>
      </c>
    </row>
    <row r="6071" spans="1:5" x14ac:dyDescent="0.25">
      <c r="A6071" s="116" t="s">
        <v>12285</v>
      </c>
      <c r="B6071" s="116" t="s">
        <v>12286</v>
      </c>
      <c r="C6071" s="116" t="s">
        <v>6846</v>
      </c>
      <c r="D6071"/>
      <c r="E6071" s="117">
        <v>2312.7118644067796</v>
      </c>
    </row>
    <row r="6072" spans="1:5" x14ac:dyDescent="0.25">
      <c r="A6072" s="116" t="s">
        <v>12287</v>
      </c>
      <c r="B6072" s="116" t="s">
        <v>12288</v>
      </c>
      <c r="C6072" s="116" t="s">
        <v>6846</v>
      </c>
      <c r="D6072"/>
      <c r="E6072" s="117">
        <v>1439.8305084745766</v>
      </c>
    </row>
    <row r="6073" spans="1:5" x14ac:dyDescent="0.25">
      <c r="A6073" s="116" t="s">
        <v>12289</v>
      </c>
      <c r="B6073" s="116" t="s">
        <v>12290</v>
      </c>
      <c r="C6073" s="116" t="s">
        <v>6846</v>
      </c>
      <c r="D6073"/>
      <c r="E6073" s="117">
        <v>4236.4406779661022</v>
      </c>
    </row>
    <row r="6074" spans="1:5" x14ac:dyDescent="0.25">
      <c r="A6074" s="116" t="s">
        <v>12291</v>
      </c>
      <c r="B6074" s="116" t="s">
        <v>12292</v>
      </c>
      <c r="C6074" s="116" t="s">
        <v>6846</v>
      </c>
      <c r="D6074"/>
      <c r="E6074" s="117">
        <v>1948.3050847457628</v>
      </c>
    </row>
    <row r="6075" spans="1:5" x14ac:dyDescent="0.25">
      <c r="A6075" s="116" t="s">
        <v>12152</v>
      </c>
      <c r="B6075" s="116" t="s">
        <v>12153</v>
      </c>
      <c r="C6075" s="116" t="s">
        <v>6846</v>
      </c>
      <c r="D6075"/>
      <c r="E6075" s="117">
        <v>3270.3389830508477</v>
      </c>
    </row>
    <row r="6076" spans="1:5" x14ac:dyDescent="0.25">
      <c r="A6076" s="116" t="s">
        <v>12293</v>
      </c>
      <c r="B6076" s="116" t="s">
        <v>12294</v>
      </c>
      <c r="C6076" s="116" t="s">
        <v>6846</v>
      </c>
      <c r="D6076"/>
      <c r="E6076" s="117">
        <v>2372.0338983050847</v>
      </c>
    </row>
    <row r="6077" spans="1:5" x14ac:dyDescent="0.25">
      <c r="A6077" s="116" t="s">
        <v>12295</v>
      </c>
      <c r="B6077" s="116" t="s">
        <v>12296</v>
      </c>
      <c r="C6077" s="116" t="s">
        <v>6846</v>
      </c>
      <c r="D6077"/>
      <c r="E6077" s="117">
        <v>2329.6610169491528</v>
      </c>
    </row>
    <row r="6078" spans="1:5" x14ac:dyDescent="0.25">
      <c r="A6078" s="116" t="s">
        <v>12297</v>
      </c>
      <c r="B6078" s="116" t="s">
        <v>12298</v>
      </c>
      <c r="C6078" s="116" t="s">
        <v>6846</v>
      </c>
      <c r="D6078"/>
      <c r="E6078" s="117">
        <v>5550</v>
      </c>
    </row>
    <row r="6079" spans="1:5" x14ac:dyDescent="0.25">
      <c r="A6079" s="116" t="s">
        <v>12154</v>
      </c>
      <c r="B6079" s="116" t="s">
        <v>12155</v>
      </c>
      <c r="C6079" s="116" t="s">
        <v>6846</v>
      </c>
      <c r="D6079"/>
      <c r="E6079" s="117">
        <v>592.37288135593224</v>
      </c>
    </row>
    <row r="6080" spans="1:5" x14ac:dyDescent="0.25">
      <c r="A6080" s="116" t="s">
        <v>12156</v>
      </c>
      <c r="B6080" s="116" t="s">
        <v>12157</v>
      </c>
      <c r="C6080" s="116" t="s">
        <v>6846</v>
      </c>
      <c r="D6080"/>
      <c r="E6080" s="117">
        <v>1100.8474576271187</v>
      </c>
    </row>
    <row r="6081" spans="1:5" x14ac:dyDescent="0.25">
      <c r="A6081" s="116" t="s">
        <v>12158</v>
      </c>
      <c r="B6081" s="116" t="s">
        <v>12159</v>
      </c>
      <c r="C6081" s="116" t="s">
        <v>6846</v>
      </c>
      <c r="D6081"/>
      <c r="E6081" s="117">
        <v>3050</v>
      </c>
    </row>
    <row r="6082" spans="1:5" x14ac:dyDescent="0.25">
      <c r="A6082" s="116" t="s">
        <v>7942</v>
      </c>
      <c r="B6082" s="116" t="s">
        <v>7943</v>
      </c>
      <c r="C6082" s="116" t="s">
        <v>6846</v>
      </c>
      <c r="D6082"/>
      <c r="E6082" s="117">
        <v>2287.2881355932204</v>
      </c>
    </row>
    <row r="6083" spans="1:5" x14ac:dyDescent="0.25">
      <c r="A6083" s="116" t="s">
        <v>12160</v>
      </c>
      <c r="B6083" s="116" t="s">
        <v>12161</v>
      </c>
      <c r="C6083" s="116" t="s">
        <v>6846</v>
      </c>
      <c r="D6083"/>
      <c r="E6083" s="117">
        <v>507.62711864406788</v>
      </c>
    </row>
    <row r="6084" spans="1:5" x14ac:dyDescent="0.25">
      <c r="A6084" s="116" t="s">
        <v>12299</v>
      </c>
      <c r="B6084" s="116" t="s">
        <v>12162</v>
      </c>
      <c r="C6084" s="116" t="s">
        <v>6846</v>
      </c>
      <c r="D6084"/>
      <c r="E6084" s="117">
        <v>507.62711864406788</v>
      </c>
    </row>
    <row r="6085" spans="1:5" x14ac:dyDescent="0.25">
      <c r="A6085" s="116" t="s">
        <v>12300</v>
      </c>
      <c r="B6085" s="116" t="s">
        <v>12301</v>
      </c>
      <c r="C6085" s="116" t="s">
        <v>6846</v>
      </c>
      <c r="D6085"/>
      <c r="E6085" s="117">
        <v>507.62711864406788</v>
      </c>
    </row>
    <row r="6086" spans="1:5" x14ac:dyDescent="0.25">
      <c r="A6086" s="116" t="s">
        <v>12163</v>
      </c>
      <c r="B6086" s="116" t="s">
        <v>12164</v>
      </c>
      <c r="C6086" s="116" t="s">
        <v>6846</v>
      </c>
      <c r="D6086"/>
      <c r="E6086" s="117">
        <v>507.62711864406788</v>
      </c>
    </row>
    <row r="6087" spans="1:5" x14ac:dyDescent="0.25">
      <c r="A6087" s="116" t="s">
        <v>12302</v>
      </c>
      <c r="B6087" s="116" t="s">
        <v>12303</v>
      </c>
      <c r="C6087" s="116" t="s">
        <v>6846</v>
      </c>
      <c r="D6087"/>
      <c r="E6087" s="117">
        <v>507.62711864406788</v>
      </c>
    </row>
    <row r="6088" spans="1:5" x14ac:dyDescent="0.25">
      <c r="A6088" s="116" t="s">
        <v>12304</v>
      </c>
      <c r="B6088" s="116" t="s">
        <v>12305</v>
      </c>
      <c r="C6088" s="116" t="s">
        <v>6846</v>
      </c>
      <c r="D6088"/>
      <c r="E6088" s="117">
        <v>507.62711864406788</v>
      </c>
    </row>
    <row r="6089" spans="1:5" x14ac:dyDescent="0.25">
      <c r="A6089" s="116" t="s">
        <v>12306</v>
      </c>
      <c r="B6089" s="116" t="s">
        <v>12307</v>
      </c>
      <c r="C6089" s="116" t="s">
        <v>6846</v>
      </c>
      <c r="D6089"/>
      <c r="E6089" s="117">
        <v>507.62711864406788</v>
      </c>
    </row>
    <row r="6090" spans="1:5" x14ac:dyDescent="0.25">
      <c r="A6090" s="116" t="s">
        <v>12165</v>
      </c>
      <c r="B6090" s="116" t="s">
        <v>12166</v>
      </c>
      <c r="C6090" s="116" t="s">
        <v>6846</v>
      </c>
      <c r="D6090"/>
      <c r="E6090" s="117">
        <v>507.62711864406788</v>
      </c>
    </row>
    <row r="6091" spans="1:5" x14ac:dyDescent="0.25">
      <c r="A6091" s="116" t="s">
        <v>12167</v>
      </c>
      <c r="B6091" s="116" t="s">
        <v>12168</v>
      </c>
      <c r="C6091" s="116" t="s">
        <v>6846</v>
      </c>
      <c r="D6091"/>
      <c r="E6091" s="117">
        <v>507.62711864406788</v>
      </c>
    </row>
    <row r="6092" spans="1:5" x14ac:dyDescent="0.25">
      <c r="A6092" s="116" t="s">
        <v>12169</v>
      </c>
      <c r="B6092" s="116" t="s">
        <v>12170</v>
      </c>
      <c r="C6092" s="116" t="s">
        <v>6846</v>
      </c>
      <c r="D6092"/>
      <c r="E6092" s="117">
        <v>507.62711864406788</v>
      </c>
    </row>
    <row r="6093" spans="1:5" x14ac:dyDescent="0.25">
      <c r="A6093" s="116" t="s">
        <v>11856</v>
      </c>
      <c r="B6093" s="116" t="s">
        <v>11857</v>
      </c>
      <c r="C6093" s="116" t="s">
        <v>6846</v>
      </c>
      <c r="D6093"/>
      <c r="E6093" s="117">
        <v>2966.9491525423732</v>
      </c>
    </row>
    <row r="6094" spans="1:5" x14ac:dyDescent="0.25">
      <c r="A6094" s="116" t="s">
        <v>11858</v>
      </c>
      <c r="B6094" s="116" t="s">
        <v>11859</v>
      </c>
      <c r="C6094" s="116" t="s">
        <v>6846</v>
      </c>
      <c r="D6094"/>
      <c r="E6094" s="117">
        <v>2058.5593220338983</v>
      </c>
    </row>
    <row r="6095" spans="1:5" x14ac:dyDescent="0.25">
      <c r="A6095" s="116" t="s">
        <v>11860</v>
      </c>
      <c r="B6095" s="116" t="s">
        <v>11861</v>
      </c>
      <c r="C6095" s="116" t="s">
        <v>6846</v>
      </c>
      <c r="D6095"/>
      <c r="E6095" s="117">
        <v>1067.0338983050849</v>
      </c>
    </row>
    <row r="6096" spans="1:5" x14ac:dyDescent="0.25">
      <c r="A6096" s="116" t="s">
        <v>12308</v>
      </c>
      <c r="B6096" s="116" t="s">
        <v>12309</v>
      </c>
      <c r="C6096" s="116" t="s">
        <v>6846</v>
      </c>
      <c r="D6096"/>
      <c r="E6096" s="117">
        <v>838.22033898305096</v>
      </c>
    </row>
    <row r="6097" spans="1:5" x14ac:dyDescent="0.25">
      <c r="A6097" s="116" t="s">
        <v>12310</v>
      </c>
      <c r="B6097" s="116" t="s">
        <v>12311</v>
      </c>
      <c r="C6097" s="116" t="s">
        <v>6846</v>
      </c>
      <c r="D6097"/>
      <c r="E6097" s="117">
        <v>2256.8644067796613</v>
      </c>
    </row>
    <row r="6098" spans="1:5" x14ac:dyDescent="0.25">
      <c r="A6098" s="116" t="s">
        <v>12312</v>
      </c>
      <c r="B6098" s="116" t="s">
        <v>12313</v>
      </c>
      <c r="C6098" s="116" t="s">
        <v>6846</v>
      </c>
      <c r="D6098"/>
      <c r="E6098" s="117">
        <v>4270.42372881356</v>
      </c>
    </row>
    <row r="6099" spans="1:5" x14ac:dyDescent="0.25">
      <c r="A6099" s="116" t="s">
        <v>12314</v>
      </c>
      <c r="B6099" s="116" t="s">
        <v>12315</v>
      </c>
      <c r="C6099" s="116" t="s">
        <v>6846</v>
      </c>
      <c r="D6099"/>
      <c r="E6099" s="117">
        <v>1600.9322033898306</v>
      </c>
    </row>
    <row r="6100" spans="1:5" x14ac:dyDescent="0.25">
      <c r="A6100" s="116" t="s">
        <v>11931</v>
      </c>
      <c r="B6100" s="116" t="s">
        <v>11932</v>
      </c>
      <c r="C6100" s="116" t="s">
        <v>6846</v>
      </c>
      <c r="D6100"/>
      <c r="E6100" s="117">
        <v>3653.3898305084749</v>
      </c>
    </row>
    <row r="6101" spans="1:5" x14ac:dyDescent="0.25">
      <c r="A6101" s="116" t="s">
        <v>11933</v>
      </c>
      <c r="B6101" s="116" t="s">
        <v>11862</v>
      </c>
      <c r="C6101" s="116" t="s">
        <v>6846</v>
      </c>
      <c r="D6101"/>
      <c r="E6101" s="117">
        <v>327.20338983050846</v>
      </c>
    </row>
    <row r="6102" spans="1:5" x14ac:dyDescent="0.25">
      <c r="A6102" s="116" t="s">
        <v>7288</v>
      </c>
      <c r="B6102" s="116" t="s">
        <v>7289</v>
      </c>
      <c r="C6102" s="116" t="s">
        <v>6846</v>
      </c>
      <c r="D6102"/>
      <c r="E6102" s="117">
        <v>609.40677966101691</v>
      </c>
    </row>
    <row r="6103" spans="1:5" x14ac:dyDescent="0.25">
      <c r="A6103" s="116" t="s">
        <v>12171</v>
      </c>
      <c r="B6103" s="116" t="s">
        <v>12172</v>
      </c>
      <c r="C6103" s="116" t="s">
        <v>6846</v>
      </c>
      <c r="D6103"/>
      <c r="E6103" s="117">
        <v>647.54237288135596</v>
      </c>
    </row>
    <row r="6104" spans="1:5" x14ac:dyDescent="0.25">
      <c r="A6104" s="116" t="s">
        <v>11863</v>
      </c>
      <c r="B6104" s="116" t="s">
        <v>11864</v>
      </c>
      <c r="C6104" s="116" t="s">
        <v>6846</v>
      </c>
      <c r="D6104"/>
      <c r="E6104" s="117">
        <v>838.22033898305096</v>
      </c>
    </row>
    <row r="6105" spans="1:5" x14ac:dyDescent="0.25">
      <c r="A6105" s="116" t="s">
        <v>12316</v>
      </c>
      <c r="B6105" s="116" t="s">
        <v>7961</v>
      </c>
      <c r="C6105" s="116" t="s">
        <v>6846</v>
      </c>
      <c r="D6105"/>
      <c r="E6105" s="117">
        <v>877.88135593220341</v>
      </c>
    </row>
    <row r="6106" spans="1:5" x14ac:dyDescent="0.25">
      <c r="A6106" s="116" t="s">
        <v>12317</v>
      </c>
      <c r="B6106" s="116" t="s">
        <v>12318</v>
      </c>
      <c r="C6106" s="116" t="s">
        <v>6846</v>
      </c>
      <c r="D6106"/>
      <c r="E6106" s="117">
        <v>578.89830508474574</v>
      </c>
    </row>
    <row r="6107" spans="1:5" x14ac:dyDescent="0.25">
      <c r="A6107" s="116" t="s">
        <v>12319</v>
      </c>
      <c r="B6107" s="116" t="s">
        <v>12320</v>
      </c>
      <c r="C6107" s="116" t="s">
        <v>6846</v>
      </c>
      <c r="D6107"/>
      <c r="E6107" s="117">
        <v>761.94915254237287</v>
      </c>
    </row>
    <row r="6108" spans="1:5" x14ac:dyDescent="0.25">
      <c r="A6108" s="116" t="s">
        <v>12321</v>
      </c>
      <c r="B6108" s="116" t="s">
        <v>12322</v>
      </c>
      <c r="C6108" s="116" t="s">
        <v>6846</v>
      </c>
      <c r="D6108"/>
      <c r="E6108" s="117">
        <v>327.20338983050846</v>
      </c>
    </row>
    <row r="6109" spans="1:5" x14ac:dyDescent="0.25">
      <c r="A6109" s="116" t="s">
        <v>12173</v>
      </c>
      <c r="B6109" s="116" t="s">
        <v>12174</v>
      </c>
      <c r="C6109" s="116" t="s">
        <v>6846</v>
      </c>
      <c r="D6109"/>
      <c r="E6109" s="117">
        <v>1646.6949152542372</v>
      </c>
    </row>
    <row r="6110" spans="1:5" x14ac:dyDescent="0.25">
      <c r="A6110" s="116" t="s">
        <v>11934</v>
      </c>
      <c r="B6110" s="116" t="s">
        <v>11935</v>
      </c>
      <c r="C6110" s="116" t="s">
        <v>6846</v>
      </c>
      <c r="D6110"/>
      <c r="E6110" s="117">
        <v>1913.6440677966102</v>
      </c>
    </row>
    <row r="6111" spans="1:5" x14ac:dyDescent="0.25">
      <c r="A6111" s="116" t="s">
        <v>12323</v>
      </c>
      <c r="B6111" s="116" t="s">
        <v>12324</v>
      </c>
      <c r="C6111" s="116" t="s">
        <v>6846</v>
      </c>
      <c r="D6111"/>
      <c r="E6111" s="117">
        <v>1219.5762711864409</v>
      </c>
    </row>
    <row r="6112" spans="1:5" x14ac:dyDescent="0.25">
      <c r="A6112" s="116" t="s">
        <v>12175</v>
      </c>
      <c r="B6112" s="116" t="s">
        <v>12176</v>
      </c>
      <c r="C6112" s="116" t="s">
        <v>6846</v>
      </c>
      <c r="D6112"/>
      <c r="E6112" s="117">
        <v>723.81355932203394</v>
      </c>
    </row>
    <row r="6113" spans="1:5" x14ac:dyDescent="0.25">
      <c r="A6113" s="116" t="s">
        <v>12177</v>
      </c>
      <c r="B6113" s="116" t="s">
        <v>12178</v>
      </c>
      <c r="C6113" s="116" t="s">
        <v>6846</v>
      </c>
      <c r="D6113"/>
      <c r="E6113" s="117">
        <v>754.32203389830511</v>
      </c>
    </row>
    <row r="6114" spans="1:5" x14ac:dyDescent="0.25">
      <c r="A6114" s="116" t="s">
        <v>11936</v>
      </c>
      <c r="B6114" s="116" t="s">
        <v>11937</v>
      </c>
      <c r="C6114" s="116" t="s">
        <v>6846</v>
      </c>
      <c r="D6114"/>
      <c r="E6114" s="117">
        <v>403.47457627118644</v>
      </c>
    </row>
    <row r="6115" spans="1:5" x14ac:dyDescent="0.25">
      <c r="A6115" s="116" t="s">
        <v>12179</v>
      </c>
      <c r="B6115" s="116" t="s">
        <v>12180</v>
      </c>
      <c r="C6115" s="116" t="s">
        <v>6846</v>
      </c>
      <c r="D6115"/>
      <c r="E6115" s="117">
        <v>1639.0677966101696</v>
      </c>
    </row>
    <row r="6116" spans="1:5" x14ac:dyDescent="0.25">
      <c r="A6116" s="116" t="s">
        <v>12181</v>
      </c>
      <c r="B6116" s="116" t="s">
        <v>12182</v>
      </c>
      <c r="C6116" s="116" t="s">
        <v>6846</v>
      </c>
      <c r="D6116"/>
      <c r="E6116" s="117">
        <v>967.88135593220341</v>
      </c>
    </row>
    <row r="6117" spans="1:5" x14ac:dyDescent="0.25">
      <c r="A6117" s="116" t="s">
        <v>12325</v>
      </c>
      <c r="B6117" s="116" t="s">
        <v>12326</v>
      </c>
      <c r="C6117" s="116" t="s">
        <v>6846</v>
      </c>
      <c r="D6117"/>
      <c r="E6117" s="117">
        <v>533.13559322033905</v>
      </c>
    </row>
    <row r="6118" spans="1:5" x14ac:dyDescent="0.25">
      <c r="A6118" s="116" t="s">
        <v>12327</v>
      </c>
      <c r="B6118" s="116" t="s">
        <v>12328</v>
      </c>
      <c r="C6118" s="116" t="s">
        <v>6846</v>
      </c>
      <c r="D6118"/>
      <c r="E6118" s="117">
        <v>838.22033898305096</v>
      </c>
    </row>
    <row r="6119" spans="1:5" x14ac:dyDescent="0.25">
      <c r="A6119" s="116" t="s">
        <v>12329</v>
      </c>
      <c r="B6119" s="116" t="s">
        <v>12330</v>
      </c>
      <c r="C6119" s="116" t="s">
        <v>6846</v>
      </c>
      <c r="D6119"/>
      <c r="E6119" s="117">
        <v>952.62711864406799</v>
      </c>
    </row>
    <row r="6120" spans="1:5" x14ac:dyDescent="0.25">
      <c r="A6120" s="116" t="s">
        <v>12183</v>
      </c>
      <c r="B6120" s="116" t="s">
        <v>12184</v>
      </c>
      <c r="C6120" s="116" t="s">
        <v>6846</v>
      </c>
      <c r="D6120"/>
      <c r="E6120" s="117">
        <v>1372.1186440677968</v>
      </c>
    </row>
    <row r="6121" spans="1:5" x14ac:dyDescent="0.25">
      <c r="A6121" s="116" t="s">
        <v>12331</v>
      </c>
      <c r="B6121" s="116" t="s">
        <v>12332</v>
      </c>
      <c r="C6121" s="116" t="s">
        <v>6846</v>
      </c>
      <c r="D6121"/>
      <c r="E6121" s="117">
        <v>571.27118644067809</v>
      </c>
    </row>
    <row r="6122" spans="1:5" x14ac:dyDescent="0.25">
      <c r="A6122" s="116" t="s">
        <v>12333</v>
      </c>
      <c r="B6122" s="116" t="s">
        <v>12334</v>
      </c>
      <c r="C6122" s="116" t="s">
        <v>6846</v>
      </c>
      <c r="D6122"/>
      <c r="E6122" s="117">
        <v>1677.2033898305085</v>
      </c>
    </row>
    <row r="6123" spans="1:5" x14ac:dyDescent="0.25">
      <c r="A6123" s="116" t="s">
        <v>11865</v>
      </c>
      <c r="B6123" s="116" t="s">
        <v>11866</v>
      </c>
      <c r="C6123" s="116" t="s">
        <v>6846</v>
      </c>
      <c r="D6123"/>
      <c r="E6123" s="117">
        <v>556.01694915254245</v>
      </c>
    </row>
    <row r="6124" spans="1:5" x14ac:dyDescent="0.25">
      <c r="A6124" s="116" t="s">
        <v>11938</v>
      </c>
      <c r="B6124" s="116" t="s">
        <v>11939</v>
      </c>
      <c r="C6124" s="116" t="s">
        <v>6846</v>
      </c>
      <c r="D6124"/>
      <c r="E6124" s="117">
        <v>380.59322033898314</v>
      </c>
    </row>
    <row r="6125" spans="1:5" x14ac:dyDescent="0.25">
      <c r="A6125" s="116" t="s">
        <v>7989</v>
      </c>
      <c r="B6125" s="116" t="s">
        <v>7990</v>
      </c>
      <c r="C6125" s="116" t="s">
        <v>6846</v>
      </c>
      <c r="D6125"/>
      <c r="E6125" s="117">
        <v>1982.2881355932207</v>
      </c>
    </row>
    <row r="6126" spans="1:5" x14ac:dyDescent="0.25">
      <c r="A6126" s="116" t="s">
        <v>12335</v>
      </c>
      <c r="B6126" s="116" t="s">
        <v>12336</v>
      </c>
      <c r="C6126" s="116" t="s">
        <v>6846</v>
      </c>
      <c r="D6126"/>
      <c r="E6126" s="117">
        <v>838.22033898305096</v>
      </c>
    </row>
    <row r="6127" spans="1:5" x14ac:dyDescent="0.25">
      <c r="A6127" s="116" t="s">
        <v>12337</v>
      </c>
      <c r="B6127" s="116" t="s">
        <v>12338</v>
      </c>
      <c r="C6127" s="116" t="s">
        <v>6846</v>
      </c>
      <c r="D6127"/>
      <c r="E6127" s="117">
        <v>655.16949152542384</v>
      </c>
    </row>
    <row r="6128" spans="1:5" x14ac:dyDescent="0.25">
      <c r="A6128" s="116" t="s">
        <v>12185</v>
      </c>
      <c r="B6128" s="116" t="s">
        <v>12186</v>
      </c>
      <c r="C6128" s="116" t="s">
        <v>6846</v>
      </c>
      <c r="D6128"/>
      <c r="E6128" s="117">
        <v>1112.7966101694915</v>
      </c>
    </row>
    <row r="6129" spans="1:5" x14ac:dyDescent="0.25">
      <c r="A6129" s="116" t="s">
        <v>12339</v>
      </c>
      <c r="B6129" s="116" t="s">
        <v>12340</v>
      </c>
      <c r="C6129" s="116" t="s">
        <v>6846</v>
      </c>
      <c r="D6129"/>
      <c r="E6129" s="117">
        <v>1143.3050847457628</v>
      </c>
    </row>
    <row r="6130" spans="1:5" x14ac:dyDescent="0.25">
      <c r="A6130" s="116" t="s">
        <v>12341</v>
      </c>
      <c r="B6130" s="116" t="s">
        <v>12342</v>
      </c>
      <c r="C6130" s="116" t="s">
        <v>6846</v>
      </c>
      <c r="D6130"/>
      <c r="E6130" s="117">
        <v>533.13559322033905</v>
      </c>
    </row>
    <row r="6131" spans="1:5" x14ac:dyDescent="0.25">
      <c r="A6131" s="116" t="s">
        <v>12343</v>
      </c>
      <c r="B6131" s="116" t="s">
        <v>12344</v>
      </c>
      <c r="C6131" s="116" t="s">
        <v>6846</v>
      </c>
      <c r="D6131"/>
      <c r="E6131" s="117">
        <v>221.17647058823522</v>
      </c>
    </row>
    <row r="6132" spans="1:5" x14ac:dyDescent="0.25">
      <c r="A6132" s="116" t="s">
        <v>12345</v>
      </c>
      <c r="B6132" s="116" t="s">
        <v>12346</v>
      </c>
      <c r="C6132" s="116" t="s">
        <v>6846</v>
      </c>
      <c r="D6132"/>
      <c r="E6132" s="117">
        <v>278.8235294117647</v>
      </c>
    </row>
    <row r="6133" spans="1:5" x14ac:dyDescent="0.25">
      <c r="A6133" s="116" t="s">
        <v>12347</v>
      </c>
      <c r="B6133" s="116" t="s">
        <v>12348</v>
      </c>
      <c r="C6133" s="116" t="s">
        <v>6846</v>
      </c>
      <c r="D6133"/>
      <c r="E6133" s="117">
        <v>202.76401564537161</v>
      </c>
    </row>
    <row r="6134" spans="1:5" x14ac:dyDescent="0.25">
      <c r="A6134" s="116" t="s">
        <v>12349</v>
      </c>
      <c r="B6134" s="116" t="s">
        <v>12350</v>
      </c>
      <c r="C6134" s="116" t="s">
        <v>6846</v>
      </c>
      <c r="D6134"/>
      <c r="E6134" s="117">
        <v>317.64705882352939</v>
      </c>
    </row>
    <row r="6135" spans="1:5" x14ac:dyDescent="0.25">
      <c r="A6135" s="116" t="s">
        <v>12351</v>
      </c>
      <c r="B6135" s="116" t="s">
        <v>12352</v>
      </c>
      <c r="C6135" s="116" t="s">
        <v>6846</v>
      </c>
      <c r="D6135"/>
      <c r="E6135" s="117">
        <v>527.05882352941171</v>
      </c>
    </row>
    <row r="6136" spans="1:5" x14ac:dyDescent="0.25">
      <c r="A6136" s="116" t="s">
        <v>12353</v>
      </c>
      <c r="B6136" s="116" t="s">
        <v>12354</v>
      </c>
      <c r="C6136" s="116" t="s">
        <v>6846</v>
      </c>
      <c r="D6136"/>
      <c r="E6136" s="117">
        <v>229.41176470588235</v>
      </c>
    </row>
    <row r="6137" spans="1:5" x14ac:dyDescent="0.25">
      <c r="A6137" s="116" t="s">
        <v>12355</v>
      </c>
      <c r="B6137" s="116" t="s">
        <v>12356</v>
      </c>
      <c r="C6137" s="116" t="s">
        <v>6846</v>
      </c>
      <c r="D6137"/>
      <c r="E6137" s="117">
        <v>1384.7058823529412</v>
      </c>
    </row>
    <row r="6138" spans="1:5" x14ac:dyDescent="0.25">
      <c r="A6138" s="116" t="s">
        <v>12357</v>
      </c>
      <c r="B6138" s="116" t="s">
        <v>12358</v>
      </c>
      <c r="C6138" s="116" t="s">
        <v>6846</v>
      </c>
      <c r="D6138"/>
      <c r="E6138" s="117">
        <v>1369.4117647058824</v>
      </c>
    </row>
    <row r="6139" spans="1:5" x14ac:dyDescent="0.25">
      <c r="A6139" s="116" t="s">
        <v>11627</v>
      </c>
      <c r="B6139" s="116" t="s">
        <v>11867</v>
      </c>
      <c r="C6139" s="116" t="s">
        <v>6846</v>
      </c>
      <c r="D6139"/>
      <c r="E6139" s="117">
        <v>652.11864406779682</v>
      </c>
    </row>
    <row r="6140" spans="1:5" x14ac:dyDescent="0.25">
      <c r="A6140" s="116" t="s">
        <v>11962</v>
      </c>
      <c r="B6140" s="116" t="s">
        <v>11963</v>
      </c>
      <c r="C6140" s="116" t="s">
        <v>6846</v>
      </c>
      <c r="D6140"/>
      <c r="E6140" s="117">
        <v>1220.3389830508477</v>
      </c>
    </row>
    <row r="6141" spans="1:5" x14ac:dyDescent="0.25">
      <c r="A6141" s="116" t="s">
        <v>11964</v>
      </c>
      <c r="B6141" s="116" t="s">
        <v>11965</v>
      </c>
      <c r="C6141" s="116" t="s">
        <v>6846</v>
      </c>
      <c r="D6141"/>
      <c r="E6141" s="117">
        <v>1983.0508474576272</v>
      </c>
    </row>
    <row r="6142" spans="1:5" x14ac:dyDescent="0.25">
      <c r="A6142" s="116" t="s">
        <v>12359</v>
      </c>
      <c r="B6142" s="116" t="s">
        <v>12360</v>
      </c>
      <c r="C6142" s="116" t="s">
        <v>6846</v>
      </c>
      <c r="D6142"/>
      <c r="E6142" s="117">
        <v>9072.7968564705898</v>
      </c>
    </row>
    <row r="6143" spans="1:5" x14ac:dyDescent="0.25">
      <c r="A6143" s="116" t="s">
        <v>12361</v>
      </c>
      <c r="B6143" s="116" t="s">
        <v>12362</v>
      </c>
      <c r="C6143" s="116" t="s">
        <v>6846</v>
      </c>
      <c r="D6143"/>
      <c r="E6143" s="117">
        <v>16830.950694117651</v>
      </c>
    </row>
    <row r="6144" spans="1:5" x14ac:dyDescent="0.25">
      <c r="A6144" s="116" t="s">
        <v>12363</v>
      </c>
      <c r="B6144" s="116" t="s">
        <v>12364</v>
      </c>
      <c r="C6144" s="116" t="s">
        <v>6846</v>
      </c>
      <c r="D6144"/>
      <c r="E6144" s="117">
        <v>2154.6096256684491</v>
      </c>
    </row>
    <row r="6145" spans="1:5" x14ac:dyDescent="0.25">
      <c r="A6145" s="116" t="s">
        <v>12365</v>
      </c>
      <c r="B6145" s="116" t="s">
        <v>12366</v>
      </c>
      <c r="C6145" s="116" t="s">
        <v>6846</v>
      </c>
      <c r="D6145"/>
      <c r="E6145" s="117">
        <v>2089.078604893285</v>
      </c>
    </row>
    <row r="6146" spans="1:5" x14ac:dyDescent="0.25">
      <c r="A6146" s="116" t="s">
        <v>12367</v>
      </c>
      <c r="B6146" s="116" t="s">
        <v>12368</v>
      </c>
      <c r="C6146" s="116" t="s">
        <v>6846</v>
      </c>
      <c r="D6146"/>
      <c r="E6146" s="117">
        <v>577.05509049773752</v>
      </c>
    </row>
    <row r="6147" spans="1:5" x14ac:dyDescent="0.25">
      <c r="A6147" s="116" t="s">
        <v>12369</v>
      </c>
      <c r="B6147" s="116" t="s">
        <v>12370</v>
      </c>
      <c r="C6147" s="116" t="s">
        <v>6846</v>
      </c>
      <c r="D6147"/>
      <c r="E6147" s="117">
        <v>591.71656954370508</v>
      </c>
    </row>
    <row r="6148" spans="1:5" x14ac:dyDescent="0.25">
      <c r="A6148" s="116" t="s">
        <v>12371</v>
      </c>
      <c r="B6148" s="116" t="s">
        <v>12372</v>
      </c>
      <c r="C6148" s="116" t="s">
        <v>6846</v>
      </c>
      <c r="D6148"/>
      <c r="E6148" s="117">
        <v>254.07787036383178</v>
      </c>
    </row>
    <row r="6149" spans="1:5" x14ac:dyDescent="0.25">
      <c r="A6149" s="116" t="s">
        <v>12373</v>
      </c>
      <c r="B6149" s="116" t="s">
        <v>12374</v>
      </c>
      <c r="C6149" s="116" t="s">
        <v>6846</v>
      </c>
      <c r="D6149"/>
      <c r="E6149" s="117">
        <v>558.42957573273213</v>
      </c>
    </row>
    <row r="6150" spans="1:5" x14ac:dyDescent="0.25">
      <c r="A6150" s="116" t="s">
        <v>12375</v>
      </c>
      <c r="B6150" s="116" t="s">
        <v>12376</v>
      </c>
      <c r="C6150" s="116" t="s">
        <v>6846</v>
      </c>
      <c r="D6150"/>
      <c r="E6150" s="117">
        <v>726.86922702965489</v>
      </c>
    </row>
    <row r="6151" spans="1:5" x14ac:dyDescent="0.25">
      <c r="A6151" s="116" t="s">
        <v>12377</v>
      </c>
      <c r="B6151" s="116" t="s">
        <v>12378</v>
      </c>
      <c r="C6151" s="116" t="s">
        <v>6846</v>
      </c>
      <c r="D6151"/>
      <c r="E6151" s="117">
        <v>1421.2904609450341</v>
      </c>
    </row>
    <row r="6152" spans="1:5" x14ac:dyDescent="0.25">
      <c r="A6152" s="116" t="s">
        <v>12379</v>
      </c>
      <c r="B6152" s="116" t="s">
        <v>12380</v>
      </c>
      <c r="C6152" s="116" t="s">
        <v>6846</v>
      </c>
      <c r="D6152"/>
      <c r="E6152" s="117">
        <v>345.88235294117646</v>
      </c>
    </row>
    <row r="6153" spans="1:5" x14ac:dyDescent="0.25">
      <c r="A6153" s="116" t="s">
        <v>12381</v>
      </c>
      <c r="B6153" s="116" t="s">
        <v>12382</v>
      </c>
      <c r="C6153" s="116" t="s">
        <v>6846</v>
      </c>
      <c r="D6153"/>
      <c r="E6153" s="117">
        <v>76.352941176470594</v>
      </c>
    </row>
    <row r="6154" spans="1:5" x14ac:dyDescent="0.25">
      <c r="A6154" s="116" t="s">
        <v>12383</v>
      </c>
      <c r="B6154" s="116" t="s">
        <v>12384</v>
      </c>
      <c r="C6154" s="116" t="s">
        <v>6846</v>
      </c>
      <c r="D6154"/>
      <c r="E6154" s="117">
        <v>77.294117647058812</v>
      </c>
    </row>
    <row r="6155" spans="1:5" x14ac:dyDescent="0.25">
      <c r="A6155" s="116" t="s">
        <v>12385</v>
      </c>
      <c r="B6155" s="116" t="s">
        <v>12386</v>
      </c>
      <c r="C6155" s="116" t="s">
        <v>6846</v>
      </c>
      <c r="D6155"/>
      <c r="E6155" s="117">
        <v>220.84098089363619</v>
      </c>
    </row>
    <row r="6156" spans="1:5" x14ac:dyDescent="0.25">
      <c r="A6156" s="116" t="s">
        <v>12387</v>
      </c>
      <c r="B6156" s="116" t="s">
        <v>12388</v>
      </c>
      <c r="C6156" s="116" t="s">
        <v>6846</v>
      </c>
      <c r="D6156"/>
      <c r="E6156" s="117">
        <v>46.47058823529413</v>
      </c>
    </row>
    <row r="6157" spans="1:5" x14ac:dyDescent="0.25">
      <c r="A6157" s="116" t="s">
        <v>12389</v>
      </c>
      <c r="B6157" s="116" t="s">
        <v>12390</v>
      </c>
      <c r="C6157" s="116" t="s">
        <v>6846</v>
      </c>
      <c r="D6157"/>
      <c r="E6157" s="117">
        <v>72.557003421474462</v>
      </c>
    </row>
    <row r="6158" spans="1:5" x14ac:dyDescent="0.25">
      <c r="A6158" s="116" t="s">
        <v>12391</v>
      </c>
      <c r="B6158" s="116" t="s">
        <v>12392</v>
      </c>
      <c r="C6158" s="116" t="s">
        <v>6846</v>
      </c>
      <c r="D6158"/>
      <c r="E6158" s="117">
        <v>4042.3728813559323</v>
      </c>
    </row>
    <row r="6159" spans="1:5" x14ac:dyDescent="0.25">
      <c r="A6159" s="116" t="s">
        <v>12393</v>
      </c>
      <c r="B6159" s="116" t="s">
        <v>12394</v>
      </c>
      <c r="C6159" s="116" t="s">
        <v>6846</v>
      </c>
      <c r="D6159"/>
      <c r="E6159" s="117">
        <v>4042.3728813559323</v>
      </c>
    </row>
    <row r="6160" spans="1:5" x14ac:dyDescent="0.25">
      <c r="A6160" s="116" t="s">
        <v>12395</v>
      </c>
      <c r="B6160" s="116" t="s">
        <v>12396</v>
      </c>
      <c r="C6160" s="116" t="s">
        <v>6846</v>
      </c>
      <c r="D6160"/>
      <c r="E6160" s="117">
        <v>4042.3728813559323</v>
      </c>
    </row>
    <row r="6161" spans="1:5" x14ac:dyDescent="0.25">
      <c r="A6161" s="116" t="s">
        <v>12397</v>
      </c>
      <c r="B6161" s="116" t="s">
        <v>12398</v>
      </c>
      <c r="C6161" s="116" t="s">
        <v>6846</v>
      </c>
      <c r="D6161"/>
      <c r="E6161" s="117">
        <v>4042.3728813559323</v>
      </c>
    </row>
    <row r="6162" spans="1:5" x14ac:dyDescent="0.25">
      <c r="A6162" s="116" t="s">
        <v>12399</v>
      </c>
      <c r="B6162" s="116" t="s">
        <v>12400</v>
      </c>
      <c r="C6162" s="116" t="s">
        <v>6846</v>
      </c>
      <c r="D6162"/>
      <c r="E6162" s="117">
        <v>4042.3728813559323</v>
      </c>
    </row>
    <row r="6163" spans="1:5" x14ac:dyDescent="0.25">
      <c r="A6163" s="116" t="s">
        <v>12401</v>
      </c>
      <c r="B6163" s="116" t="s">
        <v>12402</v>
      </c>
      <c r="C6163" s="116" t="s">
        <v>6846</v>
      </c>
      <c r="D6163"/>
      <c r="E6163" s="117">
        <v>4042.3728813559323</v>
      </c>
    </row>
    <row r="6164" spans="1:5" x14ac:dyDescent="0.25">
      <c r="A6164" s="116" t="s">
        <v>12187</v>
      </c>
      <c r="B6164" s="116" t="s">
        <v>12188</v>
      </c>
      <c r="C6164" s="116" t="s">
        <v>6846</v>
      </c>
      <c r="D6164"/>
      <c r="E6164" s="117">
        <v>723.81355932203394</v>
      </c>
    </row>
    <row r="6165" spans="1:5" x14ac:dyDescent="0.25">
      <c r="A6165" s="116" t="s">
        <v>12189</v>
      </c>
      <c r="B6165" s="116" t="s">
        <v>12190</v>
      </c>
      <c r="C6165" s="116" t="s">
        <v>6846</v>
      </c>
      <c r="D6165"/>
      <c r="E6165" s="117">
        <v>723.81355932203394</v>
      </c>
    </row>
    <row r="6166" spans="1:5" x14ac:dyDescent="0.25">
      <c r="A6166" s="116" t="s">
        <v>12191</v>
      </c>
      <c r="B6166" s="116" t="s">
        <v>12192</v>
      </c>
      <c r="C6166" s="116" t="s">
        <v>6846</v>
      </c>
      <c r="D6166"/>
      <c r="E6166" s="117">
        <v>533.13559322033905</v>
      </c>
    </row>
    <row r="6167" spans="1:5" x14ac:dyDescent="0.25">
      <c r="A6167" s="116" t="s">
        <v>12193</v>
      </c>
      <c r="B6167" s="116" t="s">
        <v>12194</v>
      </c>
      <c r="C6167" s="116" t="s">
        <v>6846</v>
      </c>
      <c r="D6167"/>
      <c r="E6167" s="117">
        <v>456.86440677966107</v>
      </c>
    </row>
    <row r="6168" spans="1:5" x14ac:dyDescent="0.25">
      <c r="A6168" s="116" t="s">
        <v>12195</v>
      </c>
      <c r="B6168" s="116" t="s">
        <v>12196</v>
      </c>
      <c r="C6168" s="116" t="s">
        <v>6846</v>
      </c>
      <c r="D6168"/>
      <c r="E6168" s="117">
        <v>800.08474576271192</v>
      </c>
    </row>
    <row r="6169" spans="1:5" x14ac:dyDescent="0.25">
      <c r="A6169" s="116" t="s">
        <v>12403</v>
      </c>
      <c r="B6169" s="116" t="s">
        <v>12404</v>
      </c>
      <c r="C6169" s="116" t="s">
        <v>6846</v>
      </c>
      <c r="D6169"/>
      <c r="E6169" s="117">
        <v>548.38983050847457</v>
      </c>
    </row>
    <row r="6170" spans="1:5" x14ac:dyDescent="0.25">
      <c r="A6170" s="116" t="s">
        <v>12405</v>
      </c>
      <c r="B6170" s="116" t="s">
        <v>12406</v>
      </c>
      <c r="C6170" s="116" t="s">
        <v>6846</v>
      </c>
      <c r="D6170"/>
      <c r="E6170" s="117">
        <v>838.22033898305096</v>
      </c>
    </row>
    <row r="6171" spans="1:5" x14ac:dyDescent="0.25">
      <c r="A6171" s="116" t="s">
        <v>12407</v>
      </c>
      <c r="B6171" s="116" t="s">
        <v>12408</v>
      </c>
      <c r="C6171" s="116" t="s">
        <v>6846</v>
      </c>
      <c r="D6171"/>
      <c r="E6171" s="117">
        <v>990.76271186440692</v>
      </c>
    </row>
    <row r="6172" spans="1:5" x14ac:dyDescent="0.25">
      <c r="A6172" s="116" t="s">
        <v>12409</v>
      </c>
      <c r="B6172" s="116" t="s">
        <v>12410</v>
      </c>
      <c r="C6172" s="116" t="s">
        <v>6846</v>
      </c>
      <c r="D6172"/>
      <c r="E6172" s="117">
        <v>1677.2033898305085</v>
      </c>
    </row>
    <row r="6173" spans="1:5" x14ac:dyDescent="0.25">
      <c r="A6173" s="116"/>
      <c r="B6173" s="116"/>
      <c r="C6173" s="116"/>
      <c r="D6173"/>
      <c r="E6173" s="117"/>
    </row>
    <row r="6174" spans="1:5" x14ac:dyDescent="0.25">
      <c r="A6174" s="116"/>
      <c r="B6174" s="116"/>
      <c r="C6174" s="116"/>
      <c r="D6174"/>
      <c r="E6174" s="117"/>
    </row>
    <row r="6175" spans="1:5" x14ac:dyDescent="0.25">
      <c r="A6175" s="116"/>
      <c r="B6175" s="116"/>
      <c r="C6175" s="116"/>
      <c r="D6175"/>
      <c r="E6175" s="117"/>
    </row>
    <row r="6176" spans="1:5" x14ac:dyDescent="0.25">
      <c r="A6176" s="116"/>
      <c r="B6176" s="116"/>
      <c r="C6176" s="116"/>
      <c r="D6176"/>
      <c r="E6176" s="117"/>
    </row>
    <row r="6177" spans="1:5" x14ac:dyDescent="0.25">
      <c r="A6177" s="116"/>
      <c r="B6177" s="116"/>
      <c r="C6177" s="116"/>
      <c r="D6177"/>
      <c r="E6177" s="117"/>
    </row>
    <row r="6178" spans="1:5" x14ac:dyDescent="0.25">
      <c r="A6178" s="116"/>
      <c r="B6178" s="116"/>
      <c r="C6178" s="116"/>
      <c r="D6178"/>
      <c r="E6178" s="117"/>
    </row>
    <row r="6179" spans="1:5" x14ac:dyDescent="0.25">
      <c r="A6179" s="116"/>
      <c r="B6179" s="116"/>
      <c r="C6179" s="116"/>
      <c r="D6179"/>
      <c r="E6179" s="117"/>
    </row>
    <row r="6180" spans="1:5" x14ac:dyDescent="0.25">
      <c r="A6180" s="116"/>
      <c r="B6180" s="116"/>
      <c r="C6180" s="116"/>
      <c r="D6180"/>
      <c r="E6180" s="117"/>
    </row>
    <row r="6181" spans="1:5" x14ac:dyDescent="0.25">
      <c r="A6181" s="116"/>
      <c r="B6181" s="116"/>
      <c r="C6181" s="116"/>
      <c r="D6181"/>
      <c r="E6181" s="117"/>
    </row>
    <row r="6182" spans="1:5" x14ac:dyDescent="0.25">
      <c r="A6182" s="116"/>
      <c r="B6182" s="116"/>
      <c r="C6182" s="116"/>
      <c r="D6182"/>
      <c r="E6182" s="117"/>
    </row>
    <row r="6183" spans="1:5" x14ac:dyDescent="0.25">
      <c r="A6183" s="116"/>
      <c r="B6183" s="116"/>
      <c r="C6183" s="116"/>
      <c r="D6183"/>
      <c r="E6183" s="117"/>
    </row>
    <row r="6184" spans="1:5" x14ac:dyDescent="0.25">
      <c r="A6184" s="116"/>
      <c r="B6184" s="116"/>
      <c r="C6184" s="116"/>
      <c r="D6184"/>
      <c r="E6184" s="117"/>
    </row>
    <row r="6185" spans="1:5" x14ac:dyDescent="0.25">
      <c r="A6185" s="116"/>
      <c r="B6185" s="116"/>
      <c r="C6185" s="116"/>
      <c r="D6185"/>
      <c r="E6185" s="117"/>
    </row>
    <row r="6186" spans="1:5" x14ac:dyDescent="0.25">
      <c r="A6186" s="116"/>
      <c r="B6186" s="116"/>
      <c r="C6186" s="116"/>
      <c r="D6186" s="116"/>
      <c r="E6186" s="117"/>
    </row>
    <row r="6187" spans="1:5" x14ac:dyDescent="0.25">
      <c r="A6187" s="116"/>
      <c r="B6187" s="116"/>
      <c r="C6187" s="116"/>
      <c r="D6187" s="116"/>
      <c r="E6187" s="117"/>
    </row>
    <row r="6188" spans="1:5" x14ac:dyDescent="0.25">
      <c r="A6188" s="116"/>
      <c r="B6188" s="116"/>
      <c r="C6188" s="116"/>
      <c r="D6188" s="116"/>
      <c r="E6188" s="117"/>
    </row>
    <row r="6189" spans="1:5" x14ac:dyDescent="0.25">
      <c r="A6189" s="116"/>
      <c r="B6189" s="116"/>
      <c r="C6189" s="116"/>
      <c r="D6189"/>
      <c r="E6189" s="117"/>
    </row>
    <row r="6190" spans="1:5" x14ac:dyDescent="0.25">
      <c r="A6190" s="116"/>
      <c r="B6190" s="116"/>
      <c r="C6190" s="116"/>
      <c r="D6190"/>
      <c r="E6190" s="117"/>
    </row>
    <row r="6191" spans="1:5" x14ac:dyDescent="0.25">
      <c r="A6191" s="116"/>
      <c r="B6191" s="116"/>
      <c r="C6191" s="116"/>
      <c r="D6191"/>
      <c r="E6191" s="117"/>
    </row>
    <row r="6192" spans="1:5" x14ac:dyDescent="0.25">
      <c r="A6192" s="116"/>
      <c r="B6192" s="116"/>
      <c r="C6192" s="116"/>
      <c r="D6192"/>
      <c r="E6192" s="117"/>
    </row>
    <row r="6193" spans="1:5" x14ac:dyDescent="0.25">
      <c r="A6193" s="116"/>
      <c r="B6193" s="116"/>
      <c r="C6193" s="116"/>
      <c r="D6193"/>
      <c r="E6193" s="117"/>
    </row>
    <row r="6194" spans="1:5" x14ac:dyDescent="0.25">
      <c r="A6194" s="116"/>
      <c r="B6194" s="116"/>
      <c r="C6194" s="116"/>
      <c r="D6194"/>
      <c r="E6194" s="117"/>
    </row>
    <row r="6195" spans="1:5" x14ac:dyDescent="0.25">
      <c r="A6195" s="116"/>
      <c r="B6195" s="116"/>
      <c r="C6195" s="116"/>
      <c r="D6195"/>
      <c r="E6195" s="117"/>
    </row>
    <row r="6196" spans="1:5" x14ac:dyDescent="0.25">
      <c r="A6196" s="116"/>
      <c r="B6196" s="116"/>
      <c r="C6196" s="116"/>
      <c r="D6196"/>
      <c r="E6196" s="117"/>
    </row>
    <row r="6197" spans="1:5" x14ac:dyDescent="0.25">
      <c r="A6197" s="116"/>
      <c r="B6197" s="116"/>
      <c r="C6197" s="116"/>
      <c r="D6197"/>
      <c r="E6197" s="117"/>
    </row>
    <row r="6198" spans="1:5" x14ac:dyDescent="0.25">
      <c r="A6198" s="116"/>
      <c r="B6198" s="116"/>
      <c r="C6198" s="116"/>
      <c r="D6198"/>
      <c r="E6198" s="117"/>
    </row>
    <row r="6199" spans="1:5" x14ac:dyDescent="0.25">
      <c r="A6199" s="116"/>
      <c r="B6199" s="116"/>
      <c r="C6199" s="116"/>
      <c r="D6199"/>
      <c r="E6199" s="117"/>
    </row>
    <row r="6200" spans="1:5" x14ac:dyDescent="0.25">
      <c r="A6200" s="116"/>
      <c r="B6200" s="116"/>
      <c r="C6200" s="116"/>
      <c r="D6200"/>
      <c r="E6200" s="124"/>
    </row>
    <row r="6201" spans="1:5" x14ac:dyDescent="0.25">
      <c r="A6201" s="116"/>
      <c r="B6201" s="116"/>
      <c r="C6201" s="116"/>
      <c r="D6201" s="116"/>
      <c r="E6201" s="117"/>
    </row>
    <row r="6202" spans="1:5" x14ac:dyDescent="0.25">
      <c r="A6202" s="116"/>
      <c r="B6202" s="116"/>
      <c r="C6202" s="116"/>
      <c r="D6202" s="116"/>
      <c r="E6202" s="117"/>
    </row>
    <row r="6203" spans="1:5" x14ac:dyDescent="0.25">
      <c r="A6203" s="116"/>
      <c r="B6203" s="116"/>
      <c r="C6203" s="116"/>
      <c r="D6203" s="116"/>
      <c r="E6203" s="117"/>
    </row>
    <row r="6204" spans="1:5" x14ac:dyDescent="0.25">
      <c r="A6204" s="116"/>
      <c r="B6204" s="116"/>
      <c r="C6204" s="116"/>
      <c r="D6204" s="116"/>
      <c r="E6204" s="117"/>
    </row>
    <row r="6205" spans="1:5" x14ac:dyDescent="0.25">
      <c r="A6205" s="116"/>
      <c r="B6205" s="116"/>
      <c r="C6205" s="116"/>
      <c r="D6205" s="116"/>
      <c r="E6205" s="117"/>
    </row>
    <row r="6206" spans="1:5" x14ac:dyDescent="0.25">
      <c r="A6206" s="116"/>
      <c r="B6206" s="116"/>
      <c r="C6206" s="116"/>
      <c r="D6206"/>
      <c r="E6206" s="117"/>
    </row>
    <row r="6207" spans="1:5" x14ac:dyDescent="0.25">
      <c r="A6207"/>
      <c r="B6207"/>
      <c r="C6207"/>
      <c r="D6207"/>
      <c r="E6207" s="117"/>
    </row>
    <row r="6208" spans="1:5" x14ac:dyDescent="0.25">
      <c r="A6208"/>
      <c r="B6208"/>
      <c r="C6208"/>
      <c r="D6208"/>
      <c r="E6208"/>
    </row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</sheetData>
  <sheetProtection selectLockedCells="1" autoFilter="0"/>
  <phoneticPr fontId="40" type="noConversion"/>
  <conditionalFormatting sqref="A5906">
    <cfRule type="duplicateValues" dxfId="13" priority="4"/>
    <cfRule type="duplicateValues" dxfId="12" priority="5"/>
  </conditionalFormatting>
  <conditionalFormatting sqref="A5977:A6038">
    <cfRule type="duplicateValues" dxfId="11" priority="6"/>
    <cfRule type="duplicateValues" dxfId="10" priority="7"/>
    <cfRule type="duplicateValues" dxfId="9" priority="8"/>
  </conditionalFormatting>
  <conditionalFormatting sqref="A6135:A6137">
    <cfRule type="duplicateValues" dxfId="8" priority="1"/>
    <cfRule type="duplicateValues" dxfId="7" priority="2"/>
    <cfRule type="duplicateValues" dxfId="6" priority="3"/>
  </conditionalFormatting>
  <conditionalFormatting sqref="D2:D27985">
    <cfRule type="containsText" dxfId="5" priority="381" operator="containsText" text="Azul">
      <formula>NOT(ISERROR(SEARCH("Azul",D2)))</formula>
    </cfRule>
    <cfRule type="containsText" dxfId="4" priority="382" operator="containsText" text="Morado">
      <formula>NOT(ISERROR(SEARCH("Morado",D2)))</formula>
    </cfRule>
    <cfRule type="containsText" dxfId="3" priority="383" operator="containsText" text="verde">
      <formula>NOT(ISERROR(SEARCH("verde",D2)))</formula>
    </cfRule>
    <cfRule type="containsText" dxfId="2" priority="384" operator="containsText" text="amarillo">
      <formula>NOT(ISERROR(SEARCH("amarillo",D2)))</formula>
    </cfRule>
    <cfRule type="containsText" dxfId="1" priority="385" operator="containsText" text="Naranja">
      <formula>NOT(ISERROR(SEARCH("Naranja",D2)))</formula>
    </cfRule>
    <cfRule type="containsText" dxfId="0" priority="386" operator="containsText" text="Rojo">
      <formula>NOT(ISERROR(SEARCH("Rojo",D2)))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8dc58b-95b6-4f99-84f9-2882e2c62d10">
      <Terms xmlns="http://schemas.microsoft.com/office/infopath/2007/PartnerControls"/>
    </lcf76f155ced4ddcb4097134ff3c332f>
    <TaxCatchAll xmlns="c3f382de-be01-42cd-84e9-fe2ec992c409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46A7209DF2142A876498049B4A824" ma:contentTypeVersion="15" ma:contentTypeDescription="Create a new document." ma:contentTypeScope="" ma:versionID="c7b7153fa58581df2c4d19bdf8d37366">
  <xsd:schema xmlns:xsd="http://www.w3.org/2001/XMLSchema" xmlns:xs="http://www.w3.org/2001/XMLSchema" xmlns:p="http://schemas.microsoft.com/office/2006/metadata/properties" xmlns:ns2="058dc58b-95b6-4f99-84f9-2882e2c62d10" xmlns:ns3="c3f382de-be01-42cd-84e9-fe2ec992c409" targetNamespace="http://schemas.microsoft.com/office/2006/metadata/properties" ma:root="true" ma:fieldsID="481737ece8f43cae9d961a73adaa9a7f" ns2:_="" ns3:_="">
    <xsd:import namespace="058dc58b-95b6-4f99-84f9-2882e2c62d10"/>
    <xsd:import namespace="c3f382de-be01-42cd-84e9-fe2ec992c4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dc58b-95b6-4f99-84f9-2882e2c62d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4149bb2-f7ed-4db4-83ce-7ac1b445cb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382de-be01-42cd-84e9-fe2ec992c4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aad013c-fc44-439d-b9e6-083afa99030c}" ma:internalName="TaxCatchAll" ma:showField="CatchAllData" ma:web="c3f382de-be01-42cd-84e9-fe2ec992c4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DAFE28-EAC1-41B6-82A4-F45F83521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397D4A-3367-4D5D-974D-90EF30A45862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c3f382de-be01-42cd-84e9-fe2ec992c409"/>
    <ds:schemaRef ds:uri="http://schemas.microsoft.com/office/infopath/2007/PartnerControls"/>
    <ds:schemaRef ds:uri="058dc58b-95b6-4f99-84f9-2882e2c62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2CD7B77-7335-4AF5-8534-2A917C84398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0923A5B-048E-44EE-B0C4-15F81408C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8dc58b-95b6-4f99-84f9-2882e2c62d10"/>
    <ds:schemaRef ds:uri="c3f382de-be01-42cd-84e9-fe2ec992c4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 de Pedido</vt:lpstr>
      <vt:lpstr>PROMO</vt:lpstr>
      <vt:lpstr>Lista de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Comercial 01</dc:creator>
  <cp:keywords/>
  <dc:description/>
  <cp:lastModifiedBy>Kathiusca Causillas</cp:lastModifiedBy>
  <cp:revision/>
  <dcterms:created xsi:type="dcterms:W3CDTF">2023-06-19T14:24:21Z</dcterms:created>
  <dcterms:modified xsi:type="dcterms:W3CDTF">2026-07-17T17:11:52Z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0x0101008B746A7209DF2142A876498049B4A824</vt:lpwstr>
  </property>
  <property fmtid="{D5CDD505-2E9C-101B-9397-08002B2CF9AE}" pid="3" name="MediaServiceImageTags">
    <vt:lpwstr/>
  </property>
</Properties>
</file>